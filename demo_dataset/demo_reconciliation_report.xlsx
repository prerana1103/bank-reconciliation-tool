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ceptions" sheetId="2" state="visible" r:id="rId4"/>
    <sheet name="Matched" sheetId="3" state="visible" r:id="rId5"/>
    <sheet name="Bank_Txns" sheetId="4" state="visible" r:id="rId6"/>
    <sheet name="Ledger_Txns" sheetId="5" state="visible" r:id="rId7"/>
    <sheet name="Audit_Trail" sheetId="6" state="visible" r:id="rId8"/>
  </sheets>
  <definedNames>
    <definedName function="false" hidden="true" localSheetId="3" name="_xlnm._FilterDatabase" vbProcedure="false">Bank_Txns!$A$4:$I$1134</definedName>
    <definedName function="false" hidden="true" localSheetId="1" name="_xlnm._FilterDatabase" vbProcedure="false">Exceptions!$A$4:$S$88</definedName>
    <definedName function="false" hidden="true" localSheetId="4" name="_xlnm._FilterDatabase" vbProcedure="false">Ledger_Txns!$A$4:$I$1140</definedName>
    <definedName function="false" hidden="true" localSheetId="2" name="_xlnm._FilterDatabase" vbProcedure="false">Matched!$A$4:$N$1106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<sst xmlns="http://schemas.openxmlformats.org/spreadsheetml/2006/main" count="18749" uniqueCount="7529">
  <si>
    <t xml:space="preserve">Bank Reconciliation Summary</t>
  </si>
  <si>
    <t xml:space="preserve">Run 0ED694B59281  |  generated 2026-10-13 08:09:18 UTC  |  bank_reconciler v1.0.0</t>
  </si>
  <si>
    <t xml:space="preserve">1. Population</t>
  </si>
  <si>
    <t xml:space="preserve">Bank transactions loaded</t>
  </si>
  <si>
    <t xml:space="preserve">Ledger transactions loaded</t>
  </si>
  <si>
    <t xml:space="preserve">Bank statement - first date</t>
  </si>
  <si>
    <t xml:space="preserve">Bank statement - last date</t>
  </si>
  <si>
    <t xml:space="preserve">Bank net movement</t>
  </si>
  <si>
    <t xml:space="preserve">Ledger net movement</t>
  </si>
  <si>
    <t xml:space="preserve">Net difference (Bank - Ledger)</t>
  </si>
  <si>
    <t xml:space="preserve">2. Matching results</t>
  </si>
  <si>
    <t xml:space="preserve">Bank - clean matches</t>
  </si>
  <si>
    <t xml:space="preserve">Bank - matched but flagged for review</t>
  </si>
  <si>
    <t xml:space="preserve">Bank - unmatched / duplicate</t>
  </si>
  <si>
    <t xml:space="preserve">Bank auto-match rate</t>
  </si>
  <si>
    <t xml:space="preserve">Ledger - clean matches</t>
  </si>
  <si>
    <t xml:space="preserve">Ledger - matched but flagged for review</t>
  </si>
  <si>
    <t xml:space="preserve">Ledger - unmatched / duplicate</t>
  </si>
  <si>
    <t xml:space="preserve">Ledger auto-match rate</t>
  </si>
  <si>
    <t xml:space="preserve">Match groups created</t>
  </si>
  <si>
    <t xml:space="preserve">Matches with date variance &gt; 0 days (informational)</t>
  </si>
  <si>
    <t xml:space="preserve">3. Exceptions by type</t>
  </si>
  <si>
    <t xml:space="preserve">Exception type</t>
  </si>
  <si>
    <t xml:space="preserve">Count</t>
  </si>
  <si>
    <t xml:space="preserve">Net impact (Bank - Ledger)</t>
  </si>
  <si>
    <t xml:space="preserve">High</t>
  </si>
  <si>
    <t xml:space="preserve">Medium</t>
  </si>
  <si>
    <t xml:space="preserve">Low</t>
  </si>
  <si>
    <t xml:space="preserve">UNMATCHED_BANK</t>
  </si>
  <si>
    <t xml:space="preserve">UNMATCHED_LEDGER</t>
  </si>
  <si>
    <t xml:space="preserve">DUPLICATE_BANK</t>
  </si>
  <si>
    <t xml:space="preserve">DUPLICATE_LEDGER</t>
  </si>
  <si>
    <t xml:space="preserve">AMOUNT_MISMATCH</t>
  </si>
  <si>
    <t xml:space="preserve">LOW_CONFIDENCE_MATCH</t>
  </si>
  <si>
    <t xml:space="preserve">SPLIT_MATCH</t>
  </si>
  <si>
    <t xml:space="preserve">Total</t>
  </si>
  <si>
    <t xml:space="preserve">4. Reconciliation bridge (control proof)</t>
  </si>
  <si>
    <t xml:space="preserve">Less: amount differences inside matched pairs</t>
  </si>
  <si>
    <t xml:space="preserve">Less: unmatched bank items</t>
  </si>
  <si>
    <t xml:space="preserve">Less: duplicate bank items</t>
  </si>
  <si>
    <t xml:space="preserve">Add back: unmatched ledger items</t>
  </si>
  <si>
    <t xml:space="preserve">Add back: duplicate ledger items</t>
  </si>
  <si>
    <t xml:space="preserve">Unexplained difference (must be 0.00)</t>
  </si>
  <si>
    <t xml:space="preserve">Control check</t>
  </si>
  <si>
    <t xml:space="preserve">5. Review status</t>
  </si>
  <si>
    <t xml:space="preserve">Exceptions with a disposition</t>
  </si>
  <si>
    <t xml:space="preserve">Exceptions still open</t>
  </si>
  <si>
    <t xml:space="preserve">High-severity exceptions still open</t>
  </si>
  <si>
    <t xml:space="preserve">Sign-off status</t>
  </si>
  <si>
    <t xml:space="preserve">6. Sign-off</t>
  </si>
  <si>
    <t xml:space="preserve">Role</t>
  </si>
  <si>
    <t xml:space="preserve">Name</t>
  </si>
  <si>
    <t xml:space="preserve">Signature</t>
  </si>
  <si>
    <t xml:space="preserve">Date</t>
  </si>
  <si>
    <t xml:space="preserve">Prepared by (system)</t>
  </si>
  <si>
    <t xml:space="preserve">root</t>
  </si>
  <si>
    <t xml:space="preserve">2026-10-13</t>
  </si>
  <si>
    <t xml:space="preserve">Reviewed by</t>
  </si>
  <si>
    <t xml:space="preserve">Approved by</t>
  </si>
  <si>
    <t xml:space="preserve">Exception Report - for auditor review and sign-off</t>
  </si>
  <si>
    <t xml:space="preserve">Yellow columns P-S are reviewer inputs. Difference = Bank - Ledger. Every exception needs a disposition before sign-off (see Summary).</t>
  </si>
  <si>
    <t xml:space="preserve">Exception ID</t>
  </si>
  <si>
    <t xml:space="preserve">Type</t>
  </si>
  <si>
    <t xml:space="preserve">Sub-type</t>
  </si>
  <si>
    <t xml:space="preserve">Severity</t>
  </si>
  <si>
    <t xml:space="preserve">Bank Txn ID</t>
  </si>
  <si>
    <t xml:space="preserve">Ledger Txn ID</t>
  </si>
  <si>
    <t xml:space="preserve">Bank Date</t>
  </si>
  <si>
    <t xml:space="preserve">Ledger Date</t>
  </si>
  <si>
    <t xml:space="preserve">Reference</t>
  </si>
  <si>
    <t xml:space="preserve">Description</t>
  </si>
  <si>
    <t xml:space="preserve">Bank Amount</t>
  </si>
  <si>
    <t xml:space="preserve">Ledger Amount</t>
  </si>
  <si>
    <t xml:space="preserve">Difference (Bank - Ledger)</t>
  </si>
  <si>
    <t xml:space="preserve">Explanation (auto-generated)</t>
  </si>
  <si>
    <t xml:space="preserve">Suggested Action</t>
  </si>
  <si>
    <t xml:space="preserve">Disposition</t>
  </si>
  <si>
    <t xml:space="preserve">Reviewer Comments</t>
  </si>
  <si>
    <t xml:space="preserve">Reviewed By</t>
  </si>
  <si>
    <t xml:space="preserve">Review Date</t>
  </si>
  <si>
    <t xml:space="preserve">EX0001</t>
  </si>
  <si>
    <t xml:space="preserve">UNRECORDED_RECEIPT</t>
  </si>
  <si>
    <t xml:space="preserve">B00930</t>
  </si>
  <si>
    <t xml:space="preserve">NEFT CR UNKNOWN REMITTER 7000</t>
  </si>
  <si>
    <t xml:space="preserve">Bank line of 21,883.24 on 2026-09-11 has no corresponding ledger entry.</t>
  </si>
  <si>
    <t xml:space="preserve">Identify the payer; record receipt / allocate to open invoice, or query the bank.</t>
  </si>
  <si>
    <t xml:space="preserve">EX0002</t>
  </si>
  <si>
    <t xml:space="preserve">B00332</t>
  </si>
  <si>
    <t xml:space="preserve">NEFT CR UNKNOWN REMITTER 7002</t>
  </si>
  <si>
    <t xml:space="preserve">Bank line of 12,055.87 on 2026-07-26 has no corresponding ledger entry.</t>
  </si>
  <si>
    <t xml:space="preserve">EX0003</t>
  </si>
  <si>
    <t xml:space="preserve">B00831</t>
  </si>
  <si>
    <t xml:space="preserve">NEFT CR UNKNOWN REMITTER 7001</t>
  </si>
  <si>
    <t xml:space="preserve">Bank line of 10,992.86 on 2026-09-03 has no corresponding ledger entry.</t>
  </si>
  <si>
    <t xml:space="preserve">EX0004</t>
  </si>
  <si>
    <t xml:space="preserve">UNRECORDED_PAYMENT</t>
  </si>
  <si>
    <t xml:space="preserve">B00791</t>
  </si>
  <si>
    <t xml:space="preserve">DIRECT DEBIT INSURANCE PREMIUM</t>
  </si>
  <si>
    <t xml:space="preserve">Bank line of -10,494.74 on 2026-08-31 has no corresponding ledger entry.</t>
  </si>
  <si>
    <t xml:space="preserve">Obtain supporting document; record in ledger, or dispute if unauthorised.</t>
  </si>
  <si>
    <t xml:space="preserve">EX0005</t>
  </si>
  <si>
    <t xml:space="preserve">STALE_OUTSTANDING_PAYMENT</t>
  </si>
  <si>
    <t xml:space="preserve">L00480</t>
  </si>
  <si>
    <t xml:space="preserve">CHQ-009507</t>
  </si>
  <si>
    <t xml:space="preserve">Cheque payment to Yonder Travel - CHQ-009507</t>
  </si>
  <si>
    <t xml:space="preserve">Ledger entry of -39,929.07 on 2026-08-03 has no bank line. Recorded 58 days before statement end and still not cleared.</t>
  </si>
  <si>
    <t xml:space="preserve">Aged unpresented payment - confirm status with payee; consider stop-payment / reissue.</t>
  </si>
  <si>
    <t xml:space="preserve">EX0006</t>
  </si>
  <si>
    <t xml:space="preserve">L00237</t>
  </si>
  <si>
    <t xml:space="preserve">CHQ-009500</t>
  </si>
  <si>
    <t xml:space="preserve">Cheque payment to Kestrel Office Supplies - CHQ-009500</t>
  </si>
  <si>
    <t xml:space="preserve">Ledger entry of -36,473.48 on 2026-07-17 has no bank line. Recorded 75 days before statement end and still not cleared.</t>
  </si>
  <si>
    <t xml:space="preserve">EX0007</t>
  </si>
  <si>
    <t xml:space="preserve">L00380</t>
  </si>
  <si>
    <t xml:space="preserve">CHQ-009504</t>
  </si>
  <si>
    <t xml:space="preserve">Cheque payment to Summit Security - CHQ-009504</t>
  </si>
  <si>
    <t xml:space="preserve">Ledger entry of -28,024.92 on 2026-07-27 has no bank line. Recorded 65 days before statement end and still not cleared.</t>
  </si>
  <si>
    <t xml:space="preserve">EX0008</t>
  </si>
  <si>
    <t xml:space="preserve">L00905</t>
  </si>
  <si>
    <t xml:space="preserve">CHQ-009501</t>
  </si>
  <si>
    <t xml:space="preserve">Cheque payment to Pinnacle Print - CHQ-009501</t>
  </si>
  <si>
    <t xml:space="preserve">Ledger entry of -20,819.16 on 2026-09-07 has no bank line. Recorded 23 days before statement end and still not cleared.</t>
  </si>
  <si>
    <t xml:space="preserve">EX0009</t>
  </si>
  <si>
    <t xml:space="preserve">L00107</t>
  </si>
  <si>
    <t xml:space="preserve">CHQ-009503</t>
  </si>
  <si>
    <t xml:space="preserve">Cheque payment to Orchid Catering - CHQ-009503</t>
  </si>
  <si>
    <t xml:space="preserve">Ledger entry of -20,303.44 on 2026-07-07 has no bank line. Recorded 85 days before statement end and still not cleared.</t>
  </si>
  <si>
    <t xml:space="preserve">EX0010</t>
  </si>
  <si>
    <t xml:space="preserve">REPEATED_BANK_ENTRY</t>
  </si>
  <si>
    <t xml:space="preserve">B00124</t>
  </si>
  <si>
    <t xml:space="preserve">INV-1425</t>
  </si>
  <si>
    <t xml:space="preserve">NEFT-EVEREST TEXTILES-INV1425</t>
  </si>
  <si>
    <t xml:space="preserve">Identical to B00117 (2026-07-10, 91,376.45); only one ledger entry exists.</t>
  </si>
  <si>
    <t xml:space="preserve">Raise duplicate debit/credit claim with the bank and request reversal.</t>
  </si>
  <si>
    <t xml:space="preserve">EX0011</t>
  </si>
  <si>
    <t xml:space="preserve">B00960</t>
  </si>
  <si>
    <t xml:space="preserve">INV-1098</t>
  </si>
  <si>
    <t xml:space="preserve">NEFT-BLUEFIN LOGISTICS-INV1098</t>
  </si>
  <si>
    <t xml:space="preserve">Identical to B00947 (2026-09-13, 87,563.78); only one ledger entry exists.</t>
  </si>
  <si>
    <t xml:space="preserve">EX0012</t>
  </si>
  <si>
    <t xml:space="preserve">B00160</t>
  </si>
  <si>
    <t xml:space="preserve">1230</t>
  </si>
  <si>
    <t xml:space="preserve">NEFT-BLUEFIN LOGISTICS-INV1230</t>
  </si>
  <si>
    <t xml:space="preserve">Identical to B00148 (2026-07-13, 74,966.87); only one ledger entry exists.</t>
  </si>
  <si>
    <t xml:space="preserve">EX0013</t>
  </si>
  <si>
    <t xml:space="preserve">B00389</t>
  </si>
  <si>
    <t xml:space="preserve">INV-1052</t>
  </si>
  <si>
    <t xml:space="preserve">NEFT-DELTA FOODS-INV1052</t>
  </si>
  <si>
    <t xml:space="preserve">Identical to B00380 (2026-07-30, 71,068.32); only one ledger entry exists.</t>
  </si>
  <si>
    <t xml:space="preserve">EX0014</t>
  </si>
  <si>
    <t xml:space="preserve">B00845</t>
  </si>
  <si>
    <t xml:space="preserve">1094</t>
  </si>
  <si>
    <t xml:space="preserve">NEFT-JUPITER STEEL-INV1094</t>
  </si>
  <si>
    <t xml:space="preserve">Identical to B00832 (2026-09-04, 60,401.29); only one ledger entry exists.</t>
  </si>
  <si>
    <t xml:space="preserve">EX0015</t>
  </si>
  <si>
    <t xml:space="preserve">B00631</t>
  </si>
  <si>
    <t xml:space="preserve">1264</t>
  </si>
  <si>
    <t xml:space="preserve">NEFT-LAKEVIEW HOTELS-INV1264</t>
  </si>
  <si>
    <t xml:space="preserve">Identical to B00620 (2026-08-19, 60,241.90); only one ledger entry exists.</t>
  </si>
  <si>
    <t xml:space="preserve">EX0016</t>
  </si>
  <si>
    <t xml:space="preserve">B00362</t>
  </si>
  <si>
    <t xml:space="preserve">INV-1207</t>
  </si>
  <si>
    <t xml:space="preserve">NEFT-CRESTVIEW RETAIL-INV1207</t>
  </si>
  <si>
    <t xml:space="preserve">Identical to B00351 (2026-07-28, 39,198.32); only one ledger entry exists.</t>
  </si>
  <si>
    <t xml:space="preserve">EX0017</t>
  </si>
  <si>
    <t xml:space="preserve">B00914</t>
  </si>
  <si>
    <t xml:space="preserve">INV-1477</t>
  </si>
  <si>
    <t xml:space="preserve">NEFT-INDUS PACKAGING-INV1477</t>
  </si>
  <si>
    <t xml:space="preserve">Identical to B00908 (2026-09-10, 10,825.85); only one ledger entry exists.</t>
  </si>
  <si>
    <t xml:space="preserve">EX0018</t>
  </si>
  <si>
    <t xml:space="preserve">DOUBLE_POSTED_ENTRY</t>
  </si>
  <si>
    <t xml:space="preserve">L00267</t>
  </si>
  <si>
    <t xml:space="preserve">CHQ-005362</t>
  </si>
  <si>
    <t xml:space="preserve">Cheque payment to Pinnacle Print - CHQ-005362</t>
  </si>
  <si>
    <t xml:space="preserve">Identical to L00265 (2026-07-19, -52,959.94); only one bank line exists.</t>
  </si>
  <si>
    <t xml:space="preserve">Verify against source document and reverse the duplicate ledger entry.</t>
  </si>
  <si>
    <t xml:space="preserve">EX0019</t>
  </si>
  <si>
    <t xml:space="preserve">L00347</t>
  </si>
  <si>
    <t xml:space="preserve">CHQ-005080</t>
  </si>
  <si>
    <t xml:space="preserve">Cheque payment to Birch Packaging - CHQ-005080</t>
  </si>
  <si>
    <t xml:space="preserve">Identical to L00344 (2026-07-25, -45,627.98); only one bank line exists.</t>
  </si>
  <si>
    <t xml:space="preserve">EX0020</t>
  </si>
  <si>
    <t xml:space="preserve">L00984</t>
  </si>
  <si>
    <t xml:space="preserve">CHQ-005445</t>
  </si>
  <si>
    <t xml:space="preserve">Cheque payment to Summit Security - CHQ-005445</t>
  </si>
  <si>
    <t xml:space="preserve">Identical to L00983 (2026-09-13, -29,594.73); only one bank line exists.</t>
  </si>
  <si>
    <t xml:space="preserve">EX0021</t>
  </si>
  <si>
    <t xml:space="preserve">L00818</t>
  </si>
  <si>
    <t xml:space="preserve">CHQ-005227</t>
  </si>
  <si>
    <t xml:space="preserve">Cheque payment to Willow Furnishings - CHQ-005227</t>
  </si>
  <si>
    <t xml:space="preserve">Identical to L00816 (2026-08-31, -29,486.63); only one bank line exists.</t>
  </si>
  <si>
    <t xml:space="preserve">EX0022</t>
  </si>
  <si>
    <t xml:space="preserve">L00506</t>
  </si>
  <si>
    <t xml:space="preserve">CHQ-005357</t>
  </si>
  <si>
    <t xml:space="preserve">Cheque payment to Willow Furnishings - CHQ-005357</t>
  </si>
  <si>
    <t xml:space="preserve">Identical to L00505 (2026-08-06, -27,497.54); only one bank line exists.</t>
  </si>
  <si>
    <t xml:space="preserve">EX0023</t>
  </si>
  <si>
    <t xml:space="preserve">L00764</t>
  </si>
  <si>
    <t xml:space="preserve">CHQ-005218</t>
  </si>
  <si>
    <t xml:space="preserve">Cheque payment to Yonder Travel - CHQ-005218</t>
  </si>
  <si>
    <t xml:space="preserve">Identical to L00760 (2026-08-27, -21,584.07); only one bank line exists.</t>
  </si>
  <si>
    <t xml:space="preserve">EX0024</t>
  </si>
  <si>
    <t xml:space="preserve">L01029</t>
  </si>
  <si>
    <t xml:space="preserve">CHQ-005030</t>
  </si>
  <si>
    <t xml:space="preserve">Cheque payment to Birch Packaging - CHQ-005030</t>
  </si>
  <si>
    <t xml:space="preserve">Identical to L01021 (2026-09-16, -12,313.56); only one bank line exists.</t>
  </si>
  <si>
    <t xml:space="preserve">EX0025</t>
  </si>
  <si>
    <t xml:space="preserve">L00479</t>
  </si>
  <si>
    <t xml:space="preserve">CHQ-005352</t>
  </si>
  <si>
    <t xml:space="preserve">Cheque payment to Pinnacle Print - CHQ-005352</t>
  </si>
  <si>
    <t xml:space="preserve">Identical to L00476 (2026-08-03, -11,044.57); only one bank line exists.</t>
  </si>
  <si>
    <t xml:space="preserve">EX0026</t>
  </si>
  <si>
    <t xml:space="preserve">SIGN_REVERSAL</t>
  </si>
  <si>
    <t xml:space="preserve">B00253</t>
  </si>
  <si>
    <t xml:space="preserve">L00236</t>
  </si>
  <si>
    <t xml:space="preserve">009004</t>
  </si>
  <si>
    <t xml:space="preserve">B: CHQ 009004 ORCHID CATERING | L: Cheque payment to Orchid Catering - CHQ-009004</t>
  </si>
  <si>
    <t xml:space="preserve">Bank -19,757.52 vs ledger 19,757.52 (difference -39,515.04). Amounts are equal and opposite; ledger entry was likely posted with the wrong sign.</t>
  </si>
  <si>
    <t xml:space="preserve">Correct the ledger entry sign (reverse and re-post).</t>
  </si>
  <si>
    <t xml:space="preserve">EX0027</t>
  </si>
  <si>
    <t xml:space="preserve">B00200</t>
  </si>
  <si>
    <t xml:space="preserve">L00184</t>
  </si>
  <si>
    <t xml:space="preserve">009003</t>
  </si>
  <si>
    <t xml:space="preserve">B: CHQ 009003 ZENITH HARDWARE | L: Cheque payment to Zenith Hardware - CHQ-009003</t>
  </si>
  <si>
    <t xml:space="preserve">Bank -15,887.58 vs ledger 15,887.58 (difference -31,775.16). Amounts are equal and opposite; ledger entry was likely posted with the wrong sign.</t>
  </si>
  <si>
    <t xml:space="preserve">EX0028</t>
  </si>
  <si>
    <t xml:space="preserve">B00057</t>
  </si>
  <si>
    <t xml:space="preserve">L00072</t>
  </si>
  <si>
    <t xml:space="preserve">009002</t>
  </si>
  <si>
    <t xml:space="preserve">B: CHQ 009002 PINNACLE PRINT | L: Cheque payment to Pinnacle Print - CHQ-009002</t>
  </si>
  <si>
    <t xml:space="preserve">Bank -14,380.51 vs ledger 14,380.51 (difference -28,761.02). Amounts are equal and opposite; ledger entry was likely posted with the wrong sign.</t>
  </si>
  <si>
    <t xml:space="preserve">EX0029</t>
  </si>
  <si>
    <t xml:space="preserve">B00817</t>
  </si>
  <si>
    <t xml:space="preserve">DIRECT DEBIT PROFESSIONAL BODY</t>
  </si>
  <si>
    <t xml:space="preserve">Bank line of -9,573.14 on 2026-09-02 has no corresponding ledger entry.</t>
  </si>
  <si>
    <t xml:space="preserve">EX0030</t>
  </si>
  <si>
    <t xml:space="preserve">B00915</t>
  </si>
  <si>
    <t xml:space="preserve">NEFT CR UNKNOWN REMITTER 7003</t>
  </si>
  <si>
    <t xml:space="preserve">Bank line of 8,934.87 on 2026-09-10 has no corresponding ledger entry.</t>
  </si>
  <si>
    <t xml:space="preserve">EX0031</t>
  </si>
  <si>
    <t xml:space="preserve">B00762</t>
  </si>
  <si>
    <t xml:space="preserve">SI MAINTENANCE</t>
  </si>
  <si>
    <t xml:space="preserve">Bank line of -8,887.16 on 2026-08-29 has no corresponding ledger entry.</t>
  </si>
  <si>
    <t xml:space="preserve">EX0032</t>
  </si>
  <si>
    <t xml:space="preserve">B00887</t>
  </si>
  <si>
    <t xml:space="preserve">EMI AUTO DEBIT EQUIPMENT</t>
  </si>
  <si>
    <t xml:space="preserve">Bank line of -5,292.31 on 2026-09-08 has no corresponding ledger entry.</t>
  </si>
  <si>
    <t xml:space="preserve">EX0033</t>
  </si>
  <si>
    <t xml:space="preserve">B00406</t>
  </si>
  <si>
    <t xml:space="preserve">STANDING INSTRUCTION RENT</t>
  </si>
  <si>
    <t xml:space="preserve">Bank line of -5,277.99 on 2026-07-31 has no corresponding ledger entry.</t>
  </si>
  <si>
    <t xml:space="preserve">EX0034</t>
  </si>
  <si>
    <t xml:space="preserve">B00454</t>
  </si>
  <si>
    <t xml:space="preserve">EMI AUTO DEBIT LOAN</t>
  </si>
  <si>
    <t xml:space="preserve">Bank line of -4,632.37 on 2026-08-03 has no corresponding ledger entry.</t>
  </si>
  <si>
    <t xml:space="preserve">EX0035</t>
  </si>
  <si>
    <t xml:space="preserve">UNRECORDED_BANK_CHARGE_OR_INTEREST</t>
  </si>
  <si>
    <t xml:space="preserve">B00973</t>
  </si>
  <si>
    <t xml:space="preserve">INTEREST CREDIT SEP</t>
  </si>
  <si>
    <t xml:space="preserve">Bank line of 2,558.43 on 2026-09-14 has no corresponding ledger entry.</t>
  </si>
  <si>
    <t xml:space="preserve">Verify with bank advice, then post journal in the ledger.</t>
  </si>
  <si>
    <t xml:space="preserve">EX0036</t>
  </si>
  <si>
    <t xml:space="preserve">B00790</t>
  </si>
  <si>
    <t xml:space="preserve">INTEREST CREDIT AUG</t>
  </si>
  <si>
    <t xml:space="preserve">Bank line of 2,056.81 on 2026-08-31 has no corresponding ledger entry.</t>
  </si>
  <si>
    <t xml:space="preserve">EX0037</t>
  </si>
  <si>
    <t xml:space="preserve">OUTSTANDING_IN_TRANSIT</t>
  </si>
  <si>
    <t xml:space="preserve">L01133</t>
  </si>
  <si>
    <t xml:space="preserve">INV-9404</t>
  </si>
  <si>
    <t xml:space="preserve">Deposit in transit - Everest Textiles INV-9404</t>
  </si>
  <si>
    <t xml:space="preserve">Ledger entry of 49,817.86 on 2026-09-27 has no bank line. Recorded 3 day(s) before statement end; likely still in transit.</t>
  </si>
  <si>
    <t xml:space="preserve">Timing difference - confirm it clears on the next statement; carry forward.</t>
  </si>
  <si>
    <t xml:space="preserve">EX0038</t>
  </si>
  <si>
    <t xml:space="preserve">L01134</t>
  </si>
  <si>
    <t xml:space="preserve">INV-9405</t>
  </si>
  <si>
    <t xml:space="preserve">Deposit in transit - Falcon Auto Parts INV-9405</t>
  </si>
  <si>
    <t xml:space="preserve">Ledger entry of 37,153.14 on 2026-09-27 has no bank line. Recorded 3 day(s) before statement end; likely still in transit.</t>
  </si>
  <si>
    <t xml:space="preserve">EX0039</t>
  </si>
  <si>
    <t xml:space="preserve">L01136</t>
  </si>
  <si>
    <t xml:space="preserve">INV-9400</t>
  </si>
  <si>
    <t xml:space="preserve">Deposit in transit - Acme Traders INV-9400</t>
  </si>
  <si>
    <t xml:space="preserve">Ledger entry of 25,416.25 on 2026-09-30 has no bank line. Recorded 0 day(s) before statement end; likely still in transit.</t>
  </si>
  <si>
    <t xml:space="preserve">EX0040</t>
  </si>
  <si>
    <t xml:space="preserve">L01131</t>
  </si>
  <si>
    <t xml:space="preserve">INV-9401</t>
  </si>
  <si>
    <t xml:space="preserve">Deposit in transit - Bluefin Logistics INV-9401</t>
  </si>
  <si>
    <t xml:space="preserve">Ledger entry of 19,641.59 on 2026-09-27 has no bank line. Recorded 3 day(s) before statement end; likely still in transit.</t>
  </si>
  <si>
    <t xml:space="preserve">EX0041</t>
  </si>
  <si>
    <t xml:space="preserve">L01135</t>
  </si>
  <si>
    <t xml:space="preserve">INV-9403</t>
  </si>
  <si>
    <t xml:space="preserve">Deposit in transit - Delta Foods INV-9403</t>
  </si>
  <si>
    <t xml:space="preserve">Ledger entry of 16,333.32 on 2026-09-28 has no bank line. Recorded 2 day(s) before statement end; likely still in transit.</t>
  </si>
  <si>
    <t xml:space="preserve">EX0042</t>
  </si>
  <si>
    <t xml:space="preserve">L01132</t>
  </si>
  <si>
    <t xml:space="preserve">INV-9402</t>
  </si>
  <si>
    <t xml:space="preserve">Deposit in transit - Crestview Retail INV-9402</t>
  </si>
  <si>
    <t xml:space="preserve">Ledger entry of 7,806.58 on 2026-09-27 has no bank line. Recorded 3 day(s) before statement end; likely still in transit.</t>
  </si>
  <si>
    <t xml:space="preserve">EX0043</t>
  </si>
  <si>
    <t xml:space="preserve">L00312</t>
  </si>
  <si>
    <t xml:space="preserve">CHQ-009506</t>
  </si>
  <si>
    <t xml:space="preserve">Cheque payment to Willow Furnishings - CHQ-009506</t>
  </si>
  <si>
    <t xml:space="preserve">Ledger entry of -7,415.80 on 2026-07-22 has no bank line. Recorded 70 days before statement end and still not cleared.</t>
  </si>
  <si>
    <t xml:space="preserve">EX0044</t>
  </si>
  <si>
    <t xml:space="preserve">L00422</t>
  </si>
  <si>
    <t xml:space="preserve">CHQ-009505</t>
  </si>
  <si>
    <t xml:space="preserve">Cheque payment to Vertex Consulting - CHQ-009505</t>
  </si>
  <si>
    <t xml:space="preserve">Ledger entry of -4,851.06 on 2026-07-30 has no bank line. Recorded 62 days before statement end and still not cleared.</t>
  </si>
  <si>
    <t xml:space="preserve">EX0045</t>
  </si>
  <si>
    <t xml:space="preserve">L00185</t>
  </si>
  <si>
    <t xml:space="preserve">CHQ-009502</t>
  </si>
  <si>
    <t xml:space="preserve">Cheque payment to Zenith Hardware - CHQ-009502</t>
  </si>
  <si>
    <t xml:space="preserve">Ledger entry of -2,081.79 on 2026-07-13 has no bank line. Recorded 79 days before statement end and still not cleared.</t>
  </si>
  <si>
    <t xml:space="preserve">EX0046</t>
  </si>
  <si>
    <t xml:space="preserve">B00310</t>
  </si>
  <si>
    <t xml:space="preserve">L00304</t>
  </si>
  <si>
    <t xml:space="preserve">009001</t>
  </si>
  <si>
    <t xml:space="preserve">B: CHQ 009001 KESTREL OFFICE SUPPLIES | L: Cheque payment to Kestrel Office Supplies - CHQ-009001</t>
  </si>
  <si>
    <t xml:space="preserve">Bank -4,275.64 vs ledger 4,275.64 (difference -8,551.28). Amounts are equal and opposite; ledger entry was likely posted with the wrong sign.</t>
  </si>
  <si>
    <t xml:space="preserve">EX0047</t>
  </si>
  <si>
    <t xml:space="preserve">POSSIBLE_TRANSPOSITION</t>
  </si>
  <si>
    <t xml:space="preserve">B00515</t>
  </si>
  <si>
    <t xml:space="preserve">L00521</t>
  </si>
  <si>
    <t xml:space="preserve">INV-9105</t>
  </si>
  <si>
    <t xml:space="preserve">B: NEFT-FALCON AUTO PARTS-INV9105 | L: Receipt from Falcon Auto Parts - INV-9105</t>
  </si>
  <si>
    <t xml:space="preserve">Bank 32,797.84 vs ledger 37,297.84 (difference -4,500.00). Digits are a permutation of each other and the difference is divisible by 9; likely a keying transposition error.</t>
  </si>
  <si>
    <t xml:space="preserve">Check the source document; correct whichever side is wrong.</t>
  </si>
  <si>
    <t xml:space="preserve">EX0048</t>
  </si>
  <si>
    <t xml:space="preserve">B00657</t>
  </si>
  <si>
    <t xml:space="preserve">L00673</t>
  </si>
  <si>
    <t xml:space="preserve">INV-9104</t>
  </si>
  <si>
    <t xml:space="preserve">B: NEFT-EVEREST TEXTILES-INV9104 | L: Receipt from Everest Textiles - INV-9104</t>
  </si>
  <si>
    <t xml:space="preserve">Bank 83,808.32 vs ledger 88,308.32 (difference -4,500.00). Digits are a permutation of each other and the difference is divisible by 9; likely a keying transposition error.</t>
  </si>
  <si>
    <t xml:space="preserve">EX0049</t>
  </si>
  <si>
    <t xml:space="preserve">B00989</t>
  </si>
  <si>
    <t xml:space="preserve">L00985</t>
  </si>
  <si>
    <t xml:space="preserve">INV-9101</t>
  </si>
  <si>
    <t xml:space="preserve">B: NEFT-BLUEFIN LOGISTICS-INV9101 | L: Receipt from Bluefin Logistics - INV-9101</t>
  </si>
  <si>
    <t xml:space="preserve">Bank 64,944.33 vs ledger 69,444.33 (difference -4,500.00). Digits are a permutation of each other and the difference is divisible by 9; likely a keying transposition error.</t>
  </si>
  <si>
    <t xml:space="preserve">EX0050</t>
  </si>
  <si>
    <t xml:space="preserve">B00283</t>
  </si>
  <si>
    <t xml:space="preserve">L00303</t>
  </si>
  <si>
    <t xml:space="preserve">INV-9100</t>
  </si>
  <si>
    <t xml:space="preserve">B: NEFT-ACME TRADERS-INV9100 | L: Receipt from Acme Traders - INV-9100</t>
  </si>
  <si>
    <t xml:space="preserve">Bank 13,638.48 vs ledger 16,338.48 (difference -2,700.00). Digits are a permutation of each other and the difference is divisible by 9; likely a keying transposition error.</t>
  </si>
  <si>
    <t xml:space="preserve">EX0051</t>
  </si>
  <si>
    <t xml:space="preserve">B00390</t>
  </si>
  <si>
    <t xml:space="preserve">L00394</t>
  </si>
  <si>
    <t xml:space="preserve">INV-9103</t>
  </si>
  <si>
    <t xml:space="preserve">B: NEFT-DELTA FOODS-INV9103 | L: Receipt from Delta Foods - INV-9103</t>
  </si>
  <si>
    <t xml:space="preserve">Bank 35,273.35 vs ledger 32,573.35 (difference 2,700.00). Digits are a permutation of each other and the difference is divisible by 9; likely a keying transposition error.</t>
  </si>
  <si>
    <t xml:space="preserve">EX0052</t>
  </si>
  <si>
    <t xml:space="preserve">B00272</t>
  </si>
  <si>
    <t xml:space="preserve">L00286</t>
  </si>
  <si>
    <t xml:space="preserve">INV-9102</t>
  </si>
  <si>
    <t xml:space="preserve">B: NEFT-CRESTVIEW RETAIL-INV9102 | L: Receipt from Crestview Retail - INV-9102</t>
  </si>
  <si>
    <t xml:space="preserve">Bank 52,468.86 vs ledger 52,648.86 (difference -180.00). Digits are a permutation of each other and the difference is divisible by 9; likely a keying transposition error.</t>
  </si>
  <si>
    <t xml:space="preserve">EX0053</t>
  </si>
  <si>
    <t xml:space="preserve">NO_REFERENCE_OR_DESCRIPTION_SUPPORT</t>
  </si>
  <si>
    <t xml:space="preserve">B00597</t>
  </si>
  <si>
    <t xml:space="preserve">L00602</t>
  </si>
  <si>
    <t xml:space="preserve">B: POS 90148 MERCHANT | L: Staff welfare expense</t>
  </si>
  <si>
    <t xml:space="preserve">Paired on amount -2,708.50 and date (within 3 days) only; no reference or description corroboration.</t>
  </si>
  <si>
    <t xml:space="preserve">Confirm the pairing against source documents before accepting.</t>
  </si>
  <si>
    <t xml:space="preserve">EX0054</t>
  </si>
  <si>
    <t xml:space="preserve">B00666</t>
  </si>
  <si>
    <t xml:space="preserve">L00701</t>
  </si>
  <si>
    <t xml:space="preserve">B: POS 90111 MERCHANT | L: Travel expense</t>
  </si>
  <si>
    <t xml:space="preserve">Paired on amount -3,429.18 and date (within 3 days) only; no reference or description corroboration.</t>
  </si>
  <si>
    <t xml:space="preserve">EX0055</t>
  </si>
  <si>
    <t xml:space="preserve">B01034</t>
  </si>
  <si>
    <t xml:space="preserve">L01030</t>
  </si>
  <si>
    <t xml:space="preserve">B: POS 90037 MERCHANT | L: Courier charges</t>
  </si>
  <si>
    <t xml:space="preserve">Paired on amount -3,659.96 and date (within 3 days) only; no reference or description corroboration.</t>
  </si>
  <si>
    <t xml:space="preserve">EX0056</t>
  </si>
  <si>
    <t xml:space="preserve">BATCH_DEPOSIT_OR_PAYMENT</t>
  </si>
  <si>
    <t xml:space="preserve">B00097</t>
  </si>
  <si>
    <t xml:space="preserve">L00122; L00123; L00108</t>
  </si>
  <si>
    <t xml:space="preserve">B: CASH DEPOSIT BATCH 003 | L: Cash receipt counter 2 - batch 3</t>
  </si>
  <si>
    <t xml:space="preserve">3 ledger entries sum exactly to 20,248.29 on the other side (date window 5 days).</t>
  </si>
  <si>
    <t xml:space="preserve">Confirm batch composition against deposit slip / remittance advice.</t>
  </si>
  <si>
    <t xml:space="preserve">EX0057</t>
  </si>
  <si>
    <t xml:space="preserve">B00221</t>
  </si>
  <si>
    <t xml:space="preserve">L00250; L00251; L00238</t>
  </si>
  <si>
    <t xml:space="preserve">B: CASH DEPOSIT BATCH 004 | L: Cash receipt counter 2 - batch 4</t>
  </si>
  <si>
    <t xml:space="preserve">3 ledger entries sum exactly to 16,136.53 on the other side (date window 5 days).</t>
  </si>
  <si>
    <t xml:space="preserve">EX0058</t>
  </si>
  <si>
    <t xml:space="preserve">B00254</t>
  </si>
  <si>
    <t xml:space="preserve">L00268; L00269; L00249</t>
  </si>
  <si>
    <t xml:space="preserve">B: CASH DEPOSIT BATCH 001 | L: Cash receipt counter 2 - batch 1</t>
  </si>
  <si>
    <t xml:space="preserve">3 ledger entries sum exactly to 15,459.17 on the other side (date window 5 days).</t>
  </si>
  <si>
    <t xml:space="preserve">EX0059</t>
  </si>
  <si>
    <t xml:space="preserve">B00333</t>
  </si>
  <si>
    <t xml:space="preserve">L00367; L00368; L00348</t>
  </si>
  <si>
    <t xml:space="preserve">B: CASH DEPOSIT BATCH 005 | L: Cash receipt counter 2 - batch 5</t>
  </si>
  <si>
    <t xml:space="preserve">3 ledger entries sum exactly to 18,401.02 on the other side (date window 5 days).</t>
  </si>
  <si>
    <t xml:space="preserve">EX0060</t>
  </si>
  <si>
    <t xml:space="preserve">B00632</t>
  </si>
  <si>
    <t xml:space="preserve">L00660; L00661; L00642</t>
  </si>
  <si>
    <t xml:space="preserve">B: CASH DEPOSIT BATCH 002 | L: Cash receipt counter 2 - batch 2</t>
  </si>
  <si>
    <t xml:space="preserve">3 ledger entries sum exactly to 16,045.15 on the other side (date window 5 days).</t>
  </si>
  <si>
    <t xml:space="preserve">EX0061</t>
  </si>
  <si>
    <t xml:space="preserve">B00633</t>
  </si>
  <si>
    <t xml:space="preserve">L00643; L00644; L00634</t>
  </si>
  <si>
    <t xml:space="preserve">B: CASH DEPOSIT BATCH 006 | L: Cash receipt counter 2 - batch 6</t>
  </si>
  <si>
    <t xml:space="preserve">3 ledger entries sum exactly to 11,448.33 on the other side (date window 5 days).</t>
  </si>
  <si>
    <t xml:space="preserve">EX0062</t>
  </si>
  <si>
    <t xml:space="preserve">B00201</t>
  </si>
  <si>
    <t xml:space="preserve">SMS ALERT CHARGES JUL</t>
  </si>
  <si>
    <t xml:space="preserve">Bank line of -850.31 on 2026-07-16 has no corresponding ledger entry.</t>
  </si>
  <si>
    <t xml:space="preserve">EX0063</t>
  </si>
  <si>
    <t xml:space="preserve">B01130</t>
  </si>
  <si>
    <t xml:space="preserve">GST ON CHARGES SEP</t>
  </si>
  <si>
    <t xml:space="preserve">Bank line of -792.42 on 2026-09-30 has no corresponding ledger entry.</t>
  </si>
  <si>
    <t xml:space="preserve">EX0064</t>
  </si>
  <si>
    <t xml:space="preserve">B00404</t>
  </si>
  <si>
    <t xml:space="preserve">BANK CHARGES JUL</t>
  </si>
  <si>
    <t xml:space="preserve">Bank line of -541.29 on 2026-07-31 has no corresponding ledger entry.</t>
  </si>
  <si>
    <t xml:space="preserve">EX0065</t>
  </si>
  <si>
    <t xml:space="preserve">B00789</t>
  </si>
  <si>
    <t xml:space="preserve">ANNUAL FEE DEBIT CARD AUG</t>
  </si>
  <si>
    <t xml:space="preserve">Bank line of -368.51 on 2026-08-31 has no corresponding ledger entry.</t>
  </si>
  <si>
    <t xml:space="preserve">EX0066</t>
  </si>
  <si>
    <t xml:space="preserve">B00405</t>
  </si>
  <si>
    <t xml:space="preserve">Bank line of -349.94 on 2026-07-31 has no corresponding ledger entry.</t>
  </si>
  <si>
    <t xml:space="preserve">EX0067</t>
  </si>
  <si>
    <t xml:space="preserve">B00584</t>
  </si>
  <si>
    <t xml:space="preserve">Bank line of -331.89 on 2026-08-15 has no corresponding ledger entry.</t>
  </si>
  <si>
    <t xml:space="preserve">EX0068</t>
  </si>
  <si>
    <t xml:space="preserve">B01129</t>
  </si>
  <si>
    <t xml:space="preserve">BANK CHARGES SEP</t>
  </si>
  <si>
    <t xml:space="preserve">Bank line of -194.24 on 2026-09-30 has no corresponding ledger entry.</t>
  </si>
  <si>
    <t xml:space="preserve">EX0069</t>
  </si>
  <si>
    <t xml:space="preserve">B01128</t>
  </si>
  <si>
    <t xml:space="preserve">Bank line of -189.30 on 2026-09-30 has no corresponding ledger entry.</t>
  </si>
  <si>
    <t xml:space="preserve">EX0070</t>
  </si>
  <si>
    <t xml:space="preserve">BANK_AMOUNT_LOWER</t>
  </si>
  <si>
    <t xml:space="preserve">B00044</t>
  </si>
  <si>
    <t xml:space="preserve">L00046</t>
  </si>
  <si>
    <t xml:space="preserve">INV-9204</t>
  </si>
  <si>
    <t xml:space="preserve">B: WIRE-EVEREST TEXTILES-INV9204 | L: Receipt from Everest Textiles - INV-9204</t>
  </si>
  <si>
    <t xml:space="preserve">Bank 41,606.63 vs ledger 41,743.69 (difference -137.06). Bank amount is smaller in magnitude than the ledger; possible bank fee deducted, short payment, or ledger over-recording.</t>
  </si>
  <si>
    <t xml:space="preserve">Obtain remittance / bank advice; post fee or raise short-payment query.</t>
  </si>
  <si>
    <t xml:space="preserve">EX0071</t>
  </si>
  <si>
    <t xml:space="preserve">B00990</t>
  </si>
  <si>
    <t xml:space="preserve">L01010</t>
  </si>
  <si>
    <t xml:space="preserve">INV-9206</t>
  </si>
  <si>
    <t xml:space="preserve">B: WIRE-GREENLEAF AGRO-INV9206 | L: Receipt from Greenleaf Agro - INV-9206</t>
  </si>
  <si>
    <t xml:space="preserve">Bank 69,690.98 vs ledger 69,799.41 (difference -108.43). Bank amount is smaller in magnitude than the ledger; possible bank fee deducted, short payment, or ledger over-recording.</t>
  </si>
  <si>
    <t xml:space="preserve">EX0072</t>
  </si>
  <si>
    <t xml:space="preserve">B00876</t>
  </si>
  <si>
    <t xml:space="preserve">L00893</t>
  </si>
  <si>
    <t xml:space="preserve">INV-9203</t>
  </si>
  <si>
    <t xml:space="preserve">B: WIRE-DELTA FOODS-INV9203 | L: Receipt from Delta Foods - INV-9203</t>
  </si>
  <si>
    <t xml:space="preserve">Bank 79,611.11 vs ledger 79,709.64 (difference -98.53). Bank amount is smaller in magnitude than the ledger; possible bank fee deducted, short payment, or ledger over-recording.</t>
  </si>
  <si>
    <t xml:space="preserve">EX0073</t>
  </si>
  <si>
    <t xml:space="preserve">B00714</t>
  </si>
  <si>
    <t xml:space="preserve">L00734</t>
  </si>
  <si>
    <t xml:space="preserve">INV-9201</t>
  </si>
  <si>
    <t xml:space="preserve">B: WIRE-BLUEFIN LOGISTICS-INV9201 | L: Receipt from Bluefin Logistics - INV-9201</t>
  </si>
  <si>
    <t xml:space="preserve">Bank 59,552.65 vs ledger 59,617.96 (difference -65.31). Bank amount is smaller in magnitude than the ledger; possible bank fee deducted, short payment, or ledger over-recording.</t>
  </si>
  <si>
    <t xml:space="preserve">EX0074</t>
  </si>
  <si>
    <t xml:space="preserve">B00775</t>
  </si>
  <si>
    <t xml:space="preserve">L00801</t>
  </si>
  <si>
    <t xml:space="preserve">INV-9207</t>
  </si>
  <si>
    <t xml:space="preserve">B: WIRE-HORIZON PHARMA-INV9207 | L: Receipt from Horizon Pharma - INV-9207</t>
  </si>
  <si>
    <t xml:space="preserve">Bank 20,044.73 vs ledger 20,099.37 (difference -54.64). Bank amount is smaller in magnitude than the ledger; possible bank fee deducted, short payment, or ledger over-recording.</t>
  </si>
  <si>
    <t xml:space="preserve">EX0075</t>
  </si>
  <si>
    <t xml:space="preserve">B00161</t>
  </si>
  <si>
    <t xml:space="preserve">L00172</t>
  </si>
  <si>
    <t xml:space="preserve">INV-9205</t>
  </si>
  <si>
    <t xml:space="preserve">B: WIRE-FALCON AUTO PARTS-INV9205 | L: Receipt from Falcon Auto Parts - INV-9205</t>
  </si>
  <si>
    <t xml:space="preserve">Bank 71,661.98 vs ledger 71,704.47 (difference -42.49). Bank amount is smaller in magnitude than the ledger; possible bank fee deducted, short payment, or ledger over-recording.</t>
  </si>
  <si>
    <t xml:space="preserve">EX0076</t>
  </si>
  <si>
    <t xml:space="preserve">B00144</t>
  </si>
  <si>
    <t xml:space="preserve">L00171</t>
  </si>
  <si>
    <t xml:space="preserve">INV-9200</t>
  </si>
  <si>
    <t xml:space="preserve">B: WIRE-ACME TRADERS-INV9200 | L: Receipt from Acme Traders - INV-9200</t>
  </si>
  <si>
    <t xml:space="preserve">Bank 45,886.89 vs ledger 45,928.97 (difference -42.08). Bank amount is smaller in magnitude than the ledger; possible bank fee deducted, short payment, or ledger over-recording.</t>
  </si>
  <si>
    <t xml:space="preserve">EX0077</t>
  </si>
  <si>
    <t xml:space="preserve">B00583</t>
  </si>
  <si>
    <t xml:space="preserve">L00614</t>
  </si>
  <si>
    <t xml:space="preserve">INV-9202</t>
  </si>
  <si>
    <t xml:space="preserve">B: WIRE-CRESTVIEW RETAIL-INV9202 | L: Receipt from Crestview Retail - INV-9202</t>
  </si>
  <si>
    <t xml:space="preserve">Bank 13,548.95 vs ledger 13,577.96 (difference -29.01). Bank amount is smaller in magnitude than the ledger; possible bank fee deducted, short payment, or ledger over-recording.</t>
  </si>
  <si>
    <t xml:space="preserve">EX0078</t>
  </si>
  <si>
    <t xml:space="preserve">ROUNDING_DIFFERENCE</t>
  </si>
  <si>
    <t xml:space="preserve">B00596</t>
  </si>
  <si>
    <t xml:space="preserve">L00601</t>
  </si>
  <si>
    <t xml:space="preserve">INV-9301</t>
  </si>
  <si>
    <t xml:space="preserve">B: NEFT-BLUEFIN LOGISTICS-INV9301 | L: Receipt from Bluefin Logistics - INV-9301</t>
  </si>
  <si>
    <t xml:space="preserve">Bank 38,725.93 vs ledger 38,726.83 (difference -0.90). Difference is within the rounding threshold; likely rounding or minor keying variance.</t>
  </si>
  <si>
    <t xml:space="preserve">Post a rounding adjustment if policy allows, else correct the entry.</t>
  </si>
  <si>
    <t xml:space="preserve">EX0079</t>
  </si>
  <si>
    <t xml:space="preserve">B00505</t>
  </si>
  <si>
    <t xml:space="preserve">L00535</t>
  </si>
  <si>
    <t xml:space="preserve">INV-9300</t>
  </si>
  <si>
    <t xml:space="preserve">B: NEFT-ACME TRADERS-INV9300 | L: Receipt from Acme Traders - INV-9300</t>
  </si>
  <si>
    <t xml:space="preserve">Bank 23,572.15 vs ledger 23,572.72 (difference -0.57). Difference is within the rounding threshold; likely rounding or minor keying variance.</t>
  </si>
  <si>
    <t xml:space="preserve">EX0080</t>
  </si>
  <si>
    <t xml:space="preserve">B00309</t>
  </si>
  <si>
    <t xml:space="preserve">L00322</t>
  </si>
  <si>
    <t xml:space="preserve">INV-9302</t>
  </si>
  <si>
    <t xml:space="preserve">B: NEFT-CRESTVIEW RETAIL-INV9302 | L: Receipt from Crestview Retail - INV-9302</t>
  </si>
  <si>
    <t xml:space="preserve">Bank 12,701.31 vs ledger 12,700.94 (difference 0.37). Difference is within the rounding threshold; likely rounding or minor keying variance.</t>
  </si>
  <si>
    <t xml:space="preserve">EX0081</t>
  </si>
  <si>
    <t xml:space="preserve">B00607</t>
  </si>
  <si>
    <t xml:space="preserve">L00626</t>
  </si>
  <si>
    <t xml:space="preserve">INV-9303</t>
  </si>
  <si>
    <t xml:space="preserve">B: NEFT-DELTA FOODS-INV9303 | L: Receipt from Delta Foods - INV-9303</t>
  </si>
  <si>
    <t xml:space="preserve">Bank 10,648.31 vs ledger 10,648.46 (difference -0.15). Difference is within the rounding threshold; likely rounding or minor keying variance.</t>
  </si>
  <si>
    <t xml:space="preserve">EX0082</t>
  </si>
  <si>
    <t xml:space="preserve">B00945</t>
  </si>
  <si>
    <t xml:space="preserve">L00940</t>
  </si>
  <si>
    <t xml:space="preserve">INV-9304</t>
  </si>
  <si>
    <t xml:space="preserve">B: NEFT-EVEREST TEXTILES-INV9304 | L: Receipt from Everest Textiles - INV-9304</t>
  </si>
  <si>
    <t xml:space="preserve">Bank 32,551.52 vs ledger 32,551.38 (difference 0.14). Difference is within the rounding threshold; likely rounding or minor keying variance.</t>
  </si>
  <si>
    <t xml:space="preserve">EX0083</t>
  </si>
  <si>
    <t xml:space="preserve">B00877</t>
  </si>
  <si>
    <t xml:space="preserve">L00894</t>
  </si>
  <si>
    <t xml:space="preserve">B: POS 90000 MERCHANT | L: Office supplies purchase</t>
  </si>
  <si>
    <t xml:space="preserve">Paired on amount -439.60 and date (within 3 days) only; no reference or description corroboration.</t>
  </si>
  <si>
    <t xml:space="preserve">EX0084</t>
  </si>
  <si>
    <t xml:space="preserve">B01045</t>
  </si>
  <si>
    <t xml:space="preserve">L01069</t>
  </si>
  <si>
    <t xml:space="preserve">B: POS 90074 MERCHANT | L: Printing expense</t>
  </si>
  <si>
    <t xml:space="preserve">Paired on amount -531.77 and date (within 3 days) only; no reference or description corroboration.</t>
  </si>
  <si>
    <t xml:space="preserve">Matched Transactions (audit log of every pairing)</t>
  </si>
  <si>
    <t xml:space="preserve">Dates shown are the latest date in a group. Flag column links to the exception raised, if any.</t>
  </si>
  <si>
    <t xml:space="preserve">Match ID</t>
  </si>
  <si>
    <t xml:space="preserve">Rule</t>
  </si>
  <si>
    <t xml:space="preserve">Confidence</t>
  </si>
  <si>
    <t xml:space="preserve">Bank Txn ID(s)</t>
  </si>
  <si>
    <t xml:space="preserve">Ledger Txn ID(s)</t>
  </si>
  <si>
    <t xml:space="preserve">Date Variance (days)</t>
  </si>
  <si>
    <t xml:space="preserve">Difference</t>
  </si>
  <si>
    <t xml:space="preserve">Bank Description</t>
  </si>
  <si>
    <t xml:space="preserve">Ledger Description</t>
  </si>
  <si>
    <t xml:space="preserve">Exception Flag</t>
  </si>
  <si>
    <t xml:space="preserve">M00001</t>
  </si>
  <si>
    <t xml:space="preserve">R1 Reference + Amount</t>
  </si>
  <si>
    <t xml:space="preserve">B00001</t>
  </si>
  <si>
    <t xml:space="preserve">L00002</t>
  </si>
  <si>
    <t xml:space="preserve">NEFT-INDUS PACKAGING-INV1189</t>
  </si>
  <si>
    <t xml:space="preserve">Receipt from Indus Packaging - INV-1189</t>
  </si>
  <si>
    <t xml:space="preserve">M00002</t>
  </si>
  <si>
    <t xml:space="preserve">B00002</t>
  </si>
  <si>
    <t xml:space="preserve">L00005</t>
  </si>
  <si>
    <t xml:space="preserve">NEFT-CRESTVIEW RETAIL-INV1303</t>
  </si>
  <si>
    <t xml:space="preserve">Receipt from Crestview Retail - INV-1303</t>
  </si>
  <si>
    <t xml:space="preserve">M00003</t>
  </si>
  <si>
    <t xml:space="preserve">B00003</t>
  </si>
  <si>
    <t xml:space="preserve">L00006</t>
  </si>
  <si>
    <t xml:space="preserve">NEFT-CRESTVIEW RETAIL-INV1315</t>
  </si>
  <si>
    <t xml:space="preserve">Receipt from Crestview Retail - INV-1315</t>
  </si>
  <si>
    <t xml:space="preserve">M00004</t>
  </si>
  <si>
    <t xml:space="preserve">B00004</t>
  </si>
  <si>
    <t xml:space="preserve">L00007</t>
  </si>
  <si>
    <t xml:space="preserve">NEFT-INDUS PACKAGING-INV1333</t>
  </si>
  <si>
    <t xml:space="preserve">Receipt from Indus Packaging - INV-1333</t>
  </si>
  <si>
    <t xml:space="preserve">M00005</t>
  </si>
  <si>
    <t xml:space="preserve">B00005</t>
  </si>
  <si>
    <t xml:space="preserve">L00009</t>
  </si>
  <si>
    <t xml:space="preserve">NEFT-HORIZON PHARMA-INV1380</t>
  </si>
  <si>
    <t xml:space="preserve">Receipt from Horizon Pharma - INV-1380</t>
  </si>
  <si>
    <t xml:space="preserve">M00006</t>
  </si>
  <si>
    <t xml:space="preserve">B00006</t>
  </si>
  <si>
    <t xml:space="preserve">L00010</t>
  </si>
  <si>
    <t xml:space="preserve">NEFT-BLUEFIN LOGISTICS-INV1422</t>
  </si>
  <si>
    <t xml:space="preserve">Receipt from Bluefin Logistics - INV-1422</t>
  </si>
  <si>
    <t xml:space="preserve">M00007</t>
  </si>
  <si>
    <t xml:space="preserve">B00007</t>
  </si>
  <si>
    <t xml:space="preserve">L00011</t>
  </si>
  <si>
    <t xml:space="preserve">NEFT-GREENLEAF AGRO-INV1439</t>
  </si>
  <si>
    <t xml:space="preserve">Receipt from Greenleaf Agro - INV-1439</t>
  </si>
  <si>
    <t xml:space="preserve">M00008</t>
  </si>
  <si>
    <t xml:space="preserve">B00008</t>
  </si>
  <si>
    <t xml:space="preserve">L00013</t>
  </si>
  <si>
    <t xml:space="preserve">NEFT-LAKEVIEW HOTELS-INV1504</t>
  </si>
  <si>
    <t xml:space="preserve">Receipt from Lakeview Hotels - INV-1504</t>
  </si>
  <si>
    <t xml:space="preserve">M00009</t>
  </si>
  <si>
    <t xml:space="preserve">B00009</t>
  </si>
  <si>
    <t xml:space="preserve">L00016</t>
  </si>
  <si>
    <t xml:space="preserve">CHQ 005099 ATLAS FREIGHT</t>
  </si>
  <si>
    <t xml:space="preserve">Cheque payment to Atlas Freight - CHQ-005099</t>
  </si>
  <si>
    <t xml:space="preserve">M00010</t>
  </si>
  <si>
    <t xml:space="preserve">B00013</t>
  </si>
  <si>
    <t xml:space="preserve">L00021</t>
  </si>
  <si>
    <t xml:space="preserve">NEFT-JUPITER STEEL-INV1310</t>
  </si>
  <si>
    <t xml:space="preserve">Receipt from Jupiter Steel - INV-1310</t>
  </si>
  <si>
    <t xml:space="preserve">M00011</t>
  </si>
  <si>
    <t xml:space="preserve">B00015</t>
  </si>
  <si>
    <t xml:space="preserve">L00023</t>
  </si>
  <si>
    <t xml:space="preserve">NEFT-BLUEFIN LOGISTICS-INV1470</t>
  </si>
  <si>
    <t xml:space="preserve">Receipt from Bluefin Logistics - INV-1470</t>
  </si>
  <si>
    <t xml:space="preserve">M00012</t>
  </si>
  <si>
    <t xml:space="preserve">B00017</t>
  </si>
  <si>
    <t xml:space="preserve">L00027</t>
  </si>
  <si>
    <t xml:space="preserve">CHQ 005287 WILLOW FURNISHINGS</t>
  </si>
  <si>
    <t xml:space="preserve">Cheque payment to Willow Furnishings - CHQ-005287</t>
  </si>
  <si>
    <t xml:space="preserve">M00013</t>
  </si>
  <si>
    <t xml:space="preserve">B00018</t>
  </si>
  <si>
    <t xml:space="preserve">L00028</t>
  </si>
  <si>
    <t xml:space="preserve">CHQ 005314 ORCHID CATERING</t>
  </si>
  <si>
    <t xml:space="preserve">Cheque payment to Orchid Catering - CHQ-005314</t>
  </si>
  <si>
    <t xml:space="preserve">M00014</t>
  </si>
  <si>
    <t xml:space="preserve">B00019</t>
  </si>
  <si>
    <t xml:space="preserve">L00031</t>
  </si>
  <si>
    <t xml:space="preserve">CHQ 005428 YONDER TRAVEL</t>
  </si>
  <si>
    <t xml:space="preserve">Cheque payment to Yonder Travel - CHQ-005428</t>
  </si>
  <si>
    <t xml:space="preserve">M00015</t>
  </si>
  <si>
    <t xml:space="preserve">B00021</t>
  </si>
  <si>
    <t xml:space="preserve">L00034</t>
  </si>
  <si>
    <t xml:space="preserve">NEFT-DELTA FOODS-INV1100</t>
  </si>
  <si>
    <t xml:space="preserve">Receipt from Delta Foods - INV-1100</t>
  </si>
  <si>
    <t xml:space="preserve">M00016</t>
  </si>
  <si>
    <t xml:space="preserve">B00023</t>
  </si>
  <si>
    <t xml:space="preserve">L00037</t>
  </si>
  <si>
    <t xml:space="preserve">NEFT-DELTA FOODS-INV1184</t>
  </si>
  <si>
    <t xml:space="preserve">Receipt from Delta Foods - INV-1184</t>
  </si>
  <si>
    <t xml:space="preserve">M00017</t>
  </si>
  <si>
    <t xml:space="preserve">B00024</t>
  </si>
  <si>
    <t xml:space="preserve">L00038</t>
  </si>
  <si>
    <t xml:space="preserve">NEFT-GREENLEAF AGRO-INV1379</t>
  </si>
  <si>
    <t xml:space="preserve">Receipt from Greenleaf Agro - INV-1379</t>
  </si>
  <si>
    <t xml:space="preserve">M00018</t>
  </si>
  <si>
    <t xml:space="preserve">B00027</t>
  </si>
  <si>
    <t xml:space="preserve">L00040</t>
  </si>
  <si>
    <t xml:space="preserve">NEFT-HORIZON PHARMA-INV1512</t>
  </si>
  <si>
    <t xml:space="preserve">Receipt from Horizon Pharma - INV-1512</t>
  </si>
  <si>
    <t xml:space="preserve">M00019</t>
  </si>
  <si>
    <t xml:space="preserve">B00029</t>
  </si>
  <si>
    <t xml:space="preserve">L00041</t>
  </si>
  <si>
    <t xml:space="preserve">NEFT-DELTA FOODS-INV1544</t>
  </si>
  <si>
    <t xml:space="preserve">Receipt from Delta Foods - INV-1544</t>
  </si>
  <si>
    <t xml:space="preserve">M00020</t>
  </si>
  <si>
    <t xml:space="preserve">B00033</t>
  </si>
  <si>
    <t xml:space="preserve">L00048</t>
  </si>
  <si>
    <t xml:space="preserve">NEFT-EVEREST TEXTILES-INV1053</t>
  </si>
  <si>
    <t xml:space="preserve">Receipt from Everest Textiles - INV-1053</t>
  </si>
  <si>
    <t xml:space="preserve">M00021</t>
  </si>
  <si>
    <t xml:space="preserve">B00038</t>
  </si>
  <si>
    <t xml:space="preserve">L00049</t>
  </si>
  <si>
    <t xml:space="preserve">NEFT-BLUEFIN LOGISTICS-INV1338</t>
  </si>
  <si>
    <t xml:space="preserve">Receipt from Bluefin Logistics - INV-1338</t>
  </si>
  <si>
    <t xml:space="preserve">M00022</t>
  </si>
  <si>
    <t xml:space="preserve">B00040</t>
  </si>
  <si>
    <t xml:space="preserve">L00051</t>
  </si>
  <si>
    <t xml:space="preserve">NEFT-FALCON AUTO PARTS-INV1426</t>
  </si>
  <si>
    <t xml:space="preserve">Receipt from Falcon Auto Parts - INV-1426</t>
  </si>
  <si>
    <t xml:space="preserve">M00023</t>
  </si>
  <si>
    <t xml:space="preserve">B00041</t>
  </si>
  <si>
    <t xml:space="preserve">L00053</t>
  </si>
  <si>
    <t xml:space="preserve">NEFT-FALCON AUTO PARTS-INV1546</t>
  </si>
  <si>
    <t xml:space="preserve">Receipt from Falcon Auto Parts - INV-1546</t>
  </si>
  <si>
    <t xml:space="preserve">M00024</t>
  </si>
  <si>
    <t xml:space="preserve">B00046</t>
  </si>
  <si>
    <t xml:space="preserve">L00058</t>
  </si>
  <si>
    <t xml:space="preserve">NEFT-LAKEVIEW HOTELS-INV1336</t>
  </si>
  <si>
    <t xml:space="preserve">Receipt from Lakeview Hotels - INV-1336</t>
  </si>
  <si>
    <t xml:space="preserve">M00025</t>
  </si>
  <si>
    <t xml:space="preserve">B00047</t>
  </si>
  <si>
    <t xml:space="preserve">L00059</t>
  </si>
  <si>
    <t xml:space="preserve">NEFT-GREENLEAF AGRO-INV1343</t>
  </si>
  <si>
    <t xml:space="preserve">Receipt from Greenleaf Agro - INV-1343</t>
  </si>
  <si>
    <t xml:space="preserve">M00026</t>
  </si>
  <si>
    <t xml:space="preserve">B00049</t>
  </si>
  <si>
    <t xml:space="preserve">L00060</t>
  </si>
  <si>
    <t xml:space="preserve">NEFT-EVEREST TEXTILES-INV1377</t>
  </si>
  <si>
    <t xml:space="preserve">Receipt from Everest Textiles - INV-1377</t>
  </si>
  <si>
    <t xml:space="preserve">M00027</t>
  </si>
  <si>
    <t xml:space="preserve">B00050</t>
  </si>
  <si>
    <t xml:space="preserve">L00062</t>
  </si>
  <si>
    <t xml:space="preserve">NEFT-INDUS PACKAGING-INV1489</t>
  </si>
  <si>
    <t xml:space="preserve">Receipt from Indus Packaging - INV-1489</t>
  </si>
  <si>
    <t xml:space="preserve">M00028</t>
  </si>
  <si>
    <t xml:space="preserve">B00051</t>
  </si>
  <si>
    <t xml:space="preserve">L00064</t>
  </si>
  <si>
    <t xml:space="preserve">NEFT-EVEREST TEXTILES-INV1509</t>
  </si>
  <si>
    <t xml:space="preserve">Receipt from Everest Textiles - INV-1509</t>
  </si>
  <si>
    <t xml:space="preserve">M00029</t>
  </si>
  <si>
    <t xml:space="preserve">B00053</t>
  </si>
  <si>
    <t xml:space="preserve">L00068</t>
  </si>
  <si>
    <t xml:space="preserve">CHQ 005228 YONDER TRAVEL</t>
  </si>
  <si>
    <t xml:space="preserve">Cheque payment to Yonder Travel - CHQ-005228</t>
  </si>
  <si>
    <t xml:space="preserve">M00030</t>
  </si>
  <si>
    <t xml:space="preserve">B00060</t>
  </si>
  <si>
    <t xml:space="preserve">L00074</t>
  </si>
  <si>
    <t xml:space="preserve">NEFT-FALCON AUTO PARTS-INV1306</t>
  </si>
  <si>
    <t xml:space="preserve">Receipt from Falcon Auto Parts - INV-1306</t>
  </si>
  <si>
    <t xml:space="preserve">M00031</t>
  </si>
  <si>
    <t xml:space="preserve">B00061</t>
  </si>
  <si>
    <t xml:space="preserve">L00075</t>
  </si>
  <si>
    <t xml:space="preserve">NEFT-CRESTVIEW RETAIL-INV1339</t>
  </si>
  <si>
    <t xml:space="preserve">Receipt from Crestview Retail - INV-1339</t>
  </si>
  <si>
    <t xml:space="preserve">M00032</t>
  </si>
  <si>
    <t xml:space="preserve">B00064</t>
  </si>
  <si>
    <t xml:space="preserve">L00080</t>
  </si>
  <si>
    <t xml:space="preserve">NEFT-ACME TRADERS-INV1565</t>
  </si>
  <si>
    <t xml:space="preserve">Receipt from Acme Traders - INV-1565</t>
  </si>
  <si>
    <t xml:space="preserve">M00033</t>
  </si>
  <si>
    <t xml:space="preserve">B00066</t>
  </si>
  <si>
    <t xml:space="preserve">L00088</t>
  </si>
  <si>
    <t xml:space="preserve">CHQ 005284 ORCHID CATERING</t>
  </si>
  <si>
    <t xml:space="preserve">Cheque payment to Orchid Catering - CHQ-005284</t>
  </si>
  <si>
    <t xml:space="preserve">M00034</t>
  </si>
  <si>
    <t xml:space="preserve">B00068</t>
  </si>
  <si>
    <t xml:space="preserve">L00092</t>
  </si>
  <si>
    <t xml:space="preserve">NEFT-CRESTVIEW RETAIL-INV1039</t>
  </si>
  <si>
    <t xml:space="preserve">Receipt from Crestview Retail - INV-1039</t>
  </si>
  <si>
    <t xml:space="preserve">M00035</t>
  </si>
  <si>
    <t xml:space="preserve">B00069</t>
  </si>
  <si>
    <t xml:space="preserve">L00093</t>
  </si>
  <si>
    <t xml:space="preserve">NEFT-GREENLEAF AGRO-INV1115</t>
  </si>
  <si>
    <t xml:space="preserve">Receipt from Greenleaf Agro - INV-1115</t>
  </si>
  <si>
    <t xml:space="preserve">M00036</t>
  </si>
  <si>
    <t xml:space="preserve">B00070</t>
  </si>
  <si>
    <t xml:space="preserve">L00094</t>
  </si>
  <si>
    <t xml:space="preserve">NEFT-DELTA FOODS-INV1208</t>
  </si>
  <si>
    <t xml:space="preserve">Receipt from Delta Foods - INV-1208</t>
  </si>
  <si>
    <t xml:space="preserve">M00037</t>
  </si>
  <si>
    <t xml:space="preserve">B00072</t>
  </si>
  <si>
    <t xml:space="preserve">L00097</t>
  </si>
  <si>
    <t xml:space="preserve">NEFT-EVEREST TEXTILES-INV1305</t>
  </si>
  <si>
    <t xml:space="preserve">Receipt from Everest Textiles - INV-1305</t>
  </si>
  <si>
    <t xml:space="preserve">M00038</t>
  </si>
  <si>
    <t xml:space="preserve">B00074</t>
  </si>
  <si>
    <t xml:space="preserve">L00100</t>
  </si>
  <si>
    <t xml:space="preserve">NEFT-EVEREST TEXTILES-INV1461</t>
  </si>
  <si>
    <t xml:space="preserve">Receipt from Everest Textiles - INV-1461</t>
  </si>
  <si>
    <t xml:space="preserve">M00039</t>
  </si>
  <si>
    <t xml:space="preserve">B00085</t>
  </si>
  <si>
    <t xml:space="preserve">L00109</t>
  </si>
  <si>
    <t xml:space="preserve">NEFT-ACME TRADERS-INV1025</t>
  </si>
  <si>
    <t xml:space="preserve">Receipt from Acme Traders - INV-1025</t>
  </si>
  <si>
    <t xml:space="preserve">M00040</t>
  </si>
  <si>
    <t xml:space="preserve">B00087</t>
  </si>
  <si>
    <t xml:space="preserve">L00110</t>
  </si>
  <si>
    <t xml:space="preserve">NEFT-CRESTVIEW RETAIL-INV1099</t>
  </si>
  <si>
    <t xml:space="preserve">Receipt from Crestview Retail - INV-1099</t>
  </si>
  <si>
    <t xml:space="preserve">M00041</t>
  </si>
  <si>
    <t xml:space="preserve">B00091</t>
  </si>
  <si>
    <t xml:space="preserve">L00112</t>
  </si>
  <si>
    <t xml:space="preserve">NEFT-LAKEVIEW HOTELS-INV1396</t>
  </si>
  <si>
    <t xml:space="preserve">Receipt from Lakeview Hotels - INV-1396</t>
  </si>
  <si>
    <t xml:space="preserve">M00042</t>
  </si>
  <si>
    <t xml:space="preserve">B00098</t>
  </si>
  <si>
    <t xml:space="preserve">L00124</t>
  </si>
  <si>
    <t xml:space="preserve">NEFT-DELTA FOODS-INV1004</t>
  </si>
  <si>
    <t xml:space="preserve">Receipt from Delta Foods - INV-1004</t>
  </si>
  <si>
    <t xml:space="preserve">M00043</t>
  </si>
  <si>
    <t xml:space="preserve">B00099</t>
  </si>
  <si>
    <t xml:space="preserve">L00127</t>
  </si>
  <si>
    <t xml:space="preserve">NEFT-DELTA FOODS-INV1220</t>
  </si>
  <si>
    <t xml:space="preserve">Receipt from Delta Foods - INV-1220</t>
  </si>
  <si>
    <t xml:space="preserve">M00044</t>
  </si>
  <si>
    <t xml:space="preserve">B00100</t>
  </si>
  <si>
    <t xml:space="preserve">L00129</t>
  </si>
  <si>
    <t xml:space="preserve">NEFT-EVEREST TEXTILES-INV1281</t>
  </si>
  <si>
    <t xml:space="preserve">Receipt from Everest Textiles - INV-1281</t>
  </si>
  <si>
    <t xml:space="preserve">M00045</t>
  </si>
  <si>
    <t xml:space="preserve">B00101</t>
  </si>
  <si>
    <t xml:space="preserve">L00130</t>
  </si>
  <si>
    <t xml:space="preserve">NEFT-KINGSLEY CHEMICALS-INV1311</t>
  </si>
  <si>
    <t xml:space="preserve">Receipt from Kingsley Chemicals - INV-1311</t>
  </si>
  <si>
    <t xml:space="preserve">M00046</t>
  </si>
  <si>
    <t xml:space="preserve">B00102</t>
  </si>
  <si>
    <t xml:space="preserve">L00131</t>
  </si>
  <si>
    <t xml:space="preserve">NEFT-DELTA FOODS-INV1400</t>
  </si>
  <si>
    <t xml:space="preserve">Receipt from Delta Foods - INV-1400</t>
  </si>
  <si>
    <t xml:space="preserve">M00047</t>
  </si>
  <si>
    <t xml:space="preserve">B00103</t>
  </si>
  <si>
    <t xml:space="preserve">L00132</t>
  </si>
  <si>
    <t xml:space="preserve">NEFT-GREENLEAF AGRO-INV1451</t>
  </si>
  <si>
    <t xml:space="preserve">Receipt from Greenleaf Agro - INV-1451</t>
  </si>
  <si>
    <t xml:space="preserve">M00048</t>
  </si>
  <si>
    <t xml:space="preserve">B00105</t>
  </si>
  <si>
    <t xml:space="preserve">L00135</t>
  </si>
  <si>
    <t xml:space="preserve">CHQ 005056 VERTEX CONSULTING</t>
  </si>
  <si>
    <t xml:space="preserve">Cheque payment to Vertex Consulting - CHQ-005056</t>
  </si>
  <si>
    <t xml:space="preserve">M00049</t>
  </si>
  <si>
    <t xml:space="preserve">B00114</t>
  </si>
  <si>
    <t xml:space="preserve">L00139</t>
  </si>
  <si>
    <t xml:space="preserve">NEFT-EVEREST TEXTILES-INV1173</t>
  </si>
  <si>
    <t xml:space="preserve">Receipt from Everest Textiles - INV-1173</t>
  </si>
  <si>
    <t xml:space="preserve">M00050</t>
  </si>
  <si>
    <t xml:space="preserve">B00117</t>
  </si>
  <si>
    <t xml:space="preserve">L00142</t>
  </si>
  <si>
    <t xml:space="preserve">Receipt from Everest Textiles - INV-1425</t>
  </si>
  <si>
    <t xml:space="preserve">M00051</t>
  </si>
  <si>
    <t xml:space="preserve">B00118</t>
  </si>
  <si>
    <t xml:space="preserve">L00143</t>
  </si>
  <si>
    <t xml:space="preserve">NEFT-LAKEVIEW HOTELS-INV1540</t>
  </si>
  <si>
    <t xml:space="preserve">Receipt from Lakeview Hotels - INV-1540</t>
  </si>
  <si>
    <t xml:space="preserve">M00052</t>
  </si>
  <si>
    <t xml:space="preserve">B00125</t>
  </si>
  <si>
    <t xml:space="preserve">L00146</t>
  </si>
  <si>
    <t xml:space="preserve">NEFT-CRESTVIEW RETAIL-INV1027</t>
  </si>
  <si>
    <t xml:space="preserve">Receipt from Crestview Retail - INV-1027</t>
  </si>
  <si>
    <t xml:space="preserve">M00053</t>
  </si>
  <si>
    <t xml:space="preserve">B00130</t>
  </si>
  <si>
    <t xml:space="preserve">L00150</t>
  </si>
  <si>
    <t xml:space="preserve">NEFT-BLUEFIN LOGISTICS-INV1494</t>
  </si>
  <si>
    <t xml:space="preserve">Receipt from Bluefin Logistics - INV-1494</t>
  </si>
  <si>
    <t xml:space="preserve">M00054</t>
  </si>
  <si>
    <t xml:space="preserve">B00137</t>
  </si>
  <si>
    <t xml:space="preserve">L00154</t>
  </si>
  <si>
    <t xml:space="preserve">NEFT-HORIZON PHARMA-INV1176</t>
  </si>
  <si>
    <t xml:space="preserve">Receipt from Horizon Pharma - INV-1176</t>
  </si>
  <si>
    <t xml:space="preserve">M00055</t>
  </si>
  <si>
    <t xml:space="preserve">B00147</t>
  </si>
  <si>
    <t xml:space="preserve">L00175</t>
  </si>
  <si>
    <t xml:space="preserve">NEFT-ACME TRADERS-INV1145</t>
  </si>
  <si>
    <t xml:space="preserve">Receipt from Acme Traders - INV-1145</t>
  </si>
  <si>
    <t xml:space="preserve">M00056</t>
  </si>
  <si>
    <t xml:space="preserve">B00152</t>
  </si>
  <si>
    <t xml:space="preserve">L00180</t>
  </si>
  <si>
    <t xml:space="preserve">CHQ 005032 PINNACLE PRINT</t>
  </si>
  <si>
    <t xml:space="preserve">Cheque payment to Pinnacle Print - CHQ-005032</t>
  </si>
  <si>
    <t xml:space="preserve">M00057</t>
  </si>
  <si>
    <t xml:space="preserve">B00163</t>
  </si>
  <si>
    <t xml:space="preserve">L00186</t>
  </si>
  <si>
    <t xml:space="preserve">NEFT-GREENLEAF AGRO-INV1187</t>
  </si>
  <si>
    <t xml:space="preserve">Receipt from Greenleaf Agro - INV-1187</t>
  </si>
  <si>
    <t xml:space="preserve">M00058</t>
  </si>
  <si>
    <t xml:space="preserve">B00164</t>
  </si>
  <si>
    <t xml:space="preserve">L00188</t>
  </si>
  <si>
    <t xml:space="preserve">NEFT-EVEREST TEXTILES-INV1233</t>
  </si>
  <si>
    <t xml:space="preserve">Receipt from Everest Textiles - INV-1233</t>
  </si>
  <si>
    <t xml:space="preserve">M00059</t>
  </si>
  <si>
    <t xml:space="preserve">B00167</t>
  </si>
  <si>
    <t xml:space="preserve">L00190</t>
  </si>
  <si>
    <t xml:space="preserve">NEFT-EVEREST TEXTILES-INV1317</t>
  </si>
  <si>
    <t xml:space="preserve">Receipt from Everest Textiles - INV-1317</t>
  </si>
  <si>
    <t xml:space="preserve">M00060</t>
  </si>
  <si>
    <t xml:space="preserve">B00169</t>
  </si>
  <si>
    <t xml:space="preserve">L00191</t>
  </si>
  <si>
    <t xml:space="preserve">NEFT-ACME TRADERS-INV1373</t>
  </si>
  <si>
    <t xml:space="preserve">Receipt from Acme Traders - INV-1373</t>
  </si>
  <si>
    <t xml:space="preserve">M00061</t>
  </si>
  <si>
    <t xml:space="preserve">B00170</t>
  </si>
  <si>
    <t xml:space="preserve">L00193</t>
  </si>
  <si>
    <t xml:space="preserve">NEFT-EVEREST TEXTILES-INV1389</t>
  </si>
  <si>
    <t xml:space="preserve">Receipt from Everest Textiles - INV-1389</t>
  </si>
  <si>
    <t xml:space="preserve">M00062</t>
  </si>
  <si>
    <t xml:space="preserve">B00172</t>
  </si>
  <si>
    <t xml:space="preserve">L00194</t>
  </si>
  <si>
    <t xml:space="preserve">NEFT-INDUS PACKAGING-INV1453</t>
  </si>
  <si>
    <t xml:space="preserve">Receipt from Indus Packaging - INV-1453</t>
  </si>
  <si>
    <t xml:space="preserve">M00063</t>
  </si>
  <si>
    <t xml:space="preserve">B00189</t>
  </si>
  <si>
    <t xml:space="preserve">L00208</t>
  </si>
  <si>
    <t xml:space="preserve">CHQ 005216 VERTEX CONSULTING</t>
  </si>
  <si>
    <t xml:space="preserve">Cheque payment to Vertex Consulting - CHQ-005216</t>
  </si>
  <si>
    <t xml:space="preserve">M00064</t>
  </si>
  <si>
    <t xml:space="preserve">B00191</t>
  </si>
  <si>
    <t xml:space="preserve">L00214</t>
  </si>
  <si>
    <t xml:space="preserve">NEFT-BLUEFIN LOGISTICS-INV1158</t>
  </si>
  <si>
    <t xml:space="preserve">Receipt from Bluefin Logistics - INV-1158</t>
  </si>
  <si>
    <t xml:space="preserve">M00065</t>
  </si>
  <si>
    <t xml:space="preserve">B00202</t>
  </si>
  <si>
    <t xml:space="preserve">L00223</t>
  </si>
  <si>
    <t xml:space="preserve">NEFT-JUPITER STEEL-INV1070</t>
  </si>
  <si>
    <t xml:space="preserve">Receipt from Jupiter Steel - INV-1070</t>
  </si>
  <si>
    <t xml:space="preserve">M00066</t>
  </si>
  <si>
    <t xml:space="preserve">B00203</t>
  </si>
  <si>
    <t xml:space="preserve">L00224</t>
  </si>
  <si>
    <t xml:space="preserve">NEFT-ACME TRADERS-INV1169</t>
  </si>
  <si>
    <t xml:space="preserve">Receipt from Acme Traders - INV-1169</t>
  </si>
  <si>
    <t xml:space="preserve">M00067</t>
  </si>
  <si>
    <t xml:space="preserve">B00209</t>
  </si>
  <si>
    <t xml:space="preserve">L00229</t>
  </si>
  <si>
    <t xml:space="preserve">CHQ 005072 PINNACLE PRINT</t>
  </si>
  <si>
    <t xml:space="preserve">Cheque payment to Pinnacle Print - CHQ-005072</t>
  </si>
  <si>
    <t xml:space="preserve">M00068</t>
  </si>
  <si>
    <t xml:space="preserve">B00217</t>
  </si>
  <si>
    <t xml:space="preserve">L00241</t>
  </si>
  <si>
    <t xml:space="preserve">NEFT-LAKEVIEW HOTELS-INV1528</t>
  </si>
  <si>
    <t xml:space="preserve">Receipt from Lakeview Hotels - INV-1528</t>
  </si>
  <si>
    <t xml:space="preserve">M00069</t>
  </si>
  <si>
    <t xml:space="preserve">B00220</t>
  </si>
  <si>
    <t xml:space="preserve">L00247</t>
  </si>
  <si>
    <t xml:space="preserve">CHQ 005277 WILLOW FURNISHINGS</t>
  </si>
  <si>
    <t xml:space="preserve">Cheque payment to Willow Furnishings - CHQ-005277</t>
  </si>
  <si>
    <t xml:space="preserve">M00070</t>
  </si>
  <si>
    <t xml:space="preserve">B00224</t>
  </si>
  <si>
    <t xml:space="preserve">L00252</t>
  </si>
  <si>
    <t xml:space="preserve">NEFT-HORIZON PHARMA-INV1044</t>
  </si>
  <si>
    <t xml:space="preserve">Receipt from Horizon Pharma - INV-1044</t>
  </si>
  <si>
    <t xml:space="preserve">M00071</t>
  </si>
  <si>
    <t xml:space="preserve">B00225</t>
  </si>
  <si>
    <t xml:space="preserve">L00253</t>
  </si>
  <si>
    <t xml:space="preserve">NEFT-INDUS PACKAGING-INV1129</t>
  </si>
  <si>
    <t xml:space="preserve">Receipt from Indus Packaging - INV-1129</t>
  </si>
  <si>
    <t xml:space="preserve">M00072</t>
  </si>
  <si>
    <t xml:space="preserve">B00226</t>
  </si>
  <si>
    <t xml:space="preserve">L00254</t>
  </si>
  <si>
    <t xml:space="preserve">NEFT-JUPITER STEEL-INV1250</t>
  </si>
  <si>
    <t xml:space="preserve">Receipt from Jupiter Steel - INV-1250</t>
  </si>
  <si>
    <t xml:space="preserve">M00073</t>
  </si>
  <si>
    <t xml:space="preserve">B00227</t>
  </si>
  <si>
    <t xml:space="preserve">L00255</t>
  </si>
  <si>
    <t xml:space="preserve">NEFT-EVEREST TEXTILES-INV1413</t>
  </si>
  <si>
    <t xml:space="preserve">Receipt from Everest Textiles - INV-1413</t>
  </si>
  <si>
    <t xml:space="preserve">M00074</t>
  </si>
  <si>
    <t xml:space="preserve">B00228</t>
  </si>
  <si>
    <t xml:space="preserve">L00256</t>
  </si>
  <si>
    <t xml:space="preserve">NEFT-HORIZON PHARMA-INV1428</t>
  </si>
  <si>
    <t xml:space="preserve">Receipt from Horizon Pharma - INV-1428</t>
  </si>
  <si>
    <t xml:space="preserve">M00075</t>
  </si>
  <si>
    <t xml:space="preserve">B00230</t>
  </si>
  <si>
    <t xml:space="preserve">L00257</t>
  </si>
  <si>
    <t xml:space="preserve">NEFT-CRESTVIEW RETAIL-INV1459</t>
  </si>
  <si>
    <t xml:space="preserve">Receipt from Crestview Retail - INV-1459</t>
  </si>
  <si>
    <t xml:space="preserve">M00076</t>
  </si>
  <si>
    <t xml:space="preserve">B00231</t>
  </si>
  <si>
    <t xml:space="preserve">L00258</t>
  </si>
  <si>
    <t xml:space="preserve">NEFT-DELTA FOODS-INV1508</t>
  </si>
  <si>
    <t xml:space="preserve">Receipt from Delta Foods - INV-1508</t>
  </si>
  <si>
    <t xml:space="preserve">M00077</t>
  </si>
  <si>
    <t xml:space="preserve">B00239</t>
  </si>
  <si>
    <t xml:space="preserve">L00266</t>
  </si>
  <si>
    <t xml:space="preserve">CHQ 005383 ZENITH HARDWARE</t>
  </si>
  <si>
    <t xml:space="preserve">Cheque payment to Zenith Hardware - CHQ-005383</t>
  </si>
  <si>
    <t xml:space="preserve">M00078</t>
  </si>
  <si>
    <t xml:space="preserve">B00241</t>
  </si>
  <si>
    <t xml:space="preserve">L00272</t>
  </si>
  <si>
    <t xml:space="preserve">NEFT-BLUEFIN LOGISTICS-INV1074</t>
  </si>
  <si>
    <t xml:space="preserve">Receipt from Bluefin Logistics - INV-1074</t>
  </si>
  <si>
    <t xml:space="preserve">M00079</t>
  </si>
  <si>
    <t xml:space="preserve">B00243</t>
  </si>
  <si>
    <t xml:space="preserve">L00275</t>
  </si>
  <si>
    <t xml:space="preserve">NEFT-INDUS PACKAGING-INV1273</t>
  </si>
  <si>
    <t xml:space="preserve">Receipt from Indus Packaging - INV-1273</t>
  </si>
  <si>
    <t xml:space="preserve">M00080</t>
  </si>
  <si>
    <t xml:space="preserve">B00244</t>
  </si>
  <si>
    <t xml:space="preserve">L00276</t>
  </si>
  <si>
    <t xml:space="preserve">NEFT-FALCON AUTO PARTS-INV1414</t>
  </si>
  <si>
    <t xml:space="preserve">Receipt from Falcon Auto Parts - INV-1414</t>
  </si>
  <si>
    <t xml:space="preserve">M00081</t>
  </si>
  <si>
    <t xml:space="preserve">B00245</t>
  </si>
  <si>
    <t xml:space="preserve">L00277</t>
  </si>
  <si>
    <t xml:space="preserve">NEFT-JUPITER STEEL-INV1454</t>
  </si>
  <si>
    <t xml:space="preserve">Receipt from Jupiter Steel - INV-1454</t>
  </si>
  <si>
    <t xml:space="preserve">M00082</t>
  </si>
  <si>
    <t xml:space="preserve">B00257</t>
  </si>
  <si>
    <t xml:space="preserve">L00287</t>
  </si>
  <si>
    <t xml:space="preserve">NEFT-BLUEFIN LOGISTICS-INV1062</t>
  </si>
  <si>
    <t xml:space="preserve">Receipt from Bluefin Logistics - INV-1062</t>
  </si>
  <si>
    <t xml:space="preserve">M00083</t>
  </si>
  <si>
    <t xml:space="preserve">B00259</t>
  </si>
  <si>
    <t xml:space="preserve">L00290</t>
  </si>
  <si>
    <t xml:space="preserve">NEFT-JUPITER STEEL-INV1262</t>
  </si>
  <si>
    <t xml:space="preserve">Receipt from Jupiter Steel - INV-1262</t>
  </si>
  <si>
    <t xml:space="preserve">M00084</t>
  </si>
  <si>
    <t xml:space="preserve">B00260</t>
  </si>
  <si>
    <t xml:space="preserve">L00292</t>
  </si>
  <si>
    <t xml:space="preserve">NEFT-FALCON AUTO PARTS-INV1270</t>
  </si>
  <si>
    <t xml:space="preserve">Receipt from Falcon Auto Parts - INV-1270</t>
  </si>
  <si>
    <t xml:space="preserve">M00085</t>
  </si>
  <si>
    <t xml:space="preserve">B00276</t>
  </si>
  <si>
    <t xml:space="preserve">L00305</t>
  </si>
  <si>
    <t xml:space="preserve">NEFT-LAKEVIEW HOTELS-INV1288</t>
  </si>
  <si>
    <t xml:space="preserve">Receipt from Lakeview Hotels - INV-1288</t>
  </si>
  <si>
    <t xml:space="preserve">M00086</t>
  </si>
  <si>
    <t xml:space="preserve">B00281</t>
  </si>
  <si>
    <t xml:space="preserve">L00310</t>
  </si>
  <si>
    <t xml:space="preserve">CHQ 005149 ATLAS FREIGHT</t>
  </si>
  <si>
    <t xml:space="preserve">Cheque payment to Atlas Freight - CHQ-005149</t>
  </si>
  <si>
    <t xml:space="preserve">M00087</t>
  </si>
  <si>
    <t xml:space="preserve">B00286</t>
  </si>
  <si>
    <t xml:space="preserve">L00314</t>
  </si>
  <si>
    <t xml:space="preserve">NEFT-ACME TRADERS-INV1529</t>
  </si>
  <si>
    <t xml:space="preserve">Receipt from Acme Traders - INV-1529</t>
  </si>
  <si>
    <t xml:space="preserve">M00088</t>
  </si>
  <si>
    <t xml:space="preserve">B00294</t>
  </si>
  <si>
    <t xml:space="preserve">L00319</t>
  </si>
  <si>
    <t xml:space="preserve">CHQ 005283 ZENITH HARDWARE</t>
  </si>
  <si>
    <t xml:space="preserve">Cheque payment to Zenith Hardware - CHQ-005283</t>
  </si>
  <si>
    <t xml:space="preserve">M00089</t>
  </si>
  <si>
    <t xml:space="preserve">B00295</t>
  </si>
  <si>
    <t xml:space="preserve">L00321</t>
  </si>
  <si>
    <t xml:space="preserve">CHQ 005421 KESTREL OFFICE SUPPLIES</t>
  </si>
  <si>
    <t xml:space="preserve">Cheque payment to Kestrel Office Supplies - CHQ-005421</t>
  </si>
  <si>
    <t xml:space="preserve">M00090</t>
  </si>
  <si>
    <t xml:space="preserve">B00296</t>
  </si>
  <si>
    <t xml:space="preserve">L00325</t>
  </si>
  <si>
    <t xml:space="preserve">NEFT-INDUS PACKAGING-INV1105</t>
  </si>
  <si>
    <t xml:space="preserve">Receipt from Indus Packaging - INV-1105</t>
  </si>
  <si>
    <t xml:space="preserve">M00091</t>
  </si>
  <si>
    <t xml:space="preserve">B00298</t>
  </si>
  <si>
    <t xml:space="preserve">L00326</t>
  </si>
  <si>
    <t xml:space="preserve">NEFT-ACME TRADERS-INV1205</t>
  </si>
  <si>
    <t xml:space="preserve">Receipt from Acme Traders - INV-1205</t>
  </si>
  <si>
    <t xml:space="preserve">M00092</t>
  </si>
  <si>
    <t xml:space="preserve">B00299</t>
  </si>
  <si>
    <t xml:space="preserve">L00327</t>
  </si>
  <si>
    <t xml:space="preserve">NEFT-DELTA FOODS-INV1316</t>
  </si>
  <si>
    <t xml:space="preserve">Receipt from Delta Foods - INV-1316</t>
  </si>
  <si>
    <t xml:space="preserve">M00093</t>
  </si>
  <si>
    <t xml:space="preserve">B00301</t>
  </si>
  <si>
    <t xml:space="preserve">L00331</t>
  </si>
  <si>
    <t xml:space="preserve">NEFT-EVEREST TEXTILES-INV1545</t>
  </si>
  <si>
    <t xml:space="preserve">Receipt from Everest Textiles - INV-1545</t>
  </si>
  <si>
    <t xml:space="preserve">M00094</t>
  </si>
  <si>
    <t xml:space="preserve">B00312</t>
  </si>
  <si>
    <t xml:space="preserve">L00335</t>
  </si>
  <si>
    <t xml:space="preserve">NEFT-CRESTVIEW RETAIL-INV1051</t>
  </si>
  <si>
    <t xml:space="preserve">Receipt from Crestview Retail - INV-1051</t>
  </si>
  <si>
    <t xml:space="preserve">M00095</t>
  </si>
  <si>
    <t xml:space="preserve">B00314</t>
  </si>
  <si>
    <t xml:space="preserve">L00337</t>
  </si>
  <si>
    <t xml:space="preserve">NEFT-KINGSLEY CHEMICALS-INV1203</t>
  </si>
  <si>
    <t xml:space="preserve">Receipt from Kingsley Chemicals - INV-1203</t>
  </si>
  <si>
    <t xml:space="preserve">M00096</t>
  </si>
  <si>
    <t xml:space="preserve">B00315</t>
  </si>
  <si>
    <t xml:space="preserve">L00339</t>
  </si>
  <si>
    <t xml:space="preserve">NEFT-JUPITER STEEL-INV1274</t>
  </si>
  <si>
    <t xml:space="preserve">Receipt from Jupiter Steel - INV-1274</t>
  </si>
  <si>
    <t xml:space="preserve">M00097</t>
  </si>
  <si>
    <t xml:space="preserve">B00319</t>
  </si>
  <si>
    <t xml:space="preserve">L00344</t>
  </si>
  <si>
    <t xml:space="preserve">CHQ 005080 BIRCH PACKAGING</t>
  </si>
  <si>
    <t xml:space="preserve">M00098</t>
  </si>
  <si>
    <t xml:space="preserve">B00324</t>
  </si>
  <si>
    <t xml:space="preserve">L00349</t>
  </si>
  <si>
    <t xml:space="preserve">NEFT-CRESTVIEW RETAIL-INV1123</t>
  </si>
  <si>
    <t xml:space="preserve">Receipt from Crestview Retail - INV-1123</t>
  </si>
  <si>
    <t xml:space="preserve">M00099</t>
  </si>
  <si>
    <t xml:space="preserve">B00326</t>
  </si>
  <si>
    <t xml:space="preserve">L00352</t>
  </si>
  <si>
    <t xml:space="preserve">NEFT-FALCON AUTO PARTS-INV1318</t>
  </si>
  <si>
    <t xml:space="preserve">Receipt from Falcon Auto Parts - INV-1318</t>
  </si>
  <si>
    <t xml:space="preserve">M00100</t>
  </si>
  <si>
    <t xml:space="preserve">B00327</t>
  </si>
  <si>
    <t xml:space="preserve">L00356</t>
  </si>
  <si>
    <t xml:space="preserve">NEFT-CRESTVIEW RETAIL-INV1483</t>
  </si>
  <si>
    <t xml:space="preserve">Receipt from Crestview Retail - INV-1483</t>
  </si>
  <si>
    <t xml:space="preserve">M00101</t>
  </si>
  <si>
    <t xml:space="preserve">B00335</t>
  </si>
  <si>
    <t xml:space="preserve">L00371</t>
  </si>
  <si>
    <t xml:space="preserve">NEFT-FALCON AUTO PARTS-INV1150</t>
  </si>
  <si>
    <t xml:space="preserve">Receipt from Falcon Auto Parts - INV-1150</t>
  </si>
  <si>
    <t xml:space="preserve">M00102</t>
  </si>
  <si>
    <t xml:space="preserve">B00336</t>
  </si>
  <si>
    <t xml:space="preserve">L00374</t>
  </si>
  <si>
    <t xml:space="preserve">NEFT-ACME TRADERS-INV1253</t>
  </si>
  <si>
    <t xml:space="preserve">Receipt from Acme Traders - INV-1253</t>
  </si>
  <si>
    <t xml:space="preserve">M00103</t>
  </si>
  <si>
    <t xml:space="preserve">B00343</t>
  </si>
  <si>
    <t xml:space="preserve">L00377</t>
  </si>
  <si>
    <t xml:space="preserve">CHQ 005132 PINNACLE PRINT</t>
  </si>
  <si>
    <t xml:space="preserve">Cheque payment to Pinnacle Print - CHQ-005132</t>
  </si>
  <si>
    <t xml:space="preserve">M00104</t>
  </si>
  <si>
    <t xml:space="preserve">B00349</t>
  </si>
  <si>
    <t xml:space="preserve">L00382</t>
  </si>
  <si>
    <t xml:space="preserve">NEFT-BLUEFIN LOGISTICS-INV1182</t>
  </si>
  <si>
    <t xml:space="preserve">Receipt from Bluefin Logistics - INV-1182</t>
  </si>
  <si>
    <t xml:space="preserve">M00105</t>
  </si>
  <si>
    <t xml:space="preserve">B00351</t>
  </si>
  <si>
    <t xml:space="preserve">L00383</t>
  </si>
  <si>
    <t xml:space="preserve">Receipt from Crestview Retail - INV-1207</t>
  </si>
  <si>
    <t xml:space="preserve">M00106</t>
  </si>
  <si>
    <t xml:space="preserve">B00352</t>
  </si>
  <si>
    <t xml:space="preserve">L00384</t>
  </si>
  <si>
    <t xml:space="preserve">NEFT-DELTA FOODS-INV1328</t>
  </si>
  <si>
    <t xml:space="preserve">Receipt from Delta Foods - INV-1328</t>
  </si>
  <si>
    <t xml:space="preserve">M00107</t>
  </si>
  <si>
    <t xml:space="preserve">B00353</t>
  </si>
  <si>
    <t xml:space="preserve">L00385</t>
  </si>
  <si>
    <t xml:space="preserve">NEFT-JUPITER STEEL-INV1358</t>
  </si>
  <si>
    <t xml:space="preserve">Receipt from Jupiter Steel - INV-1358</t>
  </si>
  <si>
    <t xml:space="preserve">M00108</t>
  </si>
  <si>
    <t xml:space="preserve">B00356</t>
  </si>
  <si>
    <t xml:space="preserve">L00386</t>
  </si>
  <si>
    <t xml:space="preserve">NEFT-LAKEVIEW HOTELS-INV1456</t>
  </si>
  <si>
    <t xml:space="preserve">Receipt from Lakeview Hotels - INV-1456</t>
  </si>
  <si>
    <t xml:space="preserve">M00109</t>
  </si>
  <si>
    <t xml:space="preserve">B00363</t>
  </si>
  <si>
    <t xml:space="preserve">L00395</t>
  </si>
  <si>
    <t xml:space="preserve">NEFT-GREENLEAF AGRO-INV1007</t>
  </si>
  <si>
    <t xml:space="preserve">Receipt from Greenleaf Agro - INV-1007</t>
  </si>
  <si>
    <t xml:space="preserve">M00110</t>
  </si>
  <si>
    <t xml:space="preserve">B00366</t>
  </si>
  <si>
    <t xml:space="preserve">L00396</t>
  </si>
  <si>
    <t xml:space="preserve">NEFT-EVEREST TEXTILES-INV1101</t>
  </si>
  <si>
    <t xml:space="preserve">Receipt from Everest Textiles - INV-1101</t>
  </si>
  <si>
    <t xml:space="preserve">M00111</t>
  </si>
  <si>
    <t xml:space="preserve">B00367</t>
  </si>
  <si>
    <t xml:space="preserve">L00397</t>
  </si>
  <si>
    <t xml:space="preserve">NEFT-LAKEVIEW HOTELS-INV1324</t>
  </si>
  <si>
    <t xml:space="preserve">Receipt from Lakeview Hotels - INV-1324</t>
  </si>
  <si>
    <t xml:space="preserve">M00112</t>
  </si>
  <si>
    <t xml:space="preserve">B00368</t>
  </si>
  <si>
    <t xml:space="preserve">L00400</t>
  </si>
  <si>
    <t xml:space="preserve">NEFT-EVEREST TEXTILES-INV1401</t>
  </si>
  <si>
    <t xml:space="preserve">Receipt from Everest Textiles - INV-1401</t>
  </si>
  <si>
    <t xml:space="preserve">M00113</t>
  </si>
  <si>
    <t xml:space="preserve">B00369</t>
  </si>
  <si>
    <t xml:space="preserve">L00401</t>
  </si>
  <si>
    <t xml:space="preserve">NEFT-HORIZON PHARMA-INV1500</t>
  </si>
  <si>
    <t xml:space="preserve">Receipt from Horizon Pharma - INV-1500</t>
  </si>
  <si>
    <t xml:space="preserve">M00114</t>
  </si>
  <si>
    <t xml:space="preserve">B00378</t>
  </si>
  <si>
    <t xml:space="preserve">L00406</t>
  </si>
  <si>
    <t xml:space="preserve">CHQ 005427 WILLOW FURNISHINGS</t>
  </si>
  <si>
    <t xml:space="preserve">Cheque payment to Willow Furnishings - CHQ-005427</t>
  </si>
  <si>
    <t xml:space="preserve">M00115</t>
  </si>
  <si>
    <t xml:space="preserve">B00379</t>
  </si>
  <si>
    <t xml:space="preserve">L00407</t>
  </si>
  <si>
    <t xml:space="preserve">NEFT-FALCON AUTO PARTS-INV1030</t>
  </si>
  <si>
    <t xml:space="preserve">Receipt from Falcon Auto Parts - INV-1030</t>
  </si>
  <si>
    <t xml:space="preserve">M00116</t>
  </si>
  <si>
    <t xml:space="preserve">B00380</t>
  </si>
  <si>
    <t xml:space="preserve">L00408</t>
  </si>
  <si>
    <t xml:space="preserve">Receipt from Delta Foods - INV-1052</t>
  </si>
  <si>
    <t xml:space="preserve">M00117</t>
  </si>
  <si>
    <t xml:space="preserve">B00381</t>
  </si>
  <si>
    <t xml:space="preserve">L00409</t>
  </si>
  <si>
    <t xml:space="preserve">NEFT-KINGSLEY CHEMICALS-INV1095</t>
  </si>
  <si>
    <t xml:space="preserve">Receipt from Kingsley Chemicals - INV-1095</t>
  </si>
  <si>
    <t xml:space="preserve">M00118</t>
  </si>
  <si>
    <t xml:space="preserve">B00383</t>
  </si>
  <si>
    <t xml:space="preserve">L00413</t>
  </si>
  <si>
    <t xml:space="preserve">NEFT-KINGSLEY CHEMICALS-INV1419</t>
  </si>
  <si>
    <t xml:space="preserve">Receipt from Kingsley Chemicals - INV-1419</t>
  </si>
  <si>
    <t xml:space="preserve">M00119</t>
  </si>
  <si>
    <t xml:space="preserve">B00384</t>
  </si>
  <si>
    <t xml:space="preserve">L00416</t>
  </si>
  <si>
    <t xml:space="preserve">NEFT-INDUS PACKAGING-INV1597</t>
  </si>
  <si>
    <t xml:space="preserve">Receipt from Indus Packaging - INV-1597</t>
  </si>
  <si>
    <t xml:space="preserve">M00120</t>
  </si>
  <si>
    <t xml:space="preserve">B00387</t>
  </si>
  <si>
    <t xml:space="preserve">L00419</t>
  </si>
  <si>
    <t xml:space="preserve">CHQ 005239 ATLAS FREIGHT</t>
  </si>
  <si>
    <t xml:space="preserve">Cheque payment to Atlas Freight - CHQ-005239</t>
  </si>
  <si>
    <t xml:space="preserve">M00121</t>
  </si>
  <si>
    <t xml:space="preserve">B00391</t>
  </si>
  <si>
    <t xml:space="preserve">L00423</t>
  </si>
  <si>
    <t xml:space="preserve">NEFT-HORIZON PHARMA-INV1104</t>
  </si>
  <si>
    <t xml:space="preserve">Receipt from Horizon Pharma - INV-1104</t>
  </si>
  <si>
    <t xml:space="preserve">M00122</t>
  </si>
  <si>
    <t xml:space="preserve">B00393</t>
  </si>
  <si>
    <t xml:space="preserve">L00425</t>
  </si>
  <si>
    <t xml:space="preserve">NEFT-LAKEVIEW HOTELS-INV1240</t>
  </si>
  <si>
    <t xml:space="preserve">Receipt from Lakeview Hotels - INV-1240</t>
  </si>
  <si>
    <t xml:space="preserve">M00123</t>
  </si>
  <si>
    <t xml:space="preserve">B00399</t>
  </si>
  <si>
    <t xml:space="preserve">L00431</t>
  </si>
  <si>
    <t xml:space="preserve">CHQ 005122 PINNACLE PRINT</t>
  </si>
  <si>
    <t xml:space="preserve">Cheque payment to Pinnacle Print - CHQ-005122</t>
  </si>
  <si>
    <t xml:space="preserve">M00124</t>
  </si>
  <si>
    <t xml:space="preserve">B00407</t>
  </si>
  <si>
    <t xml:space="preserve">L00435</t>
  </si>
  <si>
    <t xml:space="preserve">NEFT-BLUEFIN LOGISTICS-INV1014</t>
  </si>
  <si>
    <t xml:space="preserve">Receipt from Bluefin Logistics - INV-1014</t>
  </si>
  <si>
    <t xml:space="preserve">M00125</t>
  </si>
  <si>
    <t xml:space="preserve">B00409</t>
  </si>
  <si>
    <t xml:space="preserve">L00439</t>
  </si>
  <si>
    <t xml:space="preserve">NEFT-DELTA FOODS-INV1196</t>
  </si>
  <si>
    <t xml:space="preserve">Receipt from Delta Foods - INV-1196</t>
  </si>
  <si>
    <t xml:space="preserve">M00126</t>
  </si>
  <si>
    <t xml:space="preserve">B00413</t>
  </si>
  <si>
    <t xml:space="preserve">L00445</t>
  </si>
  <si>
    <t xml:space="preserve">CHQ 005051 KESTREL OFFICE SUPPLIES</t>
  </si>
  <si>
    <t xml:space="preserve">Cheque payment to Kestrel Office Supplies - CHQ-005051</t>
  </si>
  <si>
    <t xml:space="preserve">M00127</t>
  </si>
  <si>
    <t xml:space="preserve">B00420</t>
  </si>
  <si>
    <t xml:space="preserve">L00450</t>
  </si>
  <si>
    <t xml:space="preserve">NEFT-HORIZON PHARMA-INV1068</t>
  </si>
  <si>
    <t xml:space="preserve">Receipt from Horizon Pharma - INV-1068</t>
  </si>
  <si>
    <t xml:space="preserve">M00128</t>
  </si>
  <si>
    <t xml:space="preserve">B00421</t>
  </si>
  <si>
    <t xml:space="preserve">L00451</t>
  </si>
  <si>
    <t xml:space="preserve">NEFT-LAKEVIEW HOTELS-INV1108</t>
  </si>
  <si>
    <t xml:space="preserve">Receipt from Lakeview Hotels - INV-1108</t>
  </si>
  <si>
    <t xml:space="preserve">M00129</t>
  </si>
  <si>
    <t xml:space="preserve">B00425</t>
  </si>
  <si>
    <t xml:space="preserve">L00455</t>
  </si>
  <si>
    <t xml:space="preserve">NEFT-ACME TRADERS-INV1289</t>
  </si>
  <si>
    <t xml:space="preserve">Receipt from Acme Traders - INV-1289</t>
  </si>
  <si>
    <t xml:space="preserve">M00130</t>
  </si>
  <si>
    <t xml:space="preserve">B00432</t>
  </si>
  <si>
    <t xml:space="preserve">L00459</t>
  </si>
  <si>
    <t xml:space="preserve">CHQ 005211 KESTREL OFFICE SUPPLIES</t>
  </si>
  <si>
    <t xml:space="preserve">Cheque payment to Kestrel Office Supplies - CHQ-005211</t>
  </si>
  <si>
    <t xml:space="preserve">M00131</t>
  </si>
  <si>
    <t xml:space="preserve">B00435</t>
  </si>
  <si>
    <t xml:space="preserve">L00461</t>
  </si>
  <si>
    <t xml:space="preserve">CHQ 005400 BIRCH PACKAGING</t>
  </si>
  <si>
    <t xml:space="preserve">Cheque payment to Birch Packaging - CHQ-005400</t>
  </si>
  <si>
    <t xml:space="preserve">M00132</t>
  </si>
  <si>
    <t xml:space="preserve">B00438</t>
  </si>
  <si>
    <t xml:space="preserve">L00465</t>
  </si>
  <si>
    <t xml:space="preserve">NEFT-DELTA FOODS-INV1124</t>
  </si>
  <si>
    <t xml:space="preserve">Receipt from Delta Foods - INV-1124</t>
  </si>
  <si>
    <t xml:space="preserve">M00133</t>
  </si>
  <si>
    <t xml:space="preserve">B00441</t>
  </si>
  <si>
    <t xml:space="preserve">L00467</t>
  </si>
  <si>
    <t xml:space="preserve">NEFT-KINGSLEY CHEMICALS-INV1239</t>
  </si>
  <si>
    <t xml:space="preserve">Receipt from Kingsley Chemicals - INV-1239</t>
  </si>
  <si>
    <t xml:space="preserve">M00134</t>
  </si>
  <si>
    <t xml:space="preserve">B00443</t>
  </si>
  <si>
    <t xml:space="preserve">L00468</t>
  </si>
  <si>
    <t xml:space="preserve">NEFT-BLUEFIN LOGISTICS-INV1326</t>
  </si>
  <si>
    <t xml:space="preserve">Receipt from Bluefin Logistics - INV-1326</t>
  </si>
  <si>
    <t xml:space="preserve">M00135</t>
  </si>
  <si>
    <t xml:space="preserve">B00444</t>
  </si>
  <si>
    <t xml:space="preserve">L00469</t>
  </si>
  <si>
    <t xml:space="preserve">NEFT-EVEREST TEXTILES-INV1329</t>
  </si>
  <si>
    <t xml:space="preserve">Receipt from Everest Textiles - INV-1329</t>
  </si>
  <si>
    <t xml:space="preserve">M00136</t>
  </si>
  <si>
    <t xml:space="preserve">B00445</t>
  </si>
  <si>
    <t xml:space="preserve">L00470</t>
  </si>
  <si>
    <t xml:space="preserve">NEFT-KINGSLEY CHEMICALS-INV1347</t>
  </si>
  <si>
    <t xml:space="preserve">Receipt from Kingsley Chemicals - INV-1347</t>
  </si>
  <si>
    <t xml:space="preserve">M00137</t>
  </si>
  <si>
    <t xml:space="preserve">B00459</t>
  </si>
  <si>
    <t xml:space="preserve">L00488</t>
  </si>
  <si>
    <t xml:space="preserve">CHQ 005242 PINNACLE PRINT</t>
  </si>
  <si>
    <t xml:space="preserve">Cheque payment to Pinnacle Print - CHQ-005242</t>
  </si>
  <si>
    <t xml:space="preserve">M00138</t>
  </si>
  <si>
    <t xml:space="preserve">B00461</t>
  </si>
  <si>
    <t xml:space="preserve">L00491</t>
  </si>
  <si>
    <t xml:space="preserve">CHQ 005355 SUMMIT SECURITY</t>
  </si>
  <si>
    <t xml:space="preserve">Cheque payment to Summit Security - CHQ-005355</t>
  </si>
  <si>
    <t xml:space="preserve">M00139</t>
  </si>
  <si>
    <t xml:space="preserve">B00466</t>
  </si>
  <si>
    <t xml:space="preserve">L00492</t>
  </si>
  <si>
    <t xml:space="preserve">NEFT-EVEREST TEXTILES-INV1161</t>
  </si>
  <si>
    <t xml:space="preserve">Receipt from Everest Textiles - INV-1161</t>
  </si>
  <si>
    <t xml:space="preserve">M00140</t>
  </si>
  <si>
    <t xml:space="preserve">B00480</t>
  </si>
  <si>
    <t xml:space="preserve">L00502</t>
  </si>
  <si>
    <t xml:space="preserve">NEFT-DELTA FOODS-INV1580</t>
  </si>
  <si>
    <t xml:space="preserve">Receipt from Delta Foods - INV-1580</t>
  </si>
  <si>
    <t xml:space="preserve">M00141</t>
  </si>
  <si>
    <t xml:space="preserve">B00482</t>
  </si>
  <si>
    <t xml:space="preserve">L00504</t>
  </si>
  <si>
    <t xml:space="preserve">CHQ 005325 SUMMIT SECURITY</t>
  </si>
  <si>
    <t xml:space="preserve">Cheque payment to Summit Security - CHQ-005325</t>
  </si>
  <si>
    <t xml:space="preserve">M00142</t>
  </si>
  <si>
    <t xml:space="preserve">B00485</t>
  </si>
  <si>
    <t xml:space="preserve">L00508</t>
  </si>
  <si>
    <t xml:space="preserve">NEFT-LAKEVIEW HOTELS-INV1204</t>
  </si>
  <si>
    <t xml:space="preserve">Receipt from Lakeview Hotels - INV-1204</t>
  </si>
  <si>
    <t xml:space="preserve">M00143</t>
  </si>
  <si>
    <t xml:space="preserve">B00489</t>
  </si>
  <si>
    <t xml:space="preserve">L00510</t>
  </si>
  <si>
    <t xml:space="preserve">NEFT-BLUEFIN LOGISTICS-INV1542</t>
  </si>
  <si>
    <t xml:space="preserve">Receipt from Bluefin Logistics - INV-1542</t>
  </si>
  <si>
    <t xml:space="preserve">M00144</t>
  </si>
  <si>
    <t xml:space="preserve">B00491</t>
  </si>
  <si>
    <t xml:space="preserve">L00514</t>
  </si>
  <si>
    <t xml:space="preserve">CHQ 005131 KESTREL OFFICE SUPPLIES</t>
  </si>
  <si>
    <t xml:space="preserve">Cheque payment to Kestrel Office Supplies - CHQ-005131</t>
  </si>
  <si>
    <t xml:space="preserve">M00145</t>
  </si>
  <si>
    <t xml:space="preserve">B00494</t>
  </si>
  <si>
    <t xml:space="preserve">L00515</t>
  </si>
  <si>
    <t xml:space="preserve">CHQ 005170 BIRCH PACKAGING</t>
  </si>
  <si>
    <t xml:space="preserve">Cheque payment to Birch Packaging - CHQ-005170</t>
  </si>
  <si>
    <t xml:space="preserve">M00146</t>
  </si>
  <si>
    <t xml:space="preserve">B00499</t>
  </si>
  <si>
    <t xml:space="preserve">L00523</t>
  </si>
  <si>
    <t xml:space="preserve">NEFT-LAKEVIEW HOTELS-INV1228</t>
  </si>
  <si>
    <t xml:space="preserve">Receipt from Lakeview Hotels - INV-1228</t>
  </si>
  <si>
    <t xml:space="preserve">M00147</t>
  </si>
  <si>
    <t xml:space="preserve">B00500</t>
  </si>
  <si>
    <t xml:space="preserve">L00524</t>
  </si>
  <si>
    <t xml:space="preserve">NEFT-GREENLEAF AGRO-INV1307</t>
  </si>
  <si>
    <t xml:space="preserve">Receipt from Greenleaf Agro - INV-1307</t>
  </si>
  <si>
    <t xml:space="preserve">M00148</t>
  </si>
  <si>
    <t xml:space="preserve">B00503</t>
  </si>
  <si>
    <t xml:space="preserve">L00527</t>
  </si>
  <si>
    <t xml:space="preserve">NEFT-HORIZON PHARMA-INV1596</t>
  </si>
  <si>
    <t xml:space="preserve">Receipt from Horizon Pharma - INV-1596</t>
  </si>
  <si>
    <t xml:space="preserve">M00149</t>
  </si>
  <si>
    <t xml:space="preserve">B00506</t>
  </si>
  <si>
    <t xml:space="preserve">L00537</t>
  </si>
  <si>
    <t xml:space="preserve">NEFT-ACME TRADERS-INV1121</t>
  </si>
  <si>
    <t xml:space="preserve">Receipt from Acme Traders - INV-1121</t>
  </si>
  <si>
    <t xml:space="preserve">M00150</t>
  </si>
  <si>
    <t xml:space="preserve">B00508</t>
  </si>
  <si>
    <t xml:space="preserve">L00538</t>
  </si>
  <si>
    <t xml:space="preserve">NEFT-EVEREST TEXTILES-INV1197</t>
  </si>
  <si>
    <t xml:space="preserve">Receipt from Everest Textiles - INV-1197</t>
  </si>
  <si>
    <t xml:space="preserve">M00151</t>
  </si>
  <si>
    <t xml:space="preserve">B00516</t>
  </si>
  <si>
    <t xml:space="preserve">L00544</t>
  </si>
  <si>
    <t xml:space="preserve">NEFT-ACME TRADERS-INV1085</t>
  </si>
  <si>
    <t xml:space="preserve">Receipt from Acme Traders - INV-1085</t>
  </si>
  <si>
    <t xml:space="preserve">M00152</t>
  </si>
  <si>
    <t xml:space="preserve">B00517</t>
  </si>
  <si>
    <t xml:space="preserve">L00545</t>
  </si>
  <si>
    <t xml:space="preserve">NEFT-CRESTVIEW RETAIL-INV1195</t>
  </si>
  <si>
    <t xml:space="preserve">Receipt from Crestview Retail - INV-1195</t>
  </si>
  <si>
    <t xml:space="preserve">M00153</t>
  </si>
  <si>
    <t xml:space="preserve">B00518</t>
  </si>
  <si>
    <t xml:space="preserve">L00546</t>
  </si>
  <si>
    <t xml:space="preserve">NEFT-EVEREST TEXTILES-INV1209</t>
  </si>
  <si>
    <t xml:space="preserve">Receipt from Everest Textiles - INV-1209</t>
  </si>
  <si>
    <t xml:space="preserve">M00154</t>
  </si>
  <si>
    <t xml:space="preserve">B00522</t>
  </si>
  <si>
    <t xml:space="preserve">L00550</t>
  </si>
  <si>
    <t xml:space="preserve">CHQ 005343 ZENITH HARDWARE</t>
  </si>
  <si>
    <t xml:space="preserve">Cheque payment to Zenith Hardware - CHQ-005343</t>
  </si>
  <si>
    <t xml:space="preserve">M00155</t>
  </si>
  <si>
    <t xml:space="preserve">B00526</t>
  </si>
  <si>
    <t xml:space="preserve">L00552</t>
  </si>
  <si>
    <t xml:space="preserve">CHQ 005448 YONDER TRAVEL</t>
  </si>
  <si>
    <t xml:space="preserve">Cheque payment to Yonder Travel - CHQ-005448</t>
  </si>
  <si>
    <t xml:space="preserve">M00156</t>
  </si>
  <si>
    <t xml:space="preserve">B00531</t>
  </si>
  <si>
    <t xml:space="preserve">L00556</t>
  </si>
  <si>
    <t xml:space="preserve">NEFT-LAKEVIEW HOTELS-INV1372</t>
  </si>
  <si>
    <t xml:space="preserve">Receipt from Lakeview Hotels - INV-1372</t>
  </si>
  <si>
    <t xml:space="preserve">M00157</t>
  </si>
  <si>
    <t xml:space="preserve">B00532</t>
  </si>
  <si>
    <t xml:space="preserve">L00557</t>
  </si>
  <si>
    <t xml:space="preserve">NEFT-BLUEFIN LOGISTICS-INV1410</t>
  </si>
  <si>
    <t xml:space="preserve">Receipt from Bluefin Logistics - INV-1410</t>
  </si>
  <si>
    <t xml:space="preserve">M00158</t>
  </si>
  <si>
    <t xml:space="preserve">B00534</t>
  </si>
  <si>
    <t xml:space="preserve">L00561</t>
  </si>
  <si>
    <t xml:space="preserve">NEFT-FALCON AUTO PARTS-INV1594</t>
  </si>
  <si>
    <t xml:space="preserve">Receipt from Falcon Auto Parts - INV-1594</t>
  </si>
  <si>
    <t xml:space="preserve">M00159</t>
  </si>
  <si>
    <t xml:space="preserve">B00536</t>
  </si>
  <si>
    <t xml:space="preserve">L00564</t>
  </si>
  <si>
    <t xml:space="preserve">CHQ 005313 ZENITH HARDWARE</t>
  </si>
  <si>
    <t xml:space="preserve">Cheque payment to Zenith Hardware - CHQ-005313</t>
  </si>
  <si>
    <t xml:space="preserve">M00160</t>
  </si>
  <si>
    <t xml:space="preserve">B00540</t>
  </si>
  <si>
    <t xml:space="preserve">L00568</t>
  </si>
  <si>
    <t xml:space="preserve">NEFT-BLUEFIN LOGISTICS-INV1050</t>
  </si>
  <si>
    <t xml:space="preserve">Receipt from Bluefin Logistics - INV-1050</t>
  </si>
  <si>
    <t xml:space="preserve">M00161</t>
  </si>
  <si>
    <t xml:space="preserve">B00541</t>
  </si>
  <si>
    <t xml:space="preserve">L00569</t>
  </si>
  <si>
    <t xml:space="preserve">NEFT-LAKEVIEW HOTELS-INV1060</t>
  </si>
  <si>
    <t xml:space="preserve">Receipt from Lakeview Hotels - INV-1060</t>
  </si>
  <si>
    <t xml:space="preserve">M00162</t>
  </si>
  <si>
    <t xml:space="preserve">B00542</t>
  </si>
  <si>
    <t xml:space="preserve">L00570</t>
  </si>
  <si>
    <t xml:space="preserve">NEFT-FALCON AUTO PARTS-INV1210</t>
  </si>
  <si>
    <t xml:space="preserve">Receipt from Falcon Auto Parts - INV-1210</t>
  </si>
  <si>
    <t xml:space="preserve">M00163</t>
  </si>
  <si>
    <t xml:space="preserve">B00544</t>
  </si>
  <si>
    <t xml:space="preserve">L00571</t>
  </si>
  <si>
    <t xml:space="preserve">NEFT-GREENLEAF AGRO-INV1427</t>
  </si>
  <si>
    <t xml:space="preserve">Receipt from Greenleaf Agro - INV-1427</t>
  </si>
  <si>
    <t xml:space="preserve">M00164</t>
  </si>
  <si>
    <t xml:space="preserve">B00546</t>
  </si>
  <si>
    <t xml:space="preserve">L00572</t>
  </si>
  <si>
    <t xml:space="preserve">NEFT-JUPITER STEEL-INV1514</t>
  </si>
  <si>
    <t xml:space="preserve">Receipt from Jupiter Steel - INV-1514</t>
  </si>
  <si>
    <t xml:space="preserve">M00165</t>
  </si>
  <si>
    <t xml:space="preserve">B00549</t>
  </si>
  <si>
    <t xml:space="preserve">L00574</t>
  </si>
  <si>
    <t xml:space="preserve">NEFT-ACME TRADERS-INV1577</t>
  </si>
  <si>
    <t xml:space="preserve">Receipt from Acme Traders - INV-1577</t>
  </si>
  <si>
    <t xml:space="preserve">M00166</t>
  </si>
  <si>
    <t xml:space="preserve">B00554</t>
  </si>
  <si>
    <t xml:space="preserve">L00581</t>
  </si>
  <si>
    <t xml:space="preserve">CHQ 005338 YONDER TRAVEL</t>
  </si>
  <si>
    <t xml:space="preserve">Cheque payment to Yonder Travel - CHQ-005338</t>
  </si>
  <si>
    <t xml:space="preserve">M00167</t>
  </si>
  <si>
    <t xml:space="preserve">B00556</t>
  </si>
  <si>
    <t xml:space="preserve">L00584</t>
  </si>
  <si>
    <t xml:space="preserve">NEFT-EVEREST TEXTILES-INV1113</t>
  </si>
  <si>
    <t xml:space="preserve">Receipt from Everest Textiles - INV-1113</t>
  </si>
  <si>
    <t xml:space="preserve">M00168</t>
  </si>
  <si>
    <t xml:space="preserve">B00561</t>
  </si>
  <si>
    <t xml:space="preserve">L00590</t>
  </si>
  <si>
    <t xml:space="preserve">CHQ 005262 PINNACLE PRINT</t>
  </si>
  <si>
    <t xml:space="preserve">Cheque payment to Pinnacle Print - CHQ-005262</t>
  </si>
  <si>
    <t xml:space="preserve">M00169</t>
  </si>
  <si>
    <t xml:space="preserve">B00574</t>
  </si>
  <si>
    <t xml:space="preserve">L00603</t>
  </si>
  <si>
    <t xml:space="preserve">NEFT-ACME TRADERS-INV1049</t>
  </si>
  <si>
    <t xml:space="preserve">Receipt from Acme Traders - INV-1049</t>
  </si>
  <si>
    <t xml:space="preserve">M00170</t>
  </si>
  <si>
    <t xml:space="preserve">B00577</t>
  </si>
  <si>
    <t xml:space="preserve">L00605</t>
  </si>
  <si>
    <t xml:space="preserve">NEFT-ACME TRADERS-INV1481</t>
  </si>
  <si>
    <t xml:space="preserve">Receipt from Acme Traders - INV-1481</t>
  </si>
  <si>
    <t xml:space="preserve">M00171</t>
  </si>
  <si>
    <t xml:space="preserve">B00579</t>
  </si>
  <si>
    <t xml:space="preserve">L00606</t>
  </si>
  <si>
    <t xml:space="preserve">NEFT-INDUS PACKAGING-INV1501</t>
  </si>
  <si>
    <t xml:space="preserve">Receipt from Indus Packaging - INV-1501</t>
  </si>
  <si>
    <t xml:space="preserve">M00172</t>
  </si>
  <si>
    <t xml:space="preserve">B00580</t>
  </si>
  <si>
    <t xml:space="preserve">L00608</t>
  </si>
  <si>
    <t xml:space="preserve">NEFT-GREENLEAF AGRO-INV1583</t>
  </si>
  <si>
    <t xml:space="preserve">Receipt from Greenleaf Agro - INV-1583</t>
  </si>
  <si>
    <t xml:space="preserve">M00173</t>
  </si>
  <si>
    <t xml:space="preserve">B00586</t>
  </si>
  <si>
    <t xml:space="preserve">L00615</t>
  </si>
  <si>
    <t xml:space="preserve">NEFT-HORIZON PHARMA-INV1092</t>
  </si>
  <si>
    <t xml:space="preserve">Receipt from Horizon Pharma - INV-1092</t>
  </si>
  <si>
    <t xml:space="preserve">M00174</t>
  </si>
  <si>
    <t xml:space="preserve">B00587</t>
  </si>
  <si>
    <t xml:space="preserve">L00616</t>
  </si>
  <si>
    <t xml:space="preserve">NEFT-INDUS PACKAGING-INV1153</t>
  </si>
  <si>
    <t xml:space="preserve">Receipt from Indus Packaging - INV-1153</t>
  </si>
  <si>
    <t xml:space="preserve">M00175</t>
  </si>
  <si>
    <t xml:space="preserve">B00589</t>
  </si>
  <si>
    <t xml:space="preserve">L00617</t>
  </si>
  <si>
    <t xml:space="preserve">NEFT-GREENLEAF AGRO-INV1259</t>
  </si>
  <si>
    <t xml:space="preserve">Receipt from Greenleaf Agro - INV-1259</t>
  </si>
  <si>
    <t xml:space="preserve">M00176</t>
  </si>
  <si>
    <t xml:space="preserve">B00590</t>
  </si>
  <si>
    <t xml:space="preserve">L00620</t>
  </si>
  <si>
    <t xml:space="preserve">CHQ 005013 ZENITH HARDWARE</t>
  </si>
  <si>
    <t xml:space="preserve">Cheque payment to Zenith Hardware - CHQ-005013</t>
  </si>
  <si>
    <t xml:space="preserve">M00177</t>
  </si>
  <si>
    <t xml:space="preserve">B00606</t>
  </si>
  <si>
    <t xml:space="preserve">L00633</t>
  </si>
  <si>
    <t xml:space="preserve">CHQ 005408 YONDER TRAVEL</t>
  </si>
  <si>
    <t xml:space="preserve">Cheque payment to Yonder Travel - CHQ-005408</t>
  </si>
  <si>
    <t xml:space="preserve">M00178</t>
  </si>
  <si>
    <t xml:space="preserve">B00608</t>
  </si>
  <si>
    <t xml:space="preserve">L00636</t>
  </si>
  <si>
    <t xml:space="preserve">NEFT-BLUEFIN LOGISTICS-INV1122</t>
  </si>
  <si>
    <t xml:space="preserve">Receipt from Bluefin Logistics - INV-1122</t>
  </si>
  <si>
    <t xml:space="preserve">M00179</t>
  </si>
  <si>
    <t xml:space="preserve">B00611</t>
  </si>
  <si>
    <t xml:space="preserve">L00637</t>
  </si>
  <si>
    <t xml:space="preserve">NEFT-INDUS PACKAGING-INV1285</t>
  </si>
  <si>
    <t xml:space="preserve">Receipt from Indus Packaging - INV-1285</t>
  </si>
  <si>
    <t xml:space="preserve">M00180</t>
  </si>
  <si>
    <t xml:space="preserve">B00619</t>
  </si>
  <si>
    <t xml:space="preserve">L00645</t>
  </si>
  <si>
    <t xml:space="preserve">NEFT-KINGSLEY CHEMICALS-INV1059</t>
  </si>
  <si>
    <t xml:space="preserve">Receipt from Kingsley Chemicals - INV-1059</t>
  </si>
  <si>
    <t xml:space="preserve">M00181</t>
  </si>
  <si>
    <t xml:space="preserve">B00621</t>
  </si>
  <si>
    <t xml:space="preserve">L00648</t>
  </si>
  <si>
    <t xml:space="preserve">NEFT-EVEREST TEXTILES-INV1269</t>
  </si>
  <si>
    <t xml:space="preserve">Receipt from Everest Textiles - INV-1269</t>
  </si>
  <si>
    <t xml:space="preserve">M00182</t>
  </si>
  <si>
    <t xml:space="preserve">B00622</t>
  </si>
  <si>
    <t xml:space="preserve">L00649</t>
  </si>
  <si>
    <t xml:space="preserve">NEFT-FALCON AUTO PARTS-INV1342</t>
  </si>
  <si>
    <t xml:space="preserve">Receipt from Falcon Auto Parts - INV-1342</t>
  </si>
  <si>
    <t xml:space="preserve">M00183</t>
  </si>
  <si>
    <t xml:space="preserve">B00623</t>
  </si>
  <si>
    <t xml:space="preserve">L00650</t>
  </si>
  <si>
    <t xml:space="preserve">NEFT-BLUEFIN LOGISTICS-INV1374</t>
  </si>
  <si>
    <t xml:space="preserve">Receipt from Bluefin Logistics - INV-1374</t>
  </si>
  <si>
    <t xml:space="preserve">M00184</t>
  </si>
  <si>
    <t xml:space="preserve">B00624</t>
  </si>
  <si>
    <t xml:space="preserve">L00651</t>
  </si>
  <si>
    <t xml:space="preserve">NEFT-ACME TRADERS-INV1409</t>
  </si>
  <si>
    <t xml:space="preserve">Receipt from Acme Traders - INV-1409</t>
  </si>
  <si>
    <t xml:space="preserve">M00185</t>
  </si>
  <si>
    <t xml:space="preserve">B00625</t>
  </si>
  <si>
    <t xml:space="preserve">L00653</t>
  </si>
  <si>
    <t xml:space="preserve">CHQ 005074 ORCHID CATERING</t>
  </si>
  <si>
    <t xml:space="preserve">Cheque payment to Orchid Catering - CHQ-005074</t>
  </si>
  <si>
    <t xml:space="preserve">M00186</t>
  </si>
  <si>
    <t xml:space="preserve">B00635</t>
  </si>
  <si>
    <t xml:space="preserve">L00663</t>
  </si>
  <si>
    <t xml:space="preserve">NEFT-EVEREST TEXTILES-INV1125</t>
  </si>
  <si>
    <t xml:space="preserve">Receipt from Everest Textiles - INV-1125</t>
  </si>
  <si>
    <t xml:space="preserve">M00187</t>
  </si>
  <si>
    <t xml:space="preserve">B00636</t>
  </si>
  <si>
    <t xml:space="preserve">L00664</t>
  </si>
  <si>
    <t xml:space="preserve">NEFT-JUPITER STEEL-INV1154</t>
  </si>
  <si>
    <t xml:space="preserve">Receipt from Jupiter Steel - INV-1154</t>
  </si>
  <si>
    <t xml:space="preserve">M00188</t>
  </si>
  <si>
    <t xml:space="preserve">B00639</t>
  </si>
  <si>
    <t xml:space="preserve">L00667</t>
  </si>
  <si>
    <t xml:space="preserve">CHQ 005025 SUMMIT SECURITY</t>
  </si>
  <si>
    <t xml:space="preserve">Cheque payment to Summit Security - CHQ-005025</t>
  </si>
  <si>
    <t xml:space="preserve">M00189</t>
  </si>
  <si>
    <t xml:space="preserve">B00642</t>
  </si>
  <si>
    <t xml:space="preserve">L00671</t>
  </si>
  <si>
    <t xml:space="preserve">CHQ 005336 VERTEX CONSULTING</t>
  </si>
  <si>
    <t xml:space="preserve">Cheque payment to Vertex Consulting - CHQ-005336</t>
  </si>
  <si>
    <t xml:space="preserve">M00190</t>
  </si>
  <si>
    <t xml:space="preserve">B00646</t>
  </si>
  <si>
    <t xml:space="preserve">L00676</t>
  </si>
  <si>
    <t xml:space="preserve">NEFT-EVEREST TEXTILES-INV1293</t>
  </si>
  <si>
    <t xml:space="preserve">Receipt from Everest Textiles - INV-1293</t>
  </si>
  <si>
    <t xml:space="preserve">M00191</t>
  </si>
  <si>
    <t xml:space="preserve">B00648</t>
  </si>
  <si>
    <t xml:space="preserve">L00679</t>
  </si>
  <si>
    <t xml:space="preserve">NEFT-ACME TRADERS-INV1385</t>
  </si>
  <si>
    <t xml:space="preserve">Receipt from Acme Traders - INV-1385</t>
  </si>
  <si>
    <t xml:space="preserve">M00192</t>
  </si>
  <si>
    <t xml:space="preserve">B00653</t>
  </si>
  <si>
    <t xml:space="preserve">L00685</t>
  </si>
  <si>
    <t xml:space="preserve">CHQ 005156 VERTEX CONSULTING</t>
  </si>
  <si>
    <t xml:space="preserve">Cheque payment to Vertex Consulting - CHQ-005156</t>
  </si>
  <si>
    <t xml:space="preserve">M00193</t>
  </si>
  <si>
    <t xml:space="preserve">B00665</t>
  </si>
  <si>
    <t xml:space="preserve">L00699</t>
  </si>
  <si>
    <t xml:space="preserve">CHQ 005433 ZENITH HARDWARE</t>
  </si>
  <si>
    <t xml:space="preserve">Cheque payment to Zenith Hardware - CHQ-005433</t>
  </si>
  <si>
    <t xml:space="preserve">M00194</t>
  </si>
  <si>
    <t xml:space="preserve">B00667</t>
  </si>
  <si>
    <t xml:space="preserve">L00702</t>
  </si>
  <si>
    <t xml:space="preserve">NEFT-HORIZON PHARMA-INV1008</t>
  </si>
  <si>
    <t xml:space="preserve">Receipt from Horizon Pharma - INV-1008</t>
  </si>
  <si>
    <t xml:space="preserve">M00195</t>
  </si>
  <si>
    <t xml:space="preserve">B00668</t>
  </si>
  <si>
    <t xml:space="preserve">L00704</t>
  </si>
  <si>
    <t xml:space="preserve">NEFT-GREENLEAF AGRO-INV1091</t>
  </si>
  <si>
    <t xml:space="preserve">Receipt from Greenleaf Agro - INV-1091</t>
  </si>
  <si>
    <t xml:space="preserve">M00196</t>
  </si>
  <si>
    <t xml:space="preserve">B00681</t>
  </si>
  <si>
    <t xml:space="preserve">L00716</t>
  </si>
  <si>
    <t xml:space="preserve">NEFT-BLUEFIN LOGISTICS-INV1362</t>
  </si>
  <si>
    <t xml:space="preserve">Receipt from Bluefin Logistics - INV-1362</t>
  </si>
  <si>
    <t xml:space="preserve">M00197</t>
  </si>
  <si>
    <t xml:space="preserve">B00682</t>
  </si>
  <si>
    <t xml:space="preserve">L00718</t>
  </si>
  <si>
    <t xml:space="preserve">NEFT-INDUS PACKAGING-INV1405</t>
  </si>
  <si>
    <t xml:space="preserve">Receipt from Indus Packaging - INV-1405</t>
  </si>
  <si>
    <t xml:space="preserve">M00198</t>
  </si>
  <si>
    <t xml:space="preserve">B00684</t>
  </si>
  <si>
    <t xml:space="preserve">L00719</t>
  </si>
  <si>
    <t xml:space="preserve">NEFT-CRESTVIEW RETAIL-INV1471</t>
  </si>
  <si>
    <t xml:space="preserve">Receipt from Crestview Retail - INV-1471</t>
  </si>
  <si>
    <t xml:space="preserve">M00199</t>
  </si>
  <si>
    <t xml:space="preserve">B00686</t>
  </si>
  <si>
    <t xml:space="preserve">L00720</t>
  </si>
  <si>
    <t xml:space="preserve">NEFT-KINGSLEY CHEMICALS-INV1599</t>
  </si>
  <si>
    <t xml:space="preserve">Receipt from Kingsley Chemicals - INV-1599</t>
  </si>
  <si>
    <t xml:space="preserve">M00200</t>
  </si>
  <si>
    <t xml:space="preserve">B00692</t>
  </si>
  <si>
    <t xml:space="preserve">L00727</t>
  </si>
  <si>
    <t xml:space="preserve">NEFT-GREENLEAF AGRO-INV1067</t>
  </si>
  <si>
    <t xml:space="preserve">Receipt from Greenleaf Agro - INV-1067</t>
  </si>
  <si>
    <t xml:space="preserve">M00201</t>
  </si>
  <si>
    <t xml:space="preserve">B00701</t>
  </si>
  <si>
    <t xml:space="preserve">L00736</t>
  </si>
  <si>
    <t xml:space="preserve">NEFT-LAKEVIEW HOTELS-INV1300</t>
  </si>
  <si>
    <t xml:space="preserve">Receipt from Lakeview Hotels - INV-1300</t>
  </si>
  <si>
    <t xml:space="preserve">M00202</t>
  </si>
  <si>
    <t xml:space="preserve">B00703</t>
  </si>
  <si>
    <t xml:space="preserve">L00738</t>
  </si>
  <si>
    <t xml:space="preserve">NEFT-JUPITER STEEL-INV1418</t>
  </si>
  <si>
    <t xml:space="preserve">Receipt from Jupiter Steel - INV-1418</t>
  </si>
  <si>
    <t xml:space="preserve">M00203</t>
  </si>
  <si>
    <t xml:space="preserve">B00705</t>
  </si>
  <si>
    <t xml:space="preserve">L00741</t>
  </si>
  <si>
    <t xml:space="preserve">NEFT-FALCON AUTO PARTS-INV1582</t>
  </si>
  <si>
    <t xml:space="preserve">Receipt from Falcon Auto Parts - INV-1582</t>
  </si>
  <si>
    <t xml:space="preserve">M00204</t>
  </si>
  <si>
    <t xml:space="preserve">B00711</t>
  </si>
  <si>
    <t xml:space="preserve">L00746</t>
  </si>
  <si>
    <t xml:space="preserve">CHQ 005405 SUMMIT SECURITY</t>
  </si>
  <si>
    <t xml:space="preserve">Cheque payment to Summit Security - CHQ-005405</t>
  </si>
  <si>
    <t xml:space="preserve">M00205</t>
  </si>
  <si>
    <t xml:space="preserve">B00715</t>
  </si>
  <si>
    <t xml:space="preserve">L00747</t>
  </si>
  <si>
    <t xml:space="preserve">NEFT-LAKEVIEW HOTELS-INV1084</t>
  </si>
  <si>
    <t xml:space="preserve">Receipt from Lakeview Hotels - INV-1084</t>
  </si>
  <si>
    <t xml:space="preserve">M00206</t>
  </si>
  <si>
    <t xml:space="preserve">B00716</t>
  </si>
  <si>
    <t xml:space="preserve">L00748</t>
  </si>
  <si>
    <t xml:space="preserve">NEFT-BLUEFIN LOGISTICS-INV1110</t>
  </si>
  <si>
    <t xml:space="preserve">Receipt from Bluefin Logistics - INV-1110</t>
  </si>
  <si>
    <t xml:space="preserve">M00207</t>
  </si>
  <si>
    <t xml:space="preserve">B00717</t>
  </si>
  <si>
    <t xml:space="preserve">L00752</t>
  </si>
  <si>
    <t xml:space="preserve">NEFT-ACME TRADERS-INV1217</t>
  </si>
  <si>
    <t xml:space="preserve">Receipt from Acme Traders - INV-1217</t>
  </si>
  <si>
    <t xml:space="preserve">M00208</t>
  </si>
  <si>
    <t xml:space="preserve">B00718</t>
  </si>
  <si>
    <t xml:space="preserve">L00753</t>
  </si>
  <si>
    <t xml:space="preserve">NEFT-GREENLEAF AGRO-INV1235</t>
  </si>
  <si>
    <t xml:space="preserve">Receipt from Greenleaf Agro - INV-1235</t>
  </si>
  <si>
    <t xml:space="preserve">M00209</t>
  </si>
  <si>
    <t xml:space="preserve">B00722</t>
  </si>
  <si>
    <t xml:space="preserve">L00755</t>
  </si>
  <si>
    <t xml:space="preserve">NEFT-GREENLEAF AGRO-INV1511</t>
  </si>
  <si>
    <t xml:space="preserve">Receipt from Greenleaf Agro - INV-1511</t>
  </si>
  <si>
    <t xml:space="preserve">M00210</t>
  </si>
  <si>
    <t xml:space="preserve">B00723</t>
  </si>
  <si>
    <t xml:space="preserve">L00757</t>
  </si>
  <si>
    <t xml:space="preserve">CHQ 005005 SUMMIT SECURITY</t>
  </si>
  <si>
    <t xml:space="preserve">Cheque payment to Summit Security - CHQ-005005</t>
  </si>
  <si>
    <t xml:space="preserve">M00211</t>
  </si>
  <si>
    <t xml:space="preserve">B00728</t>
  </si>
  <si>
    <t xml:space="preserve">L00760</t>
  </si>
  <si>
    <t xml:space="preserve">CHQ 005218 YONDER TRAVEL</t>
  </si>
  <si>
    <t xml:space="preserve">M00212</t>
  </si>
  <si>
    <t xml:space="preserve">B00734</t>
  </si>
  <si>
    <t xml:space="preserve">L00767</t>
  </si>
  <si>
    <t xml:space="preserve">NEFT-DELTA FOODS-INV1280</t>
  </si>
  <si>
    <t xml:space="preserve">Receipt from Delta Foods - INV-1280</t>
  </si>
  <si>
    <t xml:space="preserve">M00213</t>
  </si>
  <si>
    <t xml:space="preserve">B00736</t>
  </si>
  <si>
    <t xml:space="preserve">L00768</t>
  </si>
  <si>
    <t xml:space="preserve">NEFT-BLUEFIN LOGISTICS-INV1290</t>
  </si>
  <si>
    <t xml:space="preserve">Receipt from Bluefin Logistics - INV-1290</t>
  </si>
  <si>
    <t xml:space="preserve">M00214</t>
  </si>
  <si>
    <t xml:space="preserve">B00737</t>
  </si>
  <si>
    <t xml:space="preserve">L00769</t>
  </si>
  <si>
    <t xml:space="preserve">NEFT-BLUEFIN LOGISTICS-INV1386</t>
  </si>
  <si>
    <t xml:space="preserve">Receipt from Bluefin Logistics - INV-1386</t>
  </si>
  <si>
    <t xml:space="preserve">M00215</t>
  </si>
  <si>
    <t xml:space="preserve">B00738</t>
  </si>
  <si>
    <t xml:space="preserve">L00771</t>
  </si>
  <si>
    <t xml:space="preserve">NEFT-INDUS PACKAGING-INV1393</t>
  </si>
  <si>
    <t xml:space="preserve">Receipt from Indus Packaging - INV-1393</t>
  </si>
  <si>
    <t xml:space="preserve">M00216</t>
  </si>
  <si>
    <t xml:space="preserve">B00739</t>
  </si>
  <si>
    <t xml:space="preserve">L00772</t>
  </si>
  <si>
    <t xml:space="preserve">NEFT-KINGSLEY CHEMICALS-INV1443</t>
  </si>
  <si>
    <t xml:space="preserve">Receipt from Kingsley Chemicals - INV-1443</t>
  </si>
  <si>
    <t xml:space="preserve">M00217</t>
  </si>
  <si>
    <t xml:space="preserve">B00748</t>
  </si>
  <si>
    <t xml:space="preserve">L00778</t>
  </si>
  <si>
    <t xml:space="preserve">NEFT-DELTA FOODS-INV1088</t>
  </si>
  <si>
    <t xml:space="preserve">Receipt from Delta Foods - INV-1088</t>
  </si>
  <si>
    <t xml:space="preserve">M00218</t>
  </si>
  <si>
    <t xml:space="preserve">B00750</t>
  </si>
  <si>
    <t xml:space="preserve">L00779</t>
  </si>
  <si>
    <t xml:space="preserve">NEFT-GREENLEAF AGRO-INV1211</t>
  </si>
  <si>
    <t xml:space="preserve">Receipt from Greenleaf Agro - INV-1211</t>
  </si>
  <si>
    <t xml:space="preserve">M00219</t>
  </si>
  <si>
    <t xml:space="preserve">B00752</t>
  </si>
  <si>
    <t xml:space="preserve">L00780</t>
  </si>
  <si>
    <t xml:space="preserve">NEFT-KINGSLEY CHEMICALS-INV1323</t>
  </si>
  <si>
    <t xml:space="preserve">Receipt from Kingsley Chemicals - INV-1323</t>
  </si>
  <si>
    <t xml:space="preserve">M00220</t>
  </si>
  <si>
    <t xml:space="preserve">B00753</t>
  </si>
  <si>
    <t xml:space="preserve">L00781</t>
  </si>
  <si>
    <t xml:space="preserve">NEFT-INDUS PACKAGING-INV1369</t>
  </si>
  <si>
    <t xml:space="preserve">Receipt from Indus Packaging - INV-1369</t>
  </si>
  <si>
    <t xml:space="preserve">M00221</t>
  </si>
  <si>
    <t xml:space="preserve">B00754</t>
  </si>
  <si>
    <t xml:space="preserve">L00782</t>
  </si>
  <si>
    <t xml:space="preserve">NEFT-KINGSLEY CHEMICALS-INV1479</t>
  </si>
  <si>
    <t xml:space="preserve">Receipt from Kingsley Chemicals - INV-1479</t>
  </si>
  <si>
    <t xml:space="preserve">M00222</t>
  </si>
  <si>
    <t xml:space="preserve">B00755</t>
  </si>
  <si>
    <t xml:space="preserve">L00783</t>
  </si>
  <si>
    <t xml:space="preserve">NEFT-GREENLEAF AGRO-INV1487</t>
  </si>
  <si>
    <t xml:space="preserve">Receipt from Greenleaf Agro - INV-1487</t>
  </si>
  <si>
    <t xml:space="preserve">M00223</t>
  </si>
  <si>
    <t xml:space="preserve">B00764</t>
  </si>
  <si>
    <t xml:space="preserve">L00790</t>
  </si>
  <si>
    <t xml:space="preserve">NEFT-HORIZON PHARMA-INV1056</t>
  </si>
  <si>
    <t xml:space="preserve">Receipt from Horizon Pharma - INV-1056</t>
  </si>
  <si>
    <t xml:space="preserve">M00224</t>
  </si>
  <si>
    <t xml:space="preserve">B00766</t>
  </si>
  <si>
    <t xml:space="preserve">L00791</t>
  </si>
  <si>
    <t xml:space="preserve">NEFT-DELTA FOODS-INV1148</t>
  </si>
  <si>
    <t xml:space="preserve">Receipt from Delta Foods - INV-1148</t>
  </si>
  <si>
    <t xml:space="preserve">M00225</t>
  </si>
  <si>
    <t xml:space="preserve">B00767</t>
  </si>
  <si>
    <t xml:space="preserve">L00793</t>
  </si>
  <si>
    <t xml:space="preserve">NEFT-BLUEFIN LOGISTICS-INV1218</t>
  </si>
  <si>
    <t xml:space="preserve">Receipt from Bluefin Logistics - INV-1218</t>
  </si>
  <si>
    <t xml:space="preserve">M00226</t>
  </si>
  <si>
    <t xml:space="preserve">B00768</t>
  </si>
  <si>
    <t xml:space="preserve">L00795</t>
  </si>
  <si>
    <t xml:space="preserve">NEFT-DELTA FOODS-INV1244</t>
  </si>
  <si>
    <t xml:space="preserve">Receipt from Delta Foods - INV-1244</t>
  </si>
  <si>
    <t xml:space="preserve">M00227</t>
  </si>
  <si>
    <t xml:space="preserve">B00774</t>
  </si>
  <si>
    <t xml:space="preserve">L00799</t>
  </si>
  <si>
    <t xml:space="preserve">CHQ 005302 PINNACLE PRINT</t>
  </si>
  <si>
    <t xml:space="preserve">Cheque payment to Pinnacle Print - CHQ-005302</t>
  </si>
  <si>
    <t xml:space="preserve">M00228</t>
  </si>
  <si>
    <t xml:space="preserve">B00776</t>
  </si>
  <si>
    <t xml:space="preserve">L00803</t>
  </si>
  <si>
    <t xml:space="preserve">NEFT-INDUS PACKAGING-INV1045</t>
  </si>
  <si>
    <t xml:space="preserve">Receipt from Indus Packaging - INV-1045</t>
  </si>
  <si>
    <t xml:space="preserve">M00229</t>
  </si>
  <si>
    <t xml:space="preserve">B00777</t>
  </si>
  <si>
    <t xml:space="preserve">L00805</t>
  </si>
  <si>
    <t xml:space="preserve">NEFT-LAKEVIEW HOTELS-INV1144</t>
  </si>
  <si>
    <t xml:space="preserve">Receipt from Lakeview Hotels - INV-1144</t>
  </si>
  <si>
    <t xml:space="preserve">M00230</t>
  </si>
  <si>
    <t xml:space="preserve">B00779</t>
  </si>
  <si>
    <t xml:space="preserve">L00807</t>
  </si>
  <si>
    <t xml:space="preserve">NEFT-CRESTVIEW RETAIL-INV1291</t>
  </si>
  <si>
    <t xml:space="preserve">Receipt from Crestview Retail - INV-1291</t>
  </si>
  <si>
    <t xml:space="preserve">M00231</t>
  </si>
  <si>
    <t xml:space="preserve">B00780</t>
  </si>
  <si>
    <t xml:space="preserve">L00812</t>
  </si>
  <si>
    <t xml:space="preserve">NEFT-CRESTVIEW RETAIL-INV1519</t>
  </si>
  <si>
    <t xml:space="preserve">Receipt from Crestview Retail - INV-1519</t>
  </si>
  <si>
    <t xml:space="preserve">M00232</t>
  </si>
  <si>
    <t xml:space="preserve">B00781</t>
  </si>
  <si>
    <t xml:space="preserve">L00813</t>
  </si>
  <si>
    <t xml:space="preserve">NEFT-HORIZON PHARMA-INV1536</t>
  </si>
  <si>
    <t xml:space="preserve">Receipt from Horizon Pharma - INV-1536</t>
  </si>
  <si>
    <t xml:space="preserve">M00233</t>
  </si>
  <si>
    <t xml:space="preserve">B00784</t>
  </si>
  <si>
    <t xml:space="preserve">L00816</t>
  </si>
  <si>
    <t xml:space="preserve">CHQ 005227 WILLOW FURNISHINGS</t>
  </si>
  <si>
    <t xml:space="preserve">M00234</t>
  </si>
  <si>
    <t xml:space="preserve">B00788</t>
  </si>
  <si>
    <t xml:space="preserve">L00817</t>
  </si>
  <si>
    <t xml:space="preserve">CHQ 005297 WILLOW FURNISHINGS</t>
  </si>
  <si>
    <t xml:space="preserve">Cheque payment to Willow Furnishings - CHQ-005297</t>
  </si>
  <si>
    <t xml:space="preserve">M00235</t>
  </si>
  <si>
    <t xml:space="preserve">B00793</t>
  </si>
  <si>
    <t xml:space="preserve">L00820</t>
  </si>
  <si>
    <t xml:space="preserve">NEFT-EVEREST TEXTILES-INV1089</t>
  </si>
  <si>
    <t xml:space="preserve">Receipt from Everest Textiles - INV-1089</t>
  </si>
  <si>
    <t xml:space="preserve">M00236</t>
  </si>
  <si>
    <t xml:space="preserve">B00806</t>
  </si>
  <si>
    <t xml:space="preserve">L00828</t>
  </si>
  <si>
    <t xml:space="preserve">NEFT-HORIZON PHARMA-INV1128</t>
  </si>
  <si>
    <t xml:space="preserve">Receipt from Horizon Pharma - INV-1128</t>
  </si>
  <si>
    <t xml:space="preserve">M00237</t>
  </si>
  <si>
    <t xml:space="preserve">B00807</t>
  </si>
  <si>
    <t xml:space="preserve">L00830</t>
  </si>
  <si>
    <t xml:space="preserve">NEFT-KINGSLEY CHEMICALS-INV1227</t>
  </si>
  <si>
    <t xml:space="preserve">Receipt from Kingsley Chemicals - INV-1227</t>
  </si>
  <si>
    <t xml:space="preserve">M00238</t>
  </si>
  <si>
    <t xml:space="preserve">B00811</t>
  </si>
  <si>
    <t xml:space="preserve">L00834</t>
  </si>
  <si>
    <t xml:space="preserve">NEFT-GREENLEAF AGRO-INV1535</t>
  </si>
  <si>
    <t xml:space="preserve">Receipt from Greenleaf Agro - INV-1535</t>
  </si>
  <si>
    <t xml:space="preserve">M00239</t>
  </si>
  <si>
    <t xml:space="preserve">B00814</t>
  </si>
  <si>
    <t xml:space="preserve">L00840</t>
  </si>
  <si>
    <t xml:space="preserve">CHQ 005349 ATLAS FREIGHT</t>
  </si>
  <si>
    <t xml:space="preserve">Cheque payment to Atlas Freight - CHQ-005349</t>
  </si>
  <si>
    <t xml:space="preserve">M00240</t>
  </si>
  <si>
    <t xml:space="preserve">B00815</t>
  </si>
  <si>
    <t xml:space="preserve">L00841</t>
  </si>
  <si>
    <t xml:space="preserve">CHQ 005406 VERTEX CONSULTING</t>
  </si>
  <si>
    <t xml:space="preserve">Cheque payment to Vertex Consulting - CHQ-005406</t>
  </si>
  <si>
    <t xml:space="preserve">M00241</t>
  </si>
  <si>
    <t xml:space="preserve">B00818</t>
  </si>
  <si>
    <t xml:space="preserve">L00843</t>
  </si>
  <si>
    <t xml:space="preserve">NEFT-CRESTVIEW RETAIL-INV1003</t>
  </si>
  <si>
    <t xml:space="preserve">Receipt from Crestview Retail - INV-1003</t>
  </si>
  <si>
    <t xml:space="preserve">M00242</t>
  </si>
  <si>
    <t xml:space="preserve">B00819</t>
  </si>
  <si>
    <t xml:space="preserve">L00844</t>
  </si>
  <si>
    <t xml:space="preserve">NEFT-LAKEVIEW HOTELS-INV1072</t>
  </si>
  <si>
    <t xml:space="preserve">Receipt from Lakeview Hotels - INV-1072</t>
  </si>
  <si>
    <t xml:space="preserve">M00243</t>
  </si>
  <si>
    <t xml:space="preserve">B00832</t>
  </si>
  <si>
    <t xml:space="preserve">L00853</t>
  </si>
  <si>
    <t xml:space="preserve">Receipt from Jupiter Steel - INV-1094</t>
  </si>
  <si>
    <t xml:space="preserve">M00244</t>
  </si>
  <si>
    <t xml:space="preserve">B00835</t>
  </si>
  <si>
    <t xml:space="preserve">L00855</t>
  </si>
  <si>
    <t xml:space="preserve">NEFT-GREENLEAF AGRO-INV1247</t>
  </si>
  <si>
    <t xml:space="preserve">Receipt from Greenleaf Agro - INV-1247</t>
  </si>
  <si>
    <t xml:space="preserve">M00245</t>
  </si>
  <si>
    <t xml:space="preserve">B00837</t>
  </si>
  <si>
    <t xml:space="preserve">L00856</t>
  </si>
  <si>
    <t xml:space="preserve">NEFT-HORIZON PHARMA-INV1284</t>
  </si>
  <si>
    <t xml:space="preserve">Receipt from Horizon Pharma - INV-1284</t>
  </si>
  <si>
    <t xml:space="preserve">M00246</t>
  </si>
  <si>
    <t xml:space="preserve">B00838</t>
  </si>
  <si>
    <t xml:space="preserve">L00858</t>
  </si>
  <si>
    <t xml:space="preserve">NEFT-JUPITER STEEL-INV1394</t>
  </si>
  <si>
    <t xml:space="preserve">Receipt from Jupiter Steel - INV-1394</t>
  </si>
  <si>
    <t xml:space="preserve">M00247</t>
  </si>
  <si>
    <t xml:space="preserve">B00840</t>
  </si>
  <si>
    <t xml:space="preserve">L00859</t>
  </si>
  <si>
    <t xml:space="preserve">NEFT-CRESTVIEW RETAIL-INV1543</t>
  </si>
  <si>
    <t xml:space="preserve">Receipt from Crestview Retail - INV-1543</t>
  </si>
  <si>
    <t xml:space="preserve">M00248</t>
  </si>
  <si>
    <t xml:space="preserve">B00842</t>
  </si>
  <si>
    <t xml:space="preserve">L00863</t>
  </si>
  <si>
    <t xml:space="preserve">CHQ 005199 ATLAS FREIGHT</t>
  </si>
  <si>
    <t xml:space="preserve">Cheque payment to Atlas Freight - CHQ-005199</t>
  </si>
  <si>
    <t xml:space="preserve">M00249</t>
  </si>
  <si>
    <t xml:space="preserve">B00849</t>
  </si>
  <si>
    <t xml:space="preserve">L00866</t>
  </si>
  <si>
    <t xml:space="preserve">NEFT-EVEREST TEXTILES-INV1485</t>
  </si>
  <si>
    <t xml:space="preserve">Receipt from Everest Textiles - INV-1485</t>
  </si>
  <si>
    <t xml:space="preserve">M00250</t>
  </si>
  <si>
    <t xml:space="preserve">B00850</t>
  </si>
  <si>
    <t xml:space="preserve">L00869</t>
  </si>
  <si>
    <t xml:space="preserve">NEFT-GREENLEAF AGRO-INV1559</t>
  </si>
  <si>
    <t xml:space="preserve">Receipt from Greenleaf Agro - INV-1559</t>
  </si>
  <si>
    <t xml:space="preserve">M00251</t>
  </si>
  <si>
    <t xml:space="preserve">B00852</t>
  </si>
  <si>
    <t xml:space="preserve">L00870</t>
  </si>
  <si>
    <t xml:space="preserve">NEFT-JUPITER STEEL-INV1586</t>
  </si>
  <si>
    <t xml:space="preserve">Receipt from Jupiter Steel - INV-1586</t>
  </si>
  <si>
    <t xml:space="preserve">M00252</t>
  </si>
  <si>
    <t xml:space="preserve">B00857</t>
  </si>
  <si>
    <t xml:space="preserve">L00880</t>
  </si>
  <si>
    <t xml:space="preserve">NEFT-JUPITER STEEL-INV1106</t>
  </si>
  <si>
    <t xml:space="preserve">Receipt from Jupiter Steel - INV-1106</t>
  </si>
  <si>
    <t xml:space="preserve">M00253</t>
  </si>
  <si>
    <t xml:space="preserve">B00858</t>
  </si>
  <si>
    <t xml:space="preserve">L00881</t>
  </si>
  <si>
    <t xml:space="preserve">NEFT-FALCON AUTO PARTS-INV1138</t>
  </si>
  <si>
    <t xml:space="preserve">Receipt from Falcon Auto Parts - INV-1138</t>
  </si>
  <si>
    <t xml:space="preserve">M00254</t>
  </si>
  <si>
    <t xml:space="preserve">B00864</t>
  </si>
  <si>
    <t xml:space="preserve">L00895</t>
  </si>
  <si>
    <t xml:space="preserve">NEFT-BLUEFIN LOGISTICS-INV1002</t>
  </si>
  <si>
    <t xml:space="preserve">Receipt from Bluefin Logistics - INV-1002</t>
  </si>
  <si>
    <t xml:space="preserve">M00255</t>
  </si>
  <si>
    <t xml:space="preserve">B00866</t>
  </si>
  <si>
    <t xml:space="preserve">L00898</t>
  </si>
  <si>
    <t xml:space="preserve">NEFT-DELTA FOODS-INV1136</t>
  </si>
  <si>
    <t xml:space="preserve">Receipt from Delta Foods - INV-1136</t>
  </si>
  <si>
    <t xml:space="preserve">M00256</t>
  </si>
  <si>
    <t xml:space="preserve">B00870</t>
  </si>
  <si>
    <t xml:space="preserve">L00899</t>
  </si>
  <si>
    <t xml:space="preserve">NEFT-EVEREST TEXTILES-INV1341</t>
  </si>
  <si>
    <t xml:space="preserve">Receipt from Everest Textiles - INV-1341</t>
  </si>
  <si>
    <t xml:space="preserve">M00257</t>
  </si>
  <si>
    <t xml:space="preserve">B00884</t>
  </si>
  <si>
    <t xml:space="preserve">L00908</t>
  </si>
  <si>
    <t xml:space="preserve">CHQ 005269 ATLAS FREIGHT</t>
  </si>
  <si>
    <t xml:space="preserve">Cheque payment to Atlas Freight - CHQ-005269</t>
  </si>
  <si>
    <t xml:space="preserve">M00258</t>
  </si>
  <si>
    <t xml:space="preserve">B00888</t>
  </si>
  <si>
    <t xml:space="preserve">L00911</t>
  </si>
  <si>
    <t xml:space="preserve">NEFT-ACME TRADERS-INV1109</t>
  </si>
  <si>
    <t xml:space="preserve">Receipt from Acme Traders - INV-1109</t>
  </si>
  <si>
    <t xml:space="preserve">M00259</t>
  </si>
  <si>
    <t xml:space="preserve">B00889</t>
  </si>
  <si>
    <t xml:space="preserve">L00913</t>
  </si>
  <si>
    <t xml:space="preserve">NEFT-JUPITER STEEL-INV1166</t>
  </si>
  <si>
    <t xml:space="preserve">Receipt from Jupiter Steel - INV-1166</t>
  </si>
  <si>
    <t xml:space="preserve">M00260</t>
  </si>
  <si>
    <t xml:space="preserve">B00890</t>
  </si>
  <si>
    <t xml:space="preserve">L00914</t>
  </si>
  <si>
    <t xml:space="preserve">NEFT-FALCON AUTO PARTS-INV1174</t>
  </si>
  <si>
    <t xml:space="preserve">Receipt from Falcon Auto Parts - INV-1174</t>
  </si>
  <si>
    <t xml:space="preserve">M00261</t>
  </si>
  <si>
    <t xml:space="preserve">B00891</t>
  </si>
  <si>
    <t xml:space="preserve">L00916</t>
  </si>
  <si>
    <t xml:space="preserve">NEFT-CRESTVIEW RETAIL-INV1255</t>
  </si>
  <si>
    <t xml:space="preserve">Receipt from Crestview Retail - INV-1255</t>
  </si>
  <si>
    <t xml:space="preserve">M00262</t>
  </si>
  <si>
    <t xml:space="preserve">B00892</t>
  </si>
  <si>
    <t xml:space="preserve">L00918</t>
  </si>
  <si>
    <t xml:space="preserve">NEFT-LAKEVIEW HOTELS-INV1432</t>
  </si>
  <si>
    <t xml:space="preserve">Receipt from Lakeview Hotels - INV-1432</t>
  </si>
  <si>
    <t xml:space="preserve">M00263</t>
  </si>
  <si>
    <t xml:space="preserve">B00894</t>
  </si>
  <si>
    <t xml:space="preserve">L00922</t>
  </si>
  <si>
    <t xml:space="preserve">CHQ 005024 ORCHID CATERING</t>
  </si>
  <si>
    <t xml:space="preserve">Cheque payment to Orchid Catering - CHQ-005024</t>
  </si>
  <si>
    <t xml:space="preserve">M00264</t>
  </si>
  <si>
    <t xml:space="preserve">B00901</t>
  </si>
  <si>
    <t xml:space="preserve">L00928</t>
  </si>
  <si>
    <t xml:space="preserve">NEFT-INDUS PACKAGING-INV1009</t>
  </si>
  <si>
    <t xml:space="preserve">Receipt from Indus Packaging - INV-1009</t>
  </si>
  <si>
    <t xml:space="preserve">M00265</t>
  </si>
  <si>
    <t xml:space="preserve">B00902</t>
  </si>
  <si>
    <t xml:space="preserve">L00930</t>
  </si>
  <si>
    <t xml:space="preserve">NEFT-EVEREST TEXTILES-INV1077</t>
  </si>
  <si>
    <t xml:space="preserve">Receipt from Everest Textiles - INV-1077</t>
  </si>
  <si>
    <t xml:space="preserve">M00266</t>
  </si>
  <si>
    <t xml:space="preserve">B00905</t>
  </si>
  <si>
    <t xml:space="preserve">L00933</t>
  </si>
  <si>
    <t xml:space="preserve">NEFT-LAKEVIEW HOTELS-INV1360</t>
  </si>
  <si>
    <t xml:space="preserve">Receipt from Lakeview Hotels - INV-1360</t>
  </si>
  <si>
    <t xml:space="preserve">M00267</t>
  </si>
  <si>
    <t xml:space="preserve">B00909</t>
  </si>
  <si>
    <t xml:space="preserve">L00936</t>
  </si>
  <si>
    <t xml:space="preserve">CHQ 005137 WILLOW FURNISHINGS</t>
  </si>
  <si>
    <t xml:space="preserve">Cheque payment to Willow Furnishings - CHQ-005137</t>
  </si>
  <si>
    <t xml:space="preserve">M00268</t>
  </si>
  <si>
    <t xml:space="preserve">B00916</t>
  </si>
  <si>
    <t xml:space="preserve">L00941</t>
  </si>
  <si>
    <t xml:space="preserve">NEFT-EVEREST TEXTILES-INV1005</t>
  </si>
  <si>
    <t xml:space="preserve">Receipt from Everest Textiles - INV-1005</t>
  </si>
  <si>
    <t xml:space="preserve">M00269</t>
  </si>
  <si>
    <t xml:space="preserve">B00917</t>
  </si>
  <si>
    <t xml:space="preserve">L00942</t>
  </si>
  <si>
    <t xml:space="preserve">NEFT-KINGSLEY CHEMICALS-INV1011</t>
  </si>
  <si>
    <t xml:space="preserve">Receipt from Kingsley Chemicals - INV-1011</t>
  </si>
  <si>
    <t xml:space="preserve">M00270</t>
  </si>
  <si>
    <t xml:space="preserve">B00923</t>
  </si>
  <si>
    <t xml:space="preserve">L00944</t>
  </si>
  <si>
    <t xml:space="preserve">NEFT-DELTA FOODS-INV1352</t>
  </si>
  <si>
    <t xml:space="preserve">Receipt from Delta Foods - INV-1352</t>
  </si>
  <si>
    <t xml:space="preserve">M00271</t>
  </si>
  <si>
    <t xml:space="preserve">B00924</t>
  </si>
  <si>
    <t xml:space="preserve">L00948</t>
  </si>
  <si>
    <t xml:space="preserve">NEFT-ACME TRADERS-INV1457</t>
  </si>
  <si>
    <t xml:space="preserve">Receipt from Acme Traders - INV-1457</t>
  </si>
  <si>
    <t xml:space="preserve">M00272</t>
  </si>
  <si>
    <t xml:space="preserve">B00925</t>
  </si>
  <si>
    <t xml:space="preserve">L00949</t>
  </si>
  <si>
    <t xml:space="preserve">NEFT-JUPITER STEEL-INV1574</t>
  </si>
  <si>
    <t xml:space="preserve">Receipt from Jupiter Steel - INV-1574</t>
  </si>
  <si>
    <t xml:space="preserve">M00273</t>
  </si>
  <si>
    <t xml:space="preserve">B00932</t>
  </si>
  <si>
    <t xml:space="preserve">L00960</t>
  </si>
  <si>
    <t xml:space="preserve">NEFT-KINGSLEY CHEMICALS-INV1299</t>
  </si>
  <si>
    <t xml:space="preserve">Receipt from Kingsley Chemicals - INV-1299</t>
  </si>
  <si>
    <t xml:space="preserve">M00274</t>
  </si>
  <si>
    <t xml:space="preserve">B00934</t>
  </si>
  <si>
    <t xml:space="preserve">L00964</t>
  </si>
  <si>
    <t xml:space="preserve">NEFT-GREENLEAF AGRO-INV1475</t>
  </si>
  <si>
    <t xml:space="preserve">Receipt from Greenleaf Agro - INV-1475</t>
  </si>
  <si>
    <t xml:space="preserve">M00275</t>
  </si>
  <si>
    <t xml:space="preserve">B00935</t>
  </si>
  <si>
    <t xml:space="preserve">L00966</t>
  </si>
  <si>
    <t xml:space="preserve">NEFT-BLUEFIN LOGISTICS-INV1590</t>
  </si>
  <si>
    <t xml:space="preserve">Receipt from Bluefin Logistics - INV-1590</t>
  </si>
  <si>
    <t xml:space="preserve">M00276</t>
  </si>
  <si>
    <t xml:space="preserve">B00943</t>
  </si>
  <si>
    <t xml:space="preserve">L00969</t>
  </si>
  <si>
    <t xml:space="preserve">CHQ 005371 KESTREL OFFICE SUPPLIES</t>
  </si>
  <si>
    <t xml:space="preserve">Cheque payment to Kestrel Office Supplies - CHQ-005371</t>
  </si>
  <si>
    <t xml:space="preserve">M00277</t>
  </si>
  <si>
    <t xml:space="preserve">B00946</t>
  </si>
  <si>
    <t xml:space="preserve">L00970</t>
  </si>
  <si>
    <t xml:space="preserve">NEFT-FALCON AUTO PARTS-INV1006</t>
  </si>
  <si>
    <t xml:space="preserve">Receipt from Falcon Auto Parts - INV-1006</t>
  </si>
  <si>
    <t xml:space="preserve">M00278</t>
  </si>
  <si>
    <t xml:space="preserve">B00949</t>
  </si>
  <si>
    <t xml:space="preserve">L00972</t>
  </si>
  <si>
    <t xml:space="preserve">NEFT-KINGSLEY CHEMICALS-INV1335</t>
  </si>
  <si>
    <t xml:space="preserve">Receipt from Kingsley Chemicals - INV-1335</t>
  </si>
  <si>
    <t xml:space="preserve">M00279</t>
  </si>
  <si>
    <t xml:space="preserve">B00951</t>
  </si>
  <si>
    <t xml:space="preserve">L00973</t>
  </si>
  <si>
    <t xml:space="preserve">NEFT-CRESTVIEW RETAIL-INV1411</t>
  </si>
  <si>
    <t xml:space="preserve">Receipt from Crestview Retail - INV-1411</t>
  </si>
  <si>
    <t xml:space="preserve">M00280</t>
  </si>
  <si>
    <t xml:space="preserve">B00955</t>
  </si>
  <si>
    <t xml:space="preserve">L00976</t>
  </si>
  <si>
    <t xml:space="preserve">CHQ 005039 ATLAS FREIGHT</t>
  </si>
  <si>
    <t xml:space="preserve">Cheque payment to Atlas Freight - CHQ-005039</t>
  </si>
  <si>
    <t xml:space="preserve">M00281</t>
  </si>
  <si>
    <t xml:space="preserve">B00956</t>
  </si>
  <si>
    <t xml:space="preserve">L00977</t>
  </si>
  <si>
    <t xml:space="preserve">CHQ 005042 PINNACLE PRINT</t>
  </si>
  <si>
    <t xml:space="preserve">Cheque payment to Pinnacle Print - CHQ-005042</t>
  </si>
  <si>
    <t xml:space="preserve">M00282</t>
  </si>
  <si>
    <t xml:space="preserve">B00959</t>
  </si>
  <si>
    <t xml:space="preserve">L00981</t>
  </si>
  <si>
    <t xml:space="preserve">CHQ 005263 ZENITH HARDWARE</t>
  </si>
  <si>
    <t xml:space="preserve">Cheque payment to Zenith Hardware - CHQ-005263</t>
  </si>
  <si>
    <t xml:space="preserve">M00283</t>
  </si>
  <si>
    <t xml:space="preserve">B00962</t>
  </si>
  <si>
    <t xml:space="preserve">L00988</t>
  </si>
  <si>
    <t xml:space="preserve">NEFT-DELTA FOODS-INV1160</t>
  </si>
  <si>
    <t xml:space="preserve">Receipt from Delta Foods - INV-1160</t>
  </si>
  <si>
    <t xml:space="preserve">M00284</t>
  </si>
  <si>
    <t xml:space="preserve">B00976</t>
  </si>
  <si>
    <t xml:space="preserve">L01001</t>
  </si>
  <si>
    <t xml:space="preserve">NEFT-HORIZON PHARMA-INV1224</t>
  </si>
  <si>
    <t xml:space="preserve">Receipt from Horizon Pharma - INV-1224</t>
  </si>
  <si>
    <t xml:space="preserve">M00285</t>
  </si>
  <si>
    <t xml:space="preserve">B00977</t>
  </si>
  <si>
    <t xml:space="preserve">L01003</t>
  </si>
  <si>
    <t xml:space="preserve">NEFT-KINGSLEY CHEMICALS-INV1251</t>
  </si>
  <si>
    <t xml:space="preserve">Receipt from Kingsley Chemicals - INV-1251</t>
  </si>
  <si>
    <t xml:space="preserve">M00286</t>
  </si>
  <si>
    <t xml:space="preserve">B00978</t>
  </si>
  <si>
    <t xml:space="preserve">L01004</t>
  </si>
  <si>
    <t xml:space="preserve">NEFT-GREENLEAF AGRO-INV1331</t>
  </si>
  <si>
    <t xml:space="preserve">Receipt from Greenleaf Agro - INV-1331</t>
  </si>
  <si>
    <t xml:space="preserve">M00287</t>
  </si>
  <si>
    <t xml:space="preserve">B00980</t>
  </si>
  <si>
    <t xml:space="preserve">L01006</t>
  </si>
  <si>
    <t xml:space="preserve">NEFT-JUPITER STEEL-INV1442</t>
  </si>
  <si>
    <t xml:space="preserve">Receipt from Jupiter Steel - INV-1442</t>
  </si>
  <si>
    <t xml:space="preserve">M00288</t>
  </si>
  <si>
    <t xml:space="preserve">B00981</t>
  </si>
  <si>
    <t xml:space="preserve">L01007</t>
  </si>
  <si>
    <t xml:space="preserve">NEFT-GREENLEAF AGRO-INV1463</t>
  </si>
  <si>
    <t xml:space="preserve">Receipt from Greenleaf Agro - INV-1463</t>
  </si>
  <si>
    <t xml:space="preserve">M00289</t>
  </si>
  <si>
    <t xml:space="preserve">B00992</t>
  </si>
  <si>
    <t xml:space="preserve">L01015</t>
  </si>
  <si>
    <t xml:space="preserve">NEFT-HORIZON PHARMA-INV1440</t>
  </si>
  <si>
    <t xml:space="preserve">Receipt from Horizon Pharma - INV-1440</t>
  </si>
  <si>
    <t xml:space="preserve">M00290</t>
  </si>
  <si>
    <t xml:space="preserve">B00993</t>
  </si>
  <si>
    <t xml:space="preserve">L01016</t>
  </si>
  <si>
    <t xml:space="preserve">NEFT-HORIZON PHARMA-INV1464</t>
  </si>
  <si>
    <t xml:space="preserve">Receipt from Horizon Pharma - INV-1464</t>
  </si>
  <si>
    <t xml:space="preserve">M00291</t>
  </si>
  <si>
    <t xml:space="preserve">B00994</t>
  </si>
  <si>
    <t xml:space="preserve">L01017</t>
  </si>
  <si>
    <t xml:space="preserve">NEFT-DELTA FOODS-INV1472</t>
  </si>
  <si>
    <t xml:space="preserve">Receipt from Delta Foods - INV-1472</t>
  </si>
  <si>
    <t xml:space="preserve">M00292</t>
  </si>
  <si>
    <t xml:space="preserve">B00996</t>
  </si>
  <si>
    <t xml:space="preserve">L01020</t>
  </si>
  <si>
    <t xml:space="preserve">NEFT-JUPITER STEEL-INV1598</t>
  </si>
  <si>
    <t xml:space="preserve">Receipt from Jupiter Steel - INV-1598</t>
  </si>
  <si>
    <t xml:space="preserve">M00293</t>
  </si>
  <si>
    <t xml:space="preserve">B00999</t>
  </si>
  <si>
    <t xml:space="preserve">L01021</t>
  </si>
  <si>
    <t xml:space="preserve">CHQ 005030 BIRCH PACKAGING</t>
  </si>
  <si>
    <t xml:space="preserve">M00294</t>
  </si>
  <si>
    <t xml:space="preserve">B01004</t>
  </si>
  <si>
    <t xml:space="preserve">L01024</t>
  </si>
  <si>
    <t xml:space="preserve">CHQ 005240 BIRCH PACKAGING</t>
  </si>
  <si>
    <t xml:space="preserve">Cheque payment to Birch Packaging - CHQ-005240</t>
  </si>
  <si>
    <t xml:space="preserve">M00295</t>
  </si>
  <si>
    <t xml:space="preserve">B01007</t>
  </si>
  <si>
    <t xml:space="preserve">L01031</t>
  </si>
  <si>
    <t xml:space="preserve">NEFT-INDUS PACKAGING-INV1057</t>
  </si>
  <si>
    <t xml:space="preserve">Receipt from Indus Packaging - INV-1057</t>
  </si>
  <si>
    <t xml:space="preserve">M00296</t>
  </si>
  <si>
    <t xml:space="preserve">B01009</t>
  </si>
  <si>
    <t xml:space="preserve">L01032</t>
  </si>
  <si>
    <t xml:space="preserve">NEFT-FALCON AUTO PARTS-INV1222</t>
  </si>
  <si>
    <t xml:space="preserve">Receipt from Falcon Auto Parts - INV-1222</t>
  </si>
  <si>
    <t xml:space="preserve">M00297</t>
  </si>
  <si>
    <t xml:space="preserve">B01011</t>
  </si>
  <si>
    <t xml:space="preserve">L01033</t>
  </si>
  <si>
    <t xml:space="preserve">NEFT-JUPITER STEEL-INV1286</t>
  </si>
  <si>
    <t xml:space="preserve">Receipt from Jupiter Steel - INV-1286</t>
  </si>
  <si>
    <t xml:space="preserve">M00298</t>
  </si>
  <si>
    <t xml:space="preserve">B01012</t>
  </si>
  <si>
    <t xml:space="preserve">L01034</t>
  </si>
  <si>
    <t xml:space="preserve">NEFT-HORIZON PHARMA-INV1320</t>
  </si>
  <si>
    <t xml:space="preserve">Receipt from Horizon Pharma - INV-1320</t>
  </si>
  <si>
    <t xml:space="preserve">M00299</t>
  </si>
  <si>
    <t xml:space="preserve">B01018</t>
  </si>
  <si>
    <t xml:space="preserve">L01042</t>
  </si>
  <si>
    <t xml:space="preserve">NEFT-HORIZON PHARMA-INV1236</t>
  </si>
  <si>
    <t xml:space="preserve">Receipt from Horizon Pharma - INV-1236</t>
  </si>
  <si>
    <t xml:space="preserve">M00300</t>
  </si>
  <si>
    <t xml:space="preserve">B01021</t>
  </si>
  <si>
    <t xml:space="preserve">L01044</t>
  </si>
  <si>
    <t xml:space="preserve">NEFT-JUPITER STEEL-INV1370</t>
  </si>
  <si>
    <t xml:space="preserve">Receipt from Jupiter Steel - INV-1370</t>
  </si>
  <si>
    <t xml:space="preserve">M00301</t>
  </si>
  <si>
    <t xml:space="preserve">B01027</t>
  </si>
  <si>
    <t xml:space="preserve">L01050</t>
  </si>
  <si>
    <t xml:space="preserve">CHQ 005203 ZENITH HARDWARE</t>
  </si>
  <si>
    <t xml:space="preserve">Cheque payment to Zenith Hardware - CHQ-005203</t>
  </si>
  <si>
    <t xml:space="preserve">M00302</t>
  </si>
  <si>
    <t xml:space="preserve">B01031</t>
  </si>
  <si>
    <t xml:space="preserve">L01052</t>
  </si>
  <si>
    <t xml:space="preserve">CHQ 005367 WILLOW FURNISHINGS</t>
  </si>
  <si>
    <t xml:space="preserve">Cheque payment to Willow Furnishings - CHQ-005367</t>
  </si>
  <si>
    <t xml:space="preserve">M00303</t>
  </si>
  <si>
    <t xml:space="preserve">B01036</t>
  </si>
  <si>
    <t xml:space="preserve">L01059</t>
  </si>
  <si>
    <t xml:space="preserve">NEFT-INDUS PACKAGING-INV1321</t>
  </si>
  <si>
    <t xml:space="preserve">Receipt from Indus Packaging - INV-1321</t>
  </si>
  <si>
    <t xml:space="preserve">M00304</t>
  </si>
  <si>
    <t xml:space="preserve">B01037</t>
  </si>
  <si>
    <t xml:space="preserve">L01060</t>
  </si>
  <si>
    <t xml:space="preserve">NEFT-DELTA FOODS-INV1364</t>
  </si>
  <si>
    <t xml:space="preserve">Receipt from Delta Foods - INV-1364</t>
  </si>
  <si>
    <t xml:space="preserve">M00305</t>
  </si>
  <si>
    <t xml:space="preserve">B01038</t>
  </si>
  <si>
    <t xml:space="preserve">L01061</t>
  </si>
  <si>
    <t xml:space="preserve">NEFT-LAKEVIEW HOTELS-INV1384</t>
  </si>
  <si>
    <t xml:space="preserve">Receipt from Lakeview Hotels - INV-1384</t>
  </si>
  <si>
    <t xml:space="preserve">M00306</t>
  </si>
  <si>
    <t xml:space="preserve">B01040</t>
  </si>
  <si>
    <t xml:space="preserve">L01063</t>
  </si>
  <si>
    <t xml:space="preserve">NEFT-DELTA FOODS-INV1520</t>
  </si>
  <si>
    <t xml:space="preserve">Receipt from Delta Foods - INV-1520</t>
  </si>
  <si>
    <t xml:space="preserve">M00307</t>
  </si>
  <si>
    <t xml:space="preserve">B01043</t>
  </si>
  <si>
    <t xml:space="preserve">L01066</t>
  </si>
  <si>
    <t xml:space="preserve">CHQ 005159 ATLAS FREIGHT</t>
  </si>
  <si>
    <t xml:space="preserve">Cheque payment to Atlas Freight - CHQ-005159</t>
  </si>
  <si>
    <t xml:space="preserve">M00308</t>
  </si>
  <si>
    <t xml:space="preserve">B01046</t>
  </si>
  <si>
    <t xml:space="preserve">L01070</t>
  </si>
  <si>
    <t xml:space="preserve">NEFT-FALCON AUTO PARTS-INV1114</t>
  </si>
  <si>
    <t xml:space="preserve">Receipt from Falcon Auto Parts - INV-1114</t>
  </si>
  <si>
    <t xml:space="preserve">M00309</t>
  </si>
  <si>
    <t xml:space="preserve">B01049</t>
  </si>
  <si>
    <t xml:space="preserve">L01072</t>
  </si>
  <si>
    <t xml:space="preserve">NEFT-GREENLEAF AGRO-INV1283</t>
  </si>
  <si>
    <t xml:space="preserve">Receipt from Greenleaf Agro - INV-1283</t>
  </si>
  <si>
    <t xml:space="preserve">M00310</t>
  </si>
  <si>
    <t xml:space="preserve">B01051</t>
  </si>
  <si>
    <t xml:space="preserve">L01074</t>
  </si>
  <si>
    <t xml:space="preserve">NEFT-HORIZON PHARMA-INV1344</t>
  </si>
  <si>
    <t xml:space="preserve">Receipt from Horizon Pharma - INV-1344</t>
  </si>
  <si>
    <t xml:space="preserve">M00311</t>
  </si>
  <si>
    <t xml:space="preserve">B01052</t>
  </si>
  <si>
    <t xml:space="preserve">L01075</t>
  </si>
  <si>
    <t xml:space="preserve">NEFT-KINGSLEY CHEMICALS-INV1359</t>
  </si>
  <si>
    <t xml:space="preserve">Receipt from Kingsley Chemicals - INV-1359</t>
  </si>
  <si>
    <t xml:space="preserve">M00312</t>
  </si>
  <si>
    <t xml:space="preserve">B01053</t>
  </si>
  <si>
    <t xml:space="preserve">L01076</t>
  </si>
  <si>
    <t xml:space="preserve">NEFT-KINGSLEY CHEMICALS-INV1395</t>
  </si>
  <si>
    <t xml:space="preserve">Receipt from Kingsley Chemicals - INV-1395</t>
  </si>
  <si>
    <t xml:space="preserve">M00313</t>
  </si>
  <si>
    <t xml:space="preserve">B01056</t>
  </si>
  <si>
    <t xml:space="preserve">L01077</t>
  </si>
  <si>
    <t xml:space="preserve">NEFT-LAKEVIEW HOTELS-INV1564</t>
  </si>
  <si>
    <t xml:space="preserve">Receipt from Lakeview Hotels - INV-1564</t>
  </si>
  <si>
    <t xml:space="preserve">M00314</t>
  </si>
  <si>
    <t xml:space="preserve">B01059</t>
  </si>
  <si>
    <t xml:space="preserve">L01080</t>
  </si>
  <si>
    <t xml:space="preserve">CHQ 005181 KESTREL OFFICE SUPPLIES</t>
  </si>
  <si>
    <t xml:space="preserve">Cheque payment to Kestrel Office Supplies - CHQ-005181</t>
  </si>
  <si>
    <t xml:space="preserve">M00315</t>
  </si>
  <si>
    <t xml:space="preserve">B01065</t>
  </si>
  <si>
    <t xml:space="preserve">L01085</t>
  </si>
  <si>
    <t xml:space="preserve">NEFT-JUPITER STEEL-INV1058</t>
  </si>
  <si>
    <t xml:space="preserve">Receipt from Jupiter Steel - INV-1058</t>
  </si>
  <si>
    <t xml:space="preserve">M00316</t>
  </si>
  <si>
    <t xml:space="preserve">B01066</t>
  </si>
  <si>
    <t xml:space="preserve">L01086</t>
  </si>
  <si>
    <t xml:space="preserve">NEFT-ACME TRADERS-INV1133</t>
  </si>
  <si>
    <t xml:space="preserve">Receipt from Acme Traders - INV-1133</t>
  </si>
  <si>
    <t xml:space="preserve">M00317</t>
  </si>
  <si>
    <t xml:space="preserve">B01068</t>
  </si>
  <si>
    <t xml:space="preserve">L01087</t>
  </si>
  <si>
    <t xml:space="preserve">NEFT-JUPITER STEEL-INV1142</t>
  </si>
  <si>
    <t xml:space="preserve">Receipt from Jupiter Steel - INV-1142</t>
  </si>
  <si>
    <t xml:space="preserve">M00318</t>
  </si>
  <si>
    <t xml:space="preserve">B01070</t>
  </si>
  <si>
    <t xml:space="preserve">L01092</t>
  </si>
  <si>
    <t xml:space="preserve">NEFT-JUPITER STEEL-INV1346</t>
  </si>
  <si>
    <t xml:space="preserve">Receipt from Jupiter Steel - INV-1346</t>
  </si>
  <si>
    <t xml:space="preserve">M00319</t>
  </si>
  <si>
    <t xml:space="preserve">B01071</t>
  </si>
  <si>
    <t xml:space="preserve">L01093</t>
  </si>
  <si>
    <t xml:space="preserve">NEFT-KINGSLEY CHEMICALS-INV1383</t>
  </si>
  <si>
    <t xml:space="preserve">Receipt from Kingsley Chemicals - INV-1383</t>
  </si>
  <si>
    <t xml:space="preserve">M00320</t>
  </si>
  <si>
    <t xml:space="preserve">B01078</t>
  </si>
  <si>
    <t xml:space="preserve">L01099</t>
  </si>
  <si>
    <t xml:space="preserve">CHQ 005418 YONDER TRAVEL</t>
  </si>
  <si>
    <t xml:space="preserve">Cheque payment to Yonder Travel - CHQ-005418</t>
  </si>
  <si>
    <t xml:space="preserve">M00321</t>
  </si>
  <si>
    <t xml:space="preserve">B01079</t>
  </si>
  <si>
    <t xml:space="preserve">L01100</t>
  </si>
  <si>
    <t xml:space="preserve">NEFT-FALCON AUTO PARTS-INV1066</t>
  </si>
  <si>
    <t xml:space="preserve">Receipt from Falcon Auto Parts - INV-1066</t>
  </si>
  <si>
    <t xml:space="preserve">M00322</t>
  </si>
  <si>
    <t xml:space="preserve">B01084</t>
  </si>
  <si>
    <t xml:space="preserve">L01101</t>
  </si>
  <si>
    <t xml:space="preserve">NEFT-GREENLEAF AGRO-INV1403</t>
  </si>
  <si>
    <t xml:space="preserve">Receipt from Greenleaf Agro - INV-1403</t>
  </si>
  <si>
    <t xml:space="preserve">M00323</t>
  </si>
  <si>
    <t xml:space="preserve">B01085</t>
  </si>
  <si>
    <t xml:space="preserve">L01102</t>
  </si>
  <si>
    <t xml:space="preserve">NEFT-ACME TRADERS-INV1445</t>
  </si>
  <si>
    <t xml:space="preserve">Receipt from Acme Traders - INV-1445</t>
  </si>
  <si>
    <t xml:space="preserve">M00324</t>
  </si>
  <si>
    <t xml:space="preserve">B01090</t>
  </si>
  <si>
    <t xml:space="preserve">L01105</t>
  </si>
  <si>
    <t xml:space="preserve">CHQ 005388 YONDER TRAVEL</t>
  </si>
  <si>
    <t xml:space="preserve">Cheque payment to Yonder Travel - CHQ-005388</t>
  </si>
  <si>
    <t xml:space="preserve">M00325</t>
  </si>
  <si>
    <t xml:space="preserve">B01092</t>
  </si>
  <si>
    <t xml:space="preserve">L01107</t>
  </si>
  <si>
    <t xml:space="preserve">NEFT-GREENLEAF AGRO-INV1031</t>
  </si>
  <si>
    <t xml:space="preserve">Receipt from Greenleaf Agro - INV-1031</t>
  </si>
  <si>
    <t xml:space="preserve">M00326</t>
  </si>
  <si>
    <t xml:space="preserve">B01094</t>
  </si>
  <si>
    <t xml:space="preserve">L01111</t>
  </si>
  <si>
    <t xml:space="preserve">NEFT-CRESTVIEW RETAIL-INV1387</t>
  </si>
  <si>
    <t xml:space="preserve">Receipt from Crestview Retail - INV-1387</t>
  </si>
  <si>
    <t xml:space="preserve">M00327</t>
  </si>
  <si>
    <t xml:space="preserve">B01095</t>
  </si>
  <si>
    <t xml:space="preserve">L01113</t>
  </si>
  <si>
    <t xml:space="preserve">NEFT-HORIZON PHARMA-INV1452</t>
  </si>
  <si>
    <t xml:space="preserve">Receipt from Horizon Pharma - INV-1452</t>
  </si>
  <si>
    <t xml:space="preserve">M00328</t>
  </si>
  <si>
    <t xml:space="preserve">B01097</t>
  </si>
  <si>
    <t xml:space="preserve">L01114</t>
  </si>
  <si>
    <t xml:space="preserve">CHQ 005078 YONDER TRAVEL</t>
  </si>
  <si>
    <t xml:space="preserve">Cheque payment to Yonder Travel - CHQ-005078</t>
  </si>
  <si>
    <t xml:space="preserve">M00329</t>
  </si>
  <si>
    <t xml:space="preserve">B01099</t>
  </si>
  <si>
    <t xml:space="preserve">L01115</t>
  </si>
  <si>
    <t xml:space="preserve">CHQ 005166 VERTEX CONSULTING</t>
  </si>
  <si>
    <t xml:space="preserve">Cheque payment to Vertex Consulting - CHQ-005166</t>
  </si>
  <si>
    <t xml:space="preserve">M00330</t>
  </si>
  <si>
    <t xml:space="preserve">B01100</t>
  </si>
  <si>
    <t xml:space="preserve">L01116</t>
  </si>
  <si>
    <t xml:space="preserve">CHQ 005366 VERTEX CONSULTING</t>
  </si>
  <si>
    <t xml:space="preserve">Cheque payment to Vertex Consulting - CHQ-005366</t>
  </si>
  <si>
    <t xml:space="preserve">M00331</t>
  </si>
  <si>
    <t xml:space="preserve">B01101</t>
  </si>
  <si>
    <t xml:space="preserve">L01119</t>
  </si>
  <si>
    <t xml:space="preserve">CHQ 005393 ZENITH HARDWARE</t>
  </si>
  <si>
    <t xml:space="preserve">Cheque payment to Zenith Hardware - CHQ-005393</t>
  </si>
  <si>
    <t xml:space="preserve">M00332</t>
  </si>
  <si>
    <t xml:space="preserve">B01104</t>
  </si>
  <si>
    <t xml:space="preserve">L01121</t>
  </si>
  <si>
    <t xml:space="preserve">NEFT-INDUS PACKAGING-INV1237</t>
  </si>
  <si>
    <t xml:space="preserve">Receipt from Indus Packaging - INV-1237</t>
  </si>
  <si>
    <t xml:space="preserve">M00333</t>
  </si>
  <si>
    <t xml:space="preserve">B01105</t>
  </si>
  <si>
    <t xml:space="preserve">L01122</t>
  </si>
  <si>
    <t xml:space="preserve">NEFT-HORIZON PHARMA-INV1248</t>
  </si>
  <si>
    <t xml:space="preserve">Receipt from Horizon Pharma - INV-1248</t>
  </si>
  <si>
    <t xml:space="preserve">M00334</t>
  </si>
  <si>
    <t xml:space="preserve">B01107</t>
  </si>
  <si>
    <t xml:space="preserve">L01124</t>
  </si>
  <si>
    <t xml:space="preserve">NEFT-KINGSLEY CHEMICALS-INV1455</t>
  </si>
  <si>
    <t xml:space="preserve">Receipt from Kingsley Chemicals - INV-1455</t>
  </si>
  <si>
    <t xml:space="preserve">M00335</t>
  </si>
  <si>
    <t xml:space="preserve">B01109</t>
  </si>
  <si>
    <t xml:space="preserve">L01125</t>
  </si>
  <si>
    <t xml:space="preserve">CHQ 005026 VERTEX CONSULTING</t>
  </si>
  <si>
    <t xml:space="preserve">Cheque payment to Vertex Consulting - CHQ-005026</t>
  </si>
  <si>
    <t xml:space="preserve">M00336</t>
  </si>
  <si>
    <t xml:space="preserve">B01110</t>
  </si>
  <si>
    <t xml:space="preserve">L01126</t>
  </si>
  <si>
    <t xml:space="preserve">CHQ 005060 BIRCH PACKAGING</t>
  </si>
  <si>
    <t xml:space="preserve">Cheque payment to Birch Packaging - CHQ-005060</t>
  </si>
  <si>
    <t xml:space="preserve">M00337</t>
  </si>
  <si>
    <t xml:space="preserve">B00010</t>
  </si>
  <si>
    <t xml:space="preserve">L00001</t>
  </si>
  <si>
    <t xml:space="preserve">NEFT-ACME TRADERS-INV1157</t>
  </si>
  <si>
    <t xml:space="preserve">Receipt from Acme Traders - INV-1157</t>
  </si>
  <si>
    <t xml:space="preserve">M00338</t>
  </si>
  <si>
    <t xml:space="preserve">B00011</t>
  </si>
  <si>
    <t xml:space="preserve">L00003</t>
  </si>
  <si>
    <t xml:space="preserve">NEFT-INDUS PACKAGING-INV1201</t>
  </si>
  <si>
    <t xml:space="preserve">Receipt from Indus Packaging - INV-1201</t>
  </si>
  <si>
    <t xml:space="preserve">M00339</t>
  </si>
  <si>
    <t xml:space="preserve">B00012</t>
  </si>
  <si>
    <t xml:space="preserve">L00004</t>
  </si>
  <si>
    <t xml:space="preserve">NEFT-HORIZON PHARMA-INV1260</t>
  </si>
  <si>
    <t xml:space="preserve">Receipt from Horizon Pharma - INV-1260</t>
  </si>
  <si>
    <t xml:space="preserve">M00340</t>
  </si>
  <si>
    <t xml:space="preserve">B00014</t>
  </si>
  <si>
    <t xml:space="preserve">L00008</t>
  </si>
  <si>
    <t xml:space="preserve">NEFT-GREENLEAF AGRO-INV1355</t>
  </si>
  <si>
    <t xml:space="preserve">Receipt from Greenleaf Agro - INV-1355</t>
  </si>
  <si>
    <t xml:space="preserve">M00341</t>
  </si>
  <si>
    <t xml:space="preserve">B00016</t>
  </si>
  <si>
    <t xml:space="preserve">L00012</t>
  </si>
  <si>
    <t xml:space="preserve">NEFT-EVEREST TEXTILES-INV1473</t>
  </si>
  <si>
    <t xml:space="preserve">Receipt from Everest Textiles - INV-1473</t>
  </si>
  <si>
    <t xml:space="preserve">M00342</t>
  </si>
  <si>
    <t xml:space="preserve">B00020</t>
  </si>
  <si>
    <t xml:space="preserve">L00018</t>
  </si>
  <si>
    <t xml:space="preserve">CHQ 005435 SUMMIT SECURITY</t>
  </si>
  <si>
    <t xml:space="preserve">Cheque payment to Summit Security - CHQ-005435</t>
  </si>
  <si>
    <t xml:space="preserve">M00343</t>
  </si>
  <si>
    <t xml:space="preserve">B00022</t>
  </si>
  <si>
    <t xml:space="preserve">L00019</t>
  </si>
  <si>
    <t xml:space="preserve">NEFT-FALCON AUTO PARTS-INV1102</t>
  </si>
  <si>
    <t xml:space="preserve">Receipt from Falcon Auto Parts - INV-1102</t>
  </si>
  <si>
    <t xml:space="preserve">M00344</t>
  </si>
  <si>
    <t xml:space="preserve">B00025</t>
  </si>
  <si>
    <t xml:space="preserve">L00022</t>
  </si>
  <si>
    <t xml:space="preserve">NEFT-DELTA FOODS-INV1388</t>
  </si>
  <si>
    <t xml:space="preserve">Receipt from Delta Foods - INV-1388</t>
  </si>
  <si>
    <t xml:space="preserve">M00345</t>
  </si>
  <si>
    <t xml:space="preserve">B00026</t>
  </si>
  <si>
    <t xml:space="preserve">L00024</t>
  </si>
  <si>
    <t xml:space="preserve">NEFT-LAKEVIEW HOTELS-INV1480</t>
  </si>
  <si>
    <t xml:space="preserve">Receipt from Lakeview Hotels - INV-1480</t>
  </si>
  <si>
    <t xml:space="preserve">M00346</t>
  </si>
  <si>
    <t xml:space="preserve">B00030</t>
  </si>
  <si>
    <t xml:space="preserve">L00025</t>
  </si>
  <si>
    <t xml:space="preserve">NEFT-DELTA FOODS-INV1568</t>
  </si>
  <si>
    <t xml:space="preserve">Receipt from Delta Foods - INV-1568</t>
  </si>
  <si>
    <t xml:space="preserve">M00347</t>
  </si>
  <si>
    <t xml:space="preserve">B00032</t>
  </si>
  <si>
    <t xml:space="preserve">L00029</t>
  </si>
  <si>
    <t xml:space="preserve">CHQ 005333 ZENITH HARDWARE</t>
  </si>
  <si>
    <t xml:space="preserve">Cheque payment to Zenith Hardware - CHQ-005333</t>
  </si>
  <si>
    <t xml:space="preserve">M00348</t>
  </si>
  <si>
    <t xml:space="preserve">B00034</t>
  </si>
  <si>
    <t xml:space="preserve">L00032</t>
  </si>
  <si>
    <t xml:space="preserve">NEFT-ACME TRADERS-INV1073</t>
  </si>
  <si>
    <t xml:space="preserve">Receipt from Acme Traders - INV-1073</t>
  </si>
  <si>
    <t xml:space="preserve">M00349</t>
  </si>
  <si>
    <t xml:space="preserve">B00035</t>
  </si>
  <si>
    <t xml:space="preserve">L00033</t>
  </si>
  <si>
    <t xml:space="preserve">NEFT-INDUS PACKAGING-INV1093</t>
  </si>
  <si>
    <t xml:space="preserve">Receipt from Indus Packaging - INV-1093</t>
  </si>
  <si>
    <t xml:space="preserve">M00350</t>
  </si>
  <si>
    <t xml:space="preserve">B00036</t>
  </si>
  <si>
    <t xml:space="preserve">L00036</t>
  </si>
  <si>
    <t xml:space="preserve">NEFT-JUPITER STEEL-INV1178</t>
  </si>
  <si>
    <t xml:space="preserve">Receipt from Jupiter Steel - INV-1178</t>
  </si>
  <si>
    <t xml:space="preserve">M00351</t>
  </si>
  <si>
    <t xml:space="preserve">B00039</t>
  </si>
  <si>
    <t xml:space="preserve">L00039</t>
  </si>
  <si>
    <t xml:space="preserve">NEFT-HORIZON PHARMA-INV1392</t>
  </si>
  <si>
    <t xml:space="preserve">Receipt from Horizon Pharma - INV-1392</t>
  </si>
  <si>
    <t xml:space="preserve">M00352</t>
  </si>
  <si>
    <t xml:space="preserve">B00042</t>
  </si>
  <si>
    <t xml:space="preserve">L00042</t>
  </si>
  <si>
    <t xml:space="preserve">NEFT-BLUEFIN LOGISTICS-INV1554</t>
  </si>
  <si>
    <t xml:space="preserve">Receipt from Bluefin Logistics - INV-1554</t>
  </si>
  <si>
    <t xml:space="preserve">M00353</t>
  </si>
  <si>
    <t xml:space="preserve">B00043</t>
  </si>
  <si>
    <t xml:space="preserve">L00044</t>
  </si>
  <si>
    <t xml:space="preserve">CHQ 005271 KESTREL OFFICE SUPPLIES</t>
  </si>
  <si>
    <t xml:space="preserve">Cheque payment to Kestrel Office Supplies - CHQ-005271</t>
  </si>
  <si>
    <t xml:space="preserve">M00354</t>
  </si>
  <si>
    <t xml:space="preserve">B00048</t>
  </si>
  <si>
    <t xml:space="preserve">L00050</t>
  </si>
  <si>
    <t xml:space="preserve">NEFT-BLUEFIN LOGISTICS-INV1350</t>
  </si>
  <si>
    <t xml:space="preserve">Receipt from Bluefin Logistics - INV-1350</t>
  </si>
  <si>
    <t xml:space="preserve">M00355</t>
  </si>
  <si>
    <t xml:space="preserve">B00052</t>
  </si>
  <si>
    <t xml:space="preserve">L00052</t>
  </si>
  <si>
    <t xml:space="preserve">NEFT-ACME TRADERS-INV1517</t>
  </si>
  <si>
    <t xml:space="preserve">Receipt from Acme Traders - INV-1517</t>
  </si>
  <si>
    <t xml:space="preserve">M00356</t>
  </si>
  <si>
    <t xml:space="preserve">B00059</t>
  </si>
  <si>
    <t xml:space="preserve">L00057</t>
  </si>
  <si>
    <t xml:space="preserve">NEFT-KINGSLEY CHEMICALS-INV1275</t>
  </si>
  <si>
    <t xml:space="preserve">Receipt from Kingsley Chemicals - INV-1275</t>
  </si>
  <si>
    <t xml:space="preserve">M00357</t>
  </si>
  <si>
    <t xml:space="preserve">B00062</t>
  </si>
  <si>
    <t xml:space="preserve">L00061</t>
  </si>
  <si>
    <t xml:space="preserve">NEFT-LAKEVIEW HOTELS-INV1444</t>
  </si>
  <si>
    <t xml:space="preserve">Receipt from Lakeview Hotels - INV-1444</t>
  </si>
  <si>
    <t xml:space="preserve">M00358</t>
  </si>
  <si>
    <t xml:space="preserve">B00063</t>
  </si>
  <si>
    <t xml:space="preserve">L00063</t>
  </si>
  <si>
    <t xml:space="preserve">NEFT-ACME TRADERS-INV1493</t>
  </si>
  <si>
    <t xml:space="preserve">Receipt from Acme Traders - INV-1493</t>
  </si>
  <si>
    <t xml:space="preserve">M00359</t>
  </si>
  <si>
    <t xml:space="preserve">B00067</t>
  </si>
  <si>
    <t xml:space="preserve">L00070</t>
  </si>
  <si>
    <t xml:space="preserve">CHQ 005340 BIRCH PACKAGING</t>
  </si>
  <si>
    <t xml:space="preserve">Cheque payment to Birch Packaging - CHQ-005340</t>
  </si>
  <si>
    <t xml:space="preserve">M00360</t>
  </si>
  <si>
    <t xml:space="preserve">B00071</t>
  </si>
  <si>
    <t xml:space="preserve">L00073</t>
  </si>
  <si>
    <t xml:space="preserve">NEFT-EVEREST TEXTILES-INV1245</t>
  </si>
  <si>
    <t xml:space="preserve">Receipt from Everest Textiles - INV-1245</t>
  </si>
  <si>
    <t xml:space="preserve">M00361</t>
  </si>
  <si>
    <t xml:space="preserve">B00073</t>
  </si>
  <si>
    <t xml:space="preserve">L00076</t>
  </si>
  <si>
    <t xml:space="preserve">NEFT-EVEREST TEXTILES-INV1437</t>
  </si>
  <si>
    <t xml:space="preserve">Receipt from Everest Textiles - INV-1437</t>
  </si>
  <si>
    <t xml:space="preserve">M00362</t>
  </si>
  <si>
    <t xml:space="preserve">B00075</t>
  </si>
  <si>
    <t xml:space="preserve">L00077</t>
  </si>
  <si>
    <t xml:space="preserve">NEFT-FALCON AUTO PARTS-INV1474</t>
  </si>
  <si>
    <t xml:space="preserve">Receipt from Falcon Auto Parts - INV-1474</t>
  </si>
  <si>
    <t xml:space="preserve">M00363</t>
  </si>
  <si>
    <t xml:space="preserve">B00076</t>
  </si>
  <si>
    <t xml:space="preserve">L00078</t>
  </si>
  <si>
    <t xml:space="preserve">NEFT-KINGSLEY CHEMICALS-INV1527</t>
  </si>
  <si>
    <t xml:space="preserve">Receipt from Kingsley Chemicals - INV-1527</t>
  </si>
  <si>
    <t xml:space="preserve">M00364</t>
  </si>
  <si>
    <t xml:space="preserve">B00077</t>
  </si>
  <si>
    <t xml:space="preserve">L00079</t>
  </si>
  <si>
    <t xml:space="preserve">NEFT-JUPITER STEEL-INV1550</t>
  </si>
  <si>
    <t xml:space="preserve">Receipt from Jupiter Steel - INV-1550</t>
  </si>
  <si>
    <t xml:space="preserve">M00365</t>
  </si>
  <si>
    <t xml:space="preserve">B00080</t>
  </si>
  <si>
    <t xml:space="preserve">L00083</t>
  </si>
  <si>
    <t xml:space="preserve">CHQ 005044 ORCHID CATERING</t>
  </si>
  <si>
    <t xml:space="preserve">Cheque payment to Orchid Catering - CHQ-005044</t>
  </si>
  <si>
    <t xml:space="preserve">M00366</t>
  </si>
  <si>
    <t xml:space="preserve">B00082</t>
  </si>
  <si>
    <t xml:space="preserve">L00089</t>
  </si>
  <si>
    <t xml:space="preserve">CHQ 005353 ZENITH HARDWARE</t>
  </si>
  <si>
    <t xml:space="preserve">Cheque payment to Zenith Hardware - CHQ-005353</t>
  </si>
  <si>
    <t xml:space="preserve">M00367</t>
  </si>
  <si>
    <t xml:space="preserve">B00086</t>
  </si>
  <si>
    <t xml:space="preserve">L00091</t>
  </si>
  <si>
    <t xml:space="preserve">NEFT-KINGSLEY CHEMICALS-INV1035</t>
  </si>
  <si>
    <t xml:space="preserve">Receipt from Kingsley Chemicals - INV-1035</t>
  </si>
  <si>
    <t xml:space="preserve">M00368</t>
  </si>
  <si>
    <t xml:space="preserve">B00088</t>
  </si>
  <si>
    <t xml:space="preserve">L00095</t>
  </si>
  <si>
    <t xml:space="preserve">NEFT-LAKEVIEW HOTELS-INV1216</t>
  </si>
  <si>
    <t xml:space="preserve">Receipt from Lakeview Hotels - INV-1216</t>
  </si>
  <si>
    <t xml:space="preserve">M00369</t>
  </si>
  <si>
    <t xml:space="preserve">B00089</t>
  </si>
  <si>
    <t xml:space="preserve">L00096</t>
  </si>
  <si>
    <t xml:space="preserve">NEFT-ACME TRADERS-INV1301</t>
  </si>
  <si>
    <t xml:space="preserve">Receipt from Acme Traders - INV-1301</t>
  </si>
  <si>
    <t xml:space="preserve">M00370</t>
  </si>
  <si>
    <t xml:space="preserve">B00090</t>
  </si>
  <si>
    <t xml:space="preserve">L00098</t>
  </si>
  <si>
    <t xml:space="preserve">NEFT-LAKEVIEW HOTELS-INV1348</t>
  </si>
  <si>
    <t xml:space="preserve">Receipt from Lakeview Hotels - INV-1348</t>
  </si>
  <si>
    <t xml:space="preserve">M00371</t>
  </si>
  <si>
    <t xml:space="preserve">B00092</t>
  </si>
  <si>
    <t xml:space="preserve">L00099</t>
  </si>
  <si>
    <t xml:space="preserve">NEFT-BLUEFIN LOGISTICS-INV1458</t>
  </si>
  <si>
    <t xml:space="preserve">Receipt from Bluefin Logistics - INV-1458</t>
  </si>
  <si>
    <t xml:space="preserve">M00372</t>
  </si>
  <si>
    <t xml:space="preserve">B00093</t>
  </si>
  <si>
    <t xml:space="preserve">L00101</t>
  </si>
  <si>
    <t xml:space="preserve">NEFT-JUPITER STEEL-INV1502</t>
  </si>
  <si>
    <t xml:space="preserve">Receipt from Jupiter Steel - INV-1502</t>
  </si>
  <si>
    <t xml:space="preserve">M00373</t>
  </si>
  <si>
    <t xml:space="preserve">B00094</t>
  </si>
  <si>
    <t xml:space="preserve">L00102</t>
  </si>
  <si>
    <t xml:space="preserve">NEFT-DELTA FOODS-INV1556</t>
  </si>
  <si>
    <t xml:space="preserve">Receipt from Delta Foods - INV-1556</t>
  </si>
  <si>
    <t xml:space="preserve">M00374</t>
  </si>
  <si>
    <t xml:space="preserve">B00095</t>
  </si>
  <si>
    <t xml:space="preserve">L00103</t>
  </si>
  <si>
    <t xml:space="preserve">CHQ 005041 KESTREL OFFICE SUPPLIES</t>
  </si>
  <si>
    <t xml:space="preserve">Cheque payment to Kestrel Office Supplies - CHQ-005041</t>
  </si>
  <si>
    <t xml:space="preserve">M00375</t>
  </si>
  <si>
    <t xml:space="preserve">B00104</t>
  </si>
  <si>
    <t xml:space="preserve">L00113</t>
  </si>
  <si>
    <t xml:space="preserve">NEFT-HORIZON PHARMA-INV1524</t>
  </si>
  <si>
    <t xml:space="preserve">Receipt from Horizon Pharma - INV-1524</t>
  </si>
  <si>
    <t xml:space="preserve">M00376</t>
  </si>
  <si>
    <t xml:space="preserve">B00112</t>
  </si>
  <si>
    <t xml:space="preserve">L00119</t>
  </si>
  <si>
    <t xml:space="preserve">CHQ 005316 VERTEX CONSULTING</t>
  </si>
  <si>
    <t xml:space="preserve">Cheque payment to Vertex Consulting - CHQ-005316</t>
  </si>
  <si>
    <t xml:space="preserve">M00377</t>
  </si>
  <si>
    <t xml:space="preserve">B00113</t>
  </si>
  <si>
    <t xml:space="preserve">L00125</t>
  </si>
  <si>
    <t xml:space="preserve">NEFT-GREENLEAF AGRO-INV1079</t>
  </si>
  <si>
    <t xml:space="preserve">Receipt from Greenleaf Agro - INV-1079</t>
  </si>
  <si>
    <t xml:space="preserve">M00378</t>
  </si>
  <si>
    <t xml:space="preserve">B00116</t>
  </si>
  <si>
    <t xml:space="preserve">L00128</t>
  </si>
  <si>
    <t xml:space="preserve">NEFT-BLUEFIN LOGISTICS-INV1254</t>
  </si>
  <si>
    <t xml:space="preserve">Receipt from Bluefin Logistics - INV-1254</t>
  </si>
  <si>
    <t xml:space="preserve">M00379</t>
  </si>
  <si>
    <t xml:space="preserve">B00120</t>
  </si>
  <si>
    <t xml:space="preserve">L00134</t>
  </si>
  <si>
    <t xml:space="preserve">CHQ 005048 YONDER TRAVEL</t>
  </si>
  <si>
    <t xml:space="preserve">Cheque payment to Yonder Travel - CHQ-005048</t>
  </si>
  <si>
    <t xml:space="preserve">M00380</t>
  </si>
  <si>
    <t xml:space="preserve">B00127</t>
  </si>
  <si>
    <t xml:space="preserve">L00138</t>
  </si>
  <si>
    <t xml:space="preserve">NEFT-GREENLEAF AGRO-INV1139</t>
  </si>
  <si>
    <t xml:space="preserve">Receipt from Greenleaf Agro - INV-1139</t>
  </si>
  <si>
    <t xml:space="preserve">M00381</t>
  </si>
  <si>
    <t xml:space="preserve">B00128</t>
  </si>
  <si>
    <t xml:space="preserve">L00140</t>
  </si>
  <si>
    <t xml:space="preserve">NEFT-LAKEVIEW HOTELS-INV1192</t>
  </si>
  <si>
    <t xml:space="preserve">Receipt from Lakeview Hotels - INV-1192</t>
  </si>
  <si>
    <t xml:space="preserve">M00382</t>
  </si>
  <si>
    <t xml:space="preserve">B00129</t>
  </si>
  <si>
    <t xml:space="preserve">L00141</t>
  </si>
  <si>
    <t xml:space="preserve">NEFT-DELTA FOODS-INV1412</t>
  </si>
  <si>
    <t xml:space="preserve">Receipt from Delta Foods - INV-1412</t>
  </si>
  <si>
    <t xml:space="preserve">M00383</t>
  </si>
  <si>
    <t xml:space="preserve">B00138</t>
  </si>
  <si>
    <t xml:space="preserve">L00148</t>
  </si>
  <si>
    <t xml:space="preserve">NEFT-INDUS PACKAGING-INV1213</t>
  </si>
  <si>
    <t xml:space="preserve">Receipt from Indus Packaging - INV-1213</t>
  </si>
  <si>
    <t xml:space="preserve">M00384</t>
  </si>
  <si>
    <t xml:space="preserve">B00140</t>
  </si>
  <si>
    <t xml:space="preserve">L00151</t>
  </si>
  <si>
    <t xml:space="preserve">CHQ 005183 ZENITH HARDWARE</t>
  </si>
  <si>
    <t xml:space="preserve">Cheque payment to Zenith Hardware - CHQ-005183</t>
  </si>
  <si>
    <t xml:space="preserve">M00385</t>
  </si>
  <si>
    <t xml:space="preserve">B00145</t>
  </si>
  <si>
    <t xml:space="preserve">L00153</t>
  </si>
  <si>
    <t xml:space="preserve">NEFT-LAKEVIEW HOTELS-INV1048</t>
  </si>
  <si>
    <t xml:space="preserve">Receipt from Lakeview Hotels - INV-1048</t>
  </si>
  <si>
    <t xml:space="preserve">M00386</t>
  </si>
  <si>
    <t xml:space="preserve">B00149</t>
  </si>
  <si>
    <t xml:space="preserve">L00155</t>
  </si>
  <si>
    <t xml:space="preserve">NEFT-INDUS PACKAGING-INV1261</t>
  </si>
  <si>
    <t xml:space="preserve">Receipt from Indus Packaging - INV-1261</t>
  </si>
  <si>
    <t xml:space="preserve">M00387</t>
  </si>
  <si>
    <t xml:space="preserve">B00150</t>
  </si>
  <si>
    <t xml:space="preserve">L00157</t>
  </si>
  <si>
    <t xml:space="preserve">NEFT-EVEREST TEXTILES-INV1497</t>
  </si>
  <si>
    <t xml:space="preserve">Receipt from Everest Textiles - INV-1497</t>
  </si>
  <si>
    <t xml:space="preserve">M00388</t>
  </si>
  <si>
    <t xml:space="preserve">B00151</t>
  </si>
  <si>
    <t xml:space="preserve">L00160</t>
  </si>
  <si>
    <t xml:space="preserve">CHQ 005012 PINNACLE PRINT</t>
  </si>
  <si>
    <t xml:space="preserve">Cheque payment to Pinnacle Print - CHQ-005012</t>
  </si>
  <si>
    <t xml:space="preserve">M00389</t>
  </si>
  <si>
    <t xml:space="preserve">B00154</t>
  </si>
  <si>
    <t xml:space="preserve">L00161</t>
  </si>
  <si>
    <t xml:space="preserve">CHQ 005062 PINNACLE PRINT</t>
  </si>
  <si>
    <t xml:space="preserve">Cheque payment to Pinnacle Print - CHQ-005062</t>
  </si>
  <si>
    <t xml:space="preserve">M00390</t>
  </si>
  <si>
    <t xml:space="preserve">B00155</t>
  </si>
  <si>
    <t xml:space="preserve">L00163</t>
  </si>
  <si>
    <t xml:space="preserve">CHQ 005081 KESTREL OFFICE SUPPLIES</t>
  </si>
  <si>
    <t xml:space="preserve">Cheque payment to Kestrel Office Supplies - CHQ-005081</t>
  </si>
  <si>
    <t xml:space="preserve">M00391</t>
  </si>
  <si>
    <t xml:space="preserve">B00156</t>
  </si>
  <si>
    <t xml:space="preserve">L00165</t>
  </si>
  <si>
    <t xml:space="preserve">CHQ 005119 ATLAS FREIGHT</t>
  </si>
  <si>
    <t xml:space="preserve">Cheque payment to Atlas Freight - CHQ-005119</t>
  </si>
  <si>
    <t xml:space="preserve">M00392</t>
  </si>
  <si>
    <t xml:space="preserve">B00158</t>
  </si>
  <si>
    <t xml:space="preserve">L00167</t>
  </si>
  <si>
    <t xml:space="preserve">CHQ 005202 PINNACLE PRINT</t>
  </si>
  <si>
    <t xml:space="preserve">Cheque payment to Pinnacle Print - CHQ-005202</t>
  </si>
  <si>
    <t xml:space="preserve">M00393</t>
  </si>
  <si>
    <t xml:space="preserve">B00162</t>
  </si>
  <si>
    <t xml:space="preserve">L00173</t>
  </si>
  <si>
    <t xml:space="preserve">NEFT-DELTA FOODS-INV1040</t>
  </si>
  <si>
    <t xml:space="preserve">Receipt from Delta Foods - INV-1040</t>
  </si>
  <si>
    <t xml:space="preserve">M00394</t>
  </si>
  <si>
    <t xml:space="preserve">B00165</t>
  </si>
  <si>
    <t xml:space="preserve">L00176</t>
  </si>
  <si>
    <t xml:space="preserve">NEFT-FALCON AUTO PARTS-INV1234</t>
  </si>
  <si>
    <t xml:space="preserve">Receipt from Falcon Auto Parts - INV-1234</t>
  </si>
  <si>
    <t xml:space="preserve">M00395</t>
  </si>
  <si>
    <t xml:space="preserve">B00166</t>
  </si>
  <si>
    <t xml:space="preserve">L00177</t>
  </si>
  <si>
    <t xml:space="preserve">NEFT-CRESTVIEW RETAIL-INV1243</t>
  </si>
  <si>
    <t xml:space="preserve">Receipt from Crestview Retail - INV-1243</t>
  </si>
  <si>
    <t xml:space="preserve">M00396</t>
  </si>
  <si>
    <t xml:space="preserve">B00168</t>
  </si>
  <si>
    <t xml:space="preserve">L00178</t>
  </si>
  <si>
    <t xml:space="preserve">NEFT-CRESTVIEW RETAIL-INV1351</t>
  </si>
  <si>
    <t xml:space="preserve">Receipt from Crestview Retail - INV-1351</t>
  </si>
  <si>
    <t xml:space="preserve">M00397</t>
  </si>
  <si>
    <t xml:space="preserve">B00174</t>
  </si>
  <si>
    <t xml:space="preserve">L00179</t>
  </si>
  <si>
    <t xml:space="preserve">NEFT-GREENLEAF AGRO-INV1523</t>
  </si>
  <si>
    <t xml:space="preserve">Receipt from Greenleaf Agro - INV-1523</t>
  </si>
  <si>
    <t xml:space="preserve">M00398</t>
  </si>
  <si>
    <t xml:space="preserve">B00176</t>
  </si>
  <si>
    <t xml:space="preserve">L00181</t>
  </si>
  <si>
    <t xml:space="preserve">CHQ 005089 ATLAS FREIGHT</t>
  </si>
  <si>
    <t xml:space="preserve">Cheque payment to Atlas Freight - CHQ-005089</t>
  </si>
  <si>
    <t xml:space="preserve">M00399</t>
  </si>
  <si>
    <t xml:space="preserve">B00178</t>
  </si>
  <si>
    <t xml:space="preserve">L00182</t>
  </si>
  <si>
    <t xml:space="preserve">CHQ 005246 VERTEX CONSULTING</t>
  </si>
  <si>
    <t xml:space="preserve">Cheque payment to Vertex Consulting - CHQ-005246</t>
  </si>
  <si>
    <t xml:space="preserve">M00400</t>
  </si>
  <si>
    <t xml:space="preserve">B00181</t>
  </si>
  <si>
    <t xml:space="preserve">L00183</t>
  </si>
  <si>
    <t xml:space="preserve">CHQ 005335 SUMMIT SECURITY</t>
  </si>
  <si>
    <t xml:space="preserve">Cheque payment to Summit Security - CHQ-005335</t>
  </si>
  <si>
    <t xml:space="preserve">M00401</t>
  </si>
  <si>
    <t xml:space="preserve">B00185</t>
  </si>
  <si>
    <t xml:space="preserve">L00187</t>
  </si>
  <si>
    <t xml:space="preserve">NEFT-HORIZON PHARMA-INV1188</t>
  </si>
  <si>
    <t xml:space="preserve">Receipt from Horizon Pharma - INV-1188</t>
  </si>
  <si>
    <t xml:space="preserve">M00402</t>
  </si>
  <si>
    <t xml:space="preserve">B00186</t>
  </si>
  <si>
    <t xml:space="preserve">L00189</t>
  </si>
  <si>
    <t xml:space="preserve">NEFT-INDUS PACKAGING-INV1297</t>
  </si>
  <si>
    <t xml:space="preserve">Receipt from Indus Packaging - INV-1297</t>
  </si>
  <si>
    <t xml:space="preserve">M00403</t>
  </si>
  <si>
    <t xml:space="preserve">B00187</t>
  </si>
  <si>
    <t xml:space="preserve">L00192</t>
  </si>
  <si>
    <t xml:space="preserve">NEFT-DELTA FOODS-INV1376</t>
  </si>
  <si>
    <t xml:space="preserve">Receipt from Delta Foods - INV-1376</t>
  </si>
  <si>
    <t xml:space="preserve">M00404</t>
  </si>
  <si>
    <t xml:space="preserve">B00188</t>
  </si>
  <si>
    <t xml:space="preserve">L00195</t>
  </si>
  <si>
    <t xml:space="preserve">NEFT-INDUS PACKAGING-INV1549</t>
  </si>
  <si>
    <t xml:space="preserve">Receipt from Indus Packaging - INV-1549</t>
  </si>
  <si>
    <t xml:space="preserve">M00405</t>
  </si>
  <si>
    <t xml:space="preserve">B00192</t>
  </si>
  <si>
    <t xml:space="preserve">L00202</t>
  </si>
  <si>
    <t xml:space="preserve">NEFT-JUPITER STEEL-INV1466</t>
  </si>
  <si>
    <t xml:space="preserve">Receipt from Jupiter Steel - INV-1466</t>
  </si>
  <si>
    <t xml:space="preserve">M00406</t>
  </si>
  <si>
    <t xml:space="preserve">B00194</t>
  </si>
  <si>
    <t xml:space="preserve">L00203</t>
  </si>
  <si>
    <t xml:space="preserve">NEFT-EVEREST TEXTILES-INV1569</t>
  </si>
  <si>
    <t xml:space="preserve">Receipt from Everest Textiles - INV-1569</t>
  </si>
  <si>
    <t xml:space="preserve">M00407</t>
  </si>
  <si>
    <t xml:space="preserve">B00196</t>
  </si>
  <si>
    <t xml:space="preserve">L00205</t>
  </si>
  <si>
    <t xml:space="preserve">CHQ 005187 WILLOW FURNISHINGS</t>
  </si>
  <si>
    <t xml:space="preserve">Cheque payment to Willow Furnishings - CHQ-005187</t>
  </si>
  <si>
    <t xml:space="preserve">M00408</t>
  </si>
  <si>
    <t xml:space="preserve">B00198</t>
  </si>
  <si>
    <t xml:space="preserve">L00209</t>
  </si>
  <si>
    <t xml:space="preserve">CHQ 005332 PINNACLE PRINT</t>
  </si>
  <si>
    <t xml:space="preserve">Cheque payment to Pinnacle Print - CHQ-005332</t>
  </si>
  <si>
    <t xml:space="preserve">M00409</t>
  </si>
  <si>
    <t xml:space="preserve">B00205</t>
  </si>
  <si>
    <t xml:space="preserve">L00216</t>
  </si>
  <si>
    <t xml:space="preserve">NEFT-ACME TRADERS-INV1325</t>
  </si>
  <si>
    <t xml:space="preserve">Receipt from Acme Traders - INV-1325</t>
  </si>
  <si>
    <t xml:space="preserve">M00410</t>
  </si>
  <si>
    <t xml:space="preserve">B00206</t>
  </si>
  <si>
    <t xml:space="preserve">L00217</t>
  </si>
  <si>
    <t xml:space="preserve">NEFT-CRESTVIEW RETAIL-INV1435</t>
  </si>
  <si>
    <t xml:space="preserve">Receipt from Crestview Retail - INV-1435</t>
  </si>
  <si>
    <t xml:space="preserve">M00411</t>
  </si>
  <si>
    <t xml:space="preserve">B00207</t>
  </si>
  <si>
    <t xml:space="preserve">L00218</t>
  </si>
  <si>
    <t xml:space="preserve">NEFT-EVEREST TEXTILES-INV1521</t>
  </si>
  <si>
    <t xml:space="preserve">Receipt from Everest Textiles - INV-1521</t>
  </si>
  <si>
    <t xml:space="preserve">M00412</t>
  </si>
  <si>
    <t xml:space="preserve">B00216</t>
  </si>
  <si>
    <t xml:space="preserve">L00225</t>
  </si>
  <si>
    <t xml:space="preserve">NEFT-INDUS PACKAGING-INV1429</t>
  </si>
  <si>
    <t xml:space="preserve">Receipt from Indus Packaging - INV-1429</t>
  </si>
  <si>
    <t xml:space="preserve">M00413</t>
  </si>
  <si>
    <t xml:space="preserve">B00218</t>
  </si>
  <si>
    <t xml:space="preserve">L00227</t>
  </si>
  <si>
    <t xml:space="preserve">NEFT-LAKEVIEW HOTELS-INV1588</t>
  </si>
  <si>
    <t xml:space="preserve">Receipt from Lakeview Hotels - INV-1588</t>
  </si>
  <si>
    <t xml:space="preserve">M00414</t>
  </si>
  <si>
    <t xml:space="preserve">B00222</t>
  </si>
  <si>
    <t xml:space="preserve">L00239</t>
  </si>
  <si>
    <t xml:space="preserve">NEFT-DELTA FOODS-INV1028</t>
  </si>
  <si>
    <t xml:space="preserve">Receipt from Delta Foods - INV-1028</t>
  </si>
  <si>
    <t xml:space="preserve">M00415</t>
  </si>
  <si>
    <t xml:space="preserve">B00233</t>
  </si>
  <si>
    <t xml:space="preserve">L00244</t>
  </si>
  <si>
    <t xml:space="preserve">CHQ 005120 BIRCH PACKAGING</t>
  </si>
  <si>
    <t xml:space="preserve">Cheque payment to Birch Packaging - CHQ-005120</t>
  </si>
  <si>
    <t xml:space="preserve">M00416</t>
  </si>
  <si>
    <t xml:space="preserve">B00248</t>
  </si>
  <si>
    <t xml:space="preserve">L00260</t>
  </si>
  <si>
    <t xml:space="preserve">NEFT-GREENLEAF AGRO-INV1571</t>
  </si>
  <si>
    <t xml:space="preserve">Receipt from Greenleaf Agro - INV-1571</t>
  </si>
  <si>
    <t xml:space="preserve">M00417</t>
  </si>
  <si>
    <t xml:space="preserve">B00255</t>
  </si>
  <si>
    <t xml:space="preserve">L00270</t>
  </si>
  <si>
    <t xml:space="preserve">NEFT-ACME TRADERS-INV1001</t>
  </si>
  <si>
    <t xml:space="preserve">Receipt from Acme Traders - INV-1001</t>
  </si>
  <si>
    <t xml:space="preserve">M00418</t>
  </si>
  <si>
    <t xml:space="preserve">B00256</t>
  </si>
  <si>
    <t xml:space="preserve">L00271</t>
  </si>
  <si>
    <t xml:space="preserve">NEFT-EVEREST TEXTILES-INV1017</t>
  </si>
  <si>
    <t xml:space="preserve">Receipt from Everest Textiles - INV-1017</t>
  </si>
  <si>
    <t xml:space="preserve">M00419</t>
  </si>
  <si>
    <t xml:space="preserve">B00258</t>
  </si>
  <si>
    <t xml:space="preserve">L00273</t>
  </si>
  <si>
    <t xml:space="preserve">NEFT-CRESTVIEW RETAIL-INV1087</t>
  </si>
  <si>
    <t xml:space="preserve">Receipt from Crestview Retail - INV-1087</t>
  </si>
  <si>
    <t xml:space="preserve">M00420</t>
  </si>
  <si>
    <t xml:space="preserve">B00261</t>
  </si>
  <si>
    <t xml:space="preserve">L00278</t>
  </si>
  <si>
    <t xml:space="preserve">NEFT-LAKEVIEW HOTELS-INV1516</t>
  </si>
  <si>
    <t xml:space="preserve">Receipt from Lakeview Hotels - INV-1516</t>
  </si>
  <si>
    <t xml:space="preserve">M00421</t>
  </si>
  <si>
    <t xml:space="preserve">B00263</t>
  </si>
  <si>
    <t xml:space="preserve">L00279</t>
  </si>
  <si>
    <t xml:space="preserve">NEFT-HORIZON PHARMA-INV1584</t>
  </si>
  <si>
    <t xml:space="preserve">Receipt from Horizon Pharma - INV-1584</t>
  </si>
  <si>
    <t xml:space="preserve">M00422</t>
  </si>
  <si>
    <t xml:space="preserve">B00264</t>
  </si>
  <si>
    <t xml:space="preserve">L00280</t>
  </si>
  <si>
    <t xml:space="preserve">CHQ 005061 KESTREL OFFICE SUPPLIES</t>
  </si>
  <si>
    <t xml:space="preserve">Cheque payment to Kestrel Office Supplies - CHQ-005061</t>
  </si>
  <si>
    <t xml:space="preserve">M00423</t>
  </si>
  <si>
    <t xml:space="preserve">B00268</t>
  </si>
  <si>
    <t xml:space="preserve">L00281</t>
  </si>
  <si>
    <t xml:space="preserve">CHQ 005256 VERTEX CONSULTING</t>
  </si>
  <si>
    <t xml:space="preserve">Cheque payment to Vertex Consulting - CHQ-005256</t>
  </si>
  <si>
    <t xml:space="preserve">M00424</t>
  </si>
  <si>
    <t xml:space="preserve">B00270</t>
  </si>
  <si>
    <t xml:space="preserve">L00282</t>
  </si>
  <si>
    <t xml:space="preserve">CHQ 005291 KESTREL OFFICE SUPPLIES</t>
  </si>
  <si>
    <t xml:space="preserve">Cheque payment to Kestrel Office Supplies - CHQ-005291</t>
  </si>
  <si>
    <t xml:space="preserve">M00425</t>
  </si>
  <si>
    <t xml:space="preserve">B00273</t>
  </si>
  <si>
    <t xml:space="preserve">L00288</t>
  </si>
  <si>
    <t xml:space="preserve">NEFT-FALCON AUTO PARTS-INV1090</t>
  </si>
  <si>
    <t xml:space="preserve">Receipt from Falcon Auto Parts - INV-1090</t>
  </si>
  <si>
    <t xml:space="preserve">M00426</t>
  </si>
  <si>
    <t xml:space="preserve">B00275</t>
  </si>
  <si>
    <t xml:space="preserve">L00289</t>
  </si>
  <si>
    <t xml:space="preserve">NEFT-DELTA FOODS-INV1256</t>
  </si>
  <si>
    <t xml:space="preserve">Receipt from Delta Foods - INV-1256</t>
  </si>
  <si>
    <t xml:space="preserve">M00427</t>
  </si>
  <si>
    <t xml:space="preserve">B00277</t>
  </si>
  <si>
    <t xml:space="preserve">L00293</t>
  </si>
  <si>
    <t xml:space="preserve">NEFT-FALCON AUTO PARTS-INV1330</t>
  </si>
  <si>
    <t xml:space="preserve">Receipt from Falcon Auto Parts - INV-1330</t>
  </si>
  <si>
    <t xml:space="preserve">M00428</t>
  </si>
  <si>
    <t xml:space="preserve">B00278</t>
  </si>
  <si>
    <t xml:space="preserve">L00294</t>
  </si>
  <si>
    <t xml:space="preserve">NEFT-ACME TRADERS-INV1337</t>
  </si>
  <si>
    <t xml:space="preserve">Receipt from Acme Traders - INV-1337</t>
  </si>
  <si>
    <t xml:space="preserve">M00429</t>
  </si>
  <si>
    <t xml:space="preserve">B00279</t>
  </si>
  <si>
    <t xml:space="preserve">L00295</t>
  </si>
  <si>
    <t xml:space="preserve">NEFT-GREENLEAF AGRO-INV1499</t>
  </si>
  <si>
    <t xml:space="preserve">Receipt from Greenleaf Agro - INV-1499</t>
  </si>
  <si>
    <t xml:space="preserve">M00430</t>
  </si>
  <si>
    <t xml:space="preserve">B00280</t>
  </si>
  <si>
    <t xml:space="preserve">L00296</t>
  </si>
  <si>
    <t xml:space="preserve">NEFT-JUPITER STEEL-INV1538</t>
  </si>
  <si>
    <t xml:space="preserve">Receipt from Jupiter Steel - INV-1538</t>
  </si>
  <si>
    <t xml:space="preserve">M00431</t>
  </si>
  <si>
    <t xml:space="preserve">B00285</t>
  </si>
  <si>
    <t xml:space="preserve">L00307</t>
  </si>
  <si>
    <t xml:space="preserve">NEFT-BLUEFIN LOGISTICS-INV1518</t>
  </si>
  <si>
    <t xml:space="preserve">Receipt from Bluefin Logistics - INV-1518</t>
  </si>
  <si>
    <t xml:space="preserve">M00432</t>
  </si>
  <si>
    <t xml:space="preserve">B00297</t>
  </si>
  <si>
    <t xml:space="preserve">L00313</t>
  </si>
  <si>
    <t xml:space="preserve">NEFT-KINGSLEY CHEMICALS-INV1107</t>
  </si>
  <si>
    <t xml:space="preserve">Receipt from Kingsley Chemicals - INV-1107</t>
  </si>
  <si>
    <t xml:space="preserve">M00433</t>
  </si>
  <si>
    <t xml:space="preserve">B00302</t>
  </si>
  <si>
    <t xml:space="preserve">L00316</t>
  </si>
  <si>
    <t xml:space="preserve">CHQ 005077 WILLOW FURNISHINGS</t>
  </si>
  <si>
    <t xml:space="preserve">Cheque payment to Willow Furnishings - CHQ-005077</t>
  </si>
  <si>
    <t xml:space="preserve">M00434</t>
  </si>
  <si>
    <t xml:space="preserve">B00311</t>
  </si>
  <si>
    <t xml:space="preserve">L00323</t>
  </si>
  <si>
    <t xml:space="preserve">NEFT-HORIZON PHARMA-INV1032</t>
  </si>
  <si>
    <t xml:space="preserve">Receipt from Horizon Pharma - INV-1032</t>
  </si>
  <si>
    <t xml:space="preserve">M00435</t>
  </si>
  <si>
    <t xml:space="preserve">B00313</t>
  </si>
  <si>
    <t xml:space="preserve">L00324</t>
  </si>
  <si>
    <t xml:space="preserve">NEFT-LAKEVIEW HOTELS-INV1096</t>
  </si>
  <si>
    <t xml:space="preserve">Receipt from Lakeview Hotels - INV-1096</t>
  </si>
  <si>
    <t xml:space="preserve">M00436</t>
  </si>
  <si>
    <t xml:space="preserve">B00316</t>
  </si>
  <si>
    <t xml:space="preserve">L00328</t>
  </si>
  <si>
    <t xml:space="preserve">NEFT-HORIZON PHARMA-INV1356</t>
  </si>
  <si>
    <t xml:space="preserve">Receipt from Horizon Pharma - INV-1356</t>
  </si>
  <si>
    <t xml:space="preserve">M00437</t>
  </si>
  <si>
    <t xml:space="preserve">B00317</t>
  </si>
  <si>
    <t xml:space="preserve">L00329</t>
  </si>
  <si>
    <t xml:space="preserve">NEFT-CRESTVIEW RETAIL-INV1447</t>
  </si>
  <si>
    <t xml:space="preserve">Receipt from Crestview Retail - INV-1447</t>
  </si>
  <si>
    <t xml:space="preserve">M00438</t>
  </si>
  <si>
    <t xml:space="preserve">B00323</t>
  </si>
  <si>
    <t xml:space="preserve">L00334</t>
  </si>
  <si>
    <t xml:space="preserve">NEFT-JUPITER STEEL-INV1010</t>
  </si>
  <si>
    <t xml:space="preserve">Receipt from Jupiter Steel - INV-1010</t>
  </si>
  <si>
    <t xml:space="preserve">M00439</t>
  </si>
  <si>
    <t xml:space="preserve">B00325</t>
  </si>
  <si>
    <t xml:space="preserve">L00338</t>
  </si>
  <si>
    <t xml:space="preserve">NEFT-ACME TRADERS-INV1241</t>
  </si>
  <si>
    <t xml:space="preserve">Receipt from Acme Traders - INV-1241</t>
  </si>
  <si>
    <t xml:space="preserve">M00440</t>
  </si>
  <si>
    <t xml:space="preserve">B00329</t>
  </si>
  <si>
    <t xml:space="preserve">L00341</t>
  </si>
  <si>
    <t xml:space="preserve">NEFT-GREENLEAF AGRO-INV1547</t>
  </si>
  <si>
    <t xml:space="preserve">Receipt from Greenleaf Agro - INV-1547</t>
  </si>
  <si>
    <t xml:space="preserve">M00441</t>
  </si>
  <si>
    <t xml:space="preserve">B00337</t>
  </si>
  <si>
    <t xml:space="preserve">L00350</t>
  </si>
  <si>
    <t xml:space="preserve">NEFT-CRESTVIEW RETAIL-INV1267</t>
  </si>
  <si>
    <t xml:space="preserve">Receipt from Crestview Retail - INV-1267</t>
  </si>
  <si>
    <t xml:space="preserve">M00442</t>
  </si>
  <si>
    <t xml:space="preserve">B00338</t>
  </si>
  <si>
    <t xml:space="preserve">L00351</t>
  </si>
  <si>
    <t xml:space="preserve">NEFT-GREENLEAF AGRO-INV1271</t>
  </si>
  <si>
    <t xml:space="preserve">Receipt from Greenleaf Agro - INV-1271</t>
  </si>
  <si>
    <t xml:space="preserve">M00443</t>
  </si>
  <si>
    <t xml:space="preserve">B00339</t>
  </si>
  <si>
    <t xml:space="preserve">L00353</t>
  </si>
  <si>
    <t xml:space="preserve">NEFT-FALCON AUTO PARTS-INV1354</t>
  </si>
  <si>
    <t xml:space="preserve">Receipt from Falcon Auto Parts - INV-1354</t>
  </si>
  <si>
    <t xml:space="preserve">M00444</t>
  </si>
  <si>
    <t xml:space="preserve">B00340</t>
  </si>
  <si>
    <t xml:space="preserve">L00355</t>
  </si>
  <si>
    <t xml:space="preserve">NEFT-INDUS PACKAGING-INV1417</t>
  </si>
  <si>
    <t xml:space="preserve">Receipt from Indus Packaging - INV-1417</t>
  </si>
  <si>
    <t xml:space="preserve">M00445</t>
  </si>
  <si>
    <t xml:space="preserve">B00344</t>
  </si>
  <si>
    <t xml:space="preserve">L00362</t>
  </si>
  <si>
    <t xml:space="preserve">CHQ 005274 ORCHID CATERING</t>
  </si>
  <si>
    <t xml:space="preserve">Cheque payment to Orchid Catering - CHQ-005274</t>
  </si>
  <si>
    <t xml:space="preserve">M00446</t>
  </si>
  <si>
    <t xml:space="preserve">B00346</t>
  </si>
  <si>
    <t xml:space="preserve">L00366</t>
  </si>
  <si>
    <t xml:space="preserve">CHQ 005442 PINNACLE PRINT</t>
  </si>
  <si>
    <t xml:space="preserve">Cheque payment to Pinnacle Print - CHQ-005442</t>
  </si>
  <si>
    <t xml:space="preserve">M00447</t>
  </si>
  <si>
    <t xml:space="preserve">B00347</t>
  </si>
  <si>
    <t xml:space="preserve">L00369</t>
  </si>
  <si>
    <t xml:space="preserve">NEFT-BLUEFIN LOGISTICS-INV1038</t>
  </si>
  <si>
    <t xml:space="preserve">Receipt from Bluefin Logistics - INV-1038</t>
  </si>
  <si>
    <t xml:space="preserve">M00448</t>
  </si>
  <si>
    <t xml:space="preserve">B00348</t>
  </si>
  <si>
    <t xml:space="preserve">L00372</t>
  </si>
  <si>
    <t xml:space="preserve">NEFT-KINGSLEY CHEMICALS-INV1179</t>
  </si>
  <si>
    <t xml:space="preserve">Receipt from Kingsley Chemicals - INV-1179</t>
  </si>
  <si>
    <t xml:space="preserve">M00449</t>
  </si>
  <si>
    <t xml:space="preserve">B00350</t>
  </si>
  <si>
    <t xml:space="preserve">L00373</t>
  </si>
  <si>
    <t xml:space="preserve">NEFT-JUPITER STEEL-INV1202</t>
  </si>
  <si>
    <t xml:space="preserve">Receipt from Jupiter Steel - INV-1202</t>
  </si>
  <si>
    <t xml:space="preserve">M00450</t>
  </si>
  <si>
    <t xml:space="preserve">B00355</t>
  </si>
  <si>
    <t xml:space="preserve">L00375</t>
  </si>
  <si>
    <t xml:space="preserve">NEFT-KINGSLEY CHEMICALS-INV1431</t>
  </si>
  <si>
    <t xml:space="preserve">Receipt from Kingsley Chemicals - INV-1431</t>
  </si>
  <si>
    <t xml:space="preserve">M00451</t>
  </si>
  <si>
    <t xml:space="preserve">B00365</t>
  </si>
  <si>
    <t xml:space="preserve">L00381</t>
  </si>
  <si>
    <t xml:space="preserve">NEFT-BLUEFIN LOGISTICS-INV1086</t>
  </si>
  <si>
    <t xml:space="preserve">Receipt from Bluefin Logistics - INV-1086</t>
  </si>
  <si>
    <t xml:space="preserve">M00452</t>
  </si>
  <si>
    <t xml:space="preserve">B00374</t>
  </si>
  <si>
    <t xml:space="preserve">L00389</t>
  </si>
  <si>
    <t xml:space="preserve">CHQ 005235 SUMMIT SECURITY</t>
  </si>
  <si>
    <t xml:space="preserve">Cheque payment to Summit Security - CHQ-005235</t>
  </si>
  <si>
    <t xml:space="preserve">M00453</t>
  </si>
  <si>
    <t xml:space="preserve">B00375</t>
  </si>
  <si>
    <t xml:space="preserve">L00392</t>
  </si>
  <si>
    <t xml:space="preserve">CHQ 005350 BIRCH PACKAGING</t>
  </si>
  <si>
    <t xml:space="preserve">Cheque payment to Birch Packaging - CHQ-005350</t>
  </si>
  <si>
    <t xml:space="preserve">M00454</t>
  </si>
  <si>
    <t xml:space="preserve">B00382</t>
  </si>
  <si>
    <t xml:space="preserve">L00399</t>
  </si>
  <si>
    <t xml:space="preserve">NEFT-CRESTVIEW RETAIL-INV1399</t>
  </si>
  <si>
    <t xml:space="preserve">Receipt from Crestview Retail - INV-1399</t>
  </si>
  <si>
    <t xml:space="preserve">M00455</t>
  </si>
  <si>
    <t xml:space="preserve">B00392</t>
  </si>
  <si>
    <t xml:space="preserve">L00410</t>
  </si>
  <si>
    <t xml:space="preserve">NEFT-HORIZON PHARMA-INV1140</t>
  </si>
  <si>
    <t xml:space="preserve">Receipt from Horizon Pharma - INV-1140</t>
  </si>
  <si>
    <t xml:space="preserve">M00456</t>
  </si>
  <si>
    <t xml:space="preserve">B00395</t>
  </si>
  <si>
    <t xml:space="preserve">L00412</t>
  </si>
  <si>
    <t xml:space="preserve">NEFT-HORIZON PHARMA-INV1404</t>
  </si>
  <si>
    <t xml:space="preserve">Receipt from Horizon Pharma - INV-1404</t>
  </si>
  <si>
    <t xml:space="preserve">M00457</t>
  </si>
  <si>
    <t xml:space="preserve">B00396</t>
  </si>
  <si>
    <t xml:space="preserve">L00414</t>
  </si>
  <si>
    <t xml:space="preserve">NEFT-JUPITER STEEL-INV1478</t>
  </si>
  <si>
    <t xml:space="preserve">Receipt from Jupiter Steel - INV-1478</t>
  </si>
  <si>
    <t xml:space="preserve">M00458</t>
  </si>
  <si>
    <t xml:space="preserve">B00397</t>
  </si>
  <si>
    <t xml:space="preserve">L00415</t>
  </si>
  <si>
    <t xml:space="preserve">NEFT-INDUS PACKAGING-INV1513</t>
  </si>
  <si>
    <t xml:space="preserve">Receipt from Indus Packaging - INV-1513</t>
  </si>
  <si>
    <t xml:space="preserve">M00459</t>
  </si>
  <si>
    <t xml:space="preserve">B00400</t>
  </si>
  <si>
    <t xml:space="preserve">L00418</t>
  </si>
  <si>
    <t xml:space="preserve">CHQ 005160 BIRCH PACKAGING</t>
  </si>
  <si>
    <t xml:space="preserve">Cheque payment to Birch Packaging - CHQ-005160</t>
  </si>
  <si>
    <t xml:space="preserve">M00460</t>
  </si>
  <si>
    <t xml:space="preserve">B00408</t>
  </si>
  <si>
    <t xml:space="preserve">L00424</t>
  </si>
  <si>
    <t xml:space="preserve">NEFT-INDUS PACKAGING-INV1177</t>
  </si>
  <si>
    <t xml:space="preserve">Receipt from Indus Packaging - INV-1177</t>
  </si>
  <si>
    <t xml:space="preserve">M00461</t>
  </si>
  <si>
    <t xml:space="preserve">B00410</t>
  </si>
  <si>
    <t xml:space="preserve">L00426</t>
  </si>
  <si>
    <t xml:space="preserve">NEFT-DELTA FOODS-INV1292</t>
  </si>
  <si>
    <t xml:space="preserve">Receipt from Delta Foods - INV-1292</t>
  </si>
  <si>
    <t xml:space="preserve">M00462</t>
  </si>
  <si>
    <t xml:space="preserve">B00412</t>
  </si>
  <si>
    <t xml:space="preserve">L00427</t>
  </si>
  <si>
    <t xml:space="preserve">NEFT-CRESTVIEW RETAIL-INV1579</t>
  </si>
  <si>
    <t xml:space="preserve">Receipt from Crestview Retail - INV-1579</t>
  </si>
  <si>
    <t xml:space="preserve">M00463</t>
  </si>
  <si>
    <t xml:space="preserve">B00414</t>
  </si>
  <si>
    <t xml:space="preserve">L00430</t>
  </si>
  <si>
    <t xml:space="preserve">CHQ 005064 ORCHID CATERING</t>
  </si>
  <si>
    <t xml:space="preserve">Cheque payment to Orchid Catering - CHQ-005064</t>
  </si>
  <si>
    <t xml:space="preserve">M00464</t>
  </si>
  <si>
    <t xml:space="preserve">B00415</t>
  </si>
  <si>
    <t xml:space="preserve">L00432</t>
  </si>
  <si>
    <t xml:space="preserve">CHQ 005320 BIRCH PACKAGING</t>
  </si>
  <si>
    <t xml:space="preserve">Cheque payment to Birch Packaging - CHQ-005320</t>
  </si>
  <si>
    <t xml:space="preserve">M00465</t>
  </si>
  <si>
    <t xml:space="preserve">B00419</t>
  </si>
  <si>
    <t xml:space="preserve">L00436</t>
  </si>
  <si>
    <t xml:space="preserve">NEFT-BLUEFIN LOGISTICS-INV1026</t>
  </si>
  <si>
    <t xml:space="preserve">Receipt from Bluefin Logistics - INV-1026</t>
  </si>
  <si>
    <t xml:space="preserve">M00466</t>
  </si>
  <si>
    <t xml:space="preserve">B00422</t>
  </si>
  <si>
    <t xml:space="preserve">L00438</t>
  </si>
  <si>
    <t xml:space="preserve">NEFT-JUPITER STEEL-INV1118</t>
  </si>
  <si>
    <t xml:space="preserve">Receipt from Jupiter Steel - INV-1118</t>
  </si>
  <si>
    <t xml:space="preserve">M00467</t>
  </si>
  <si>
    <t xml:space="preserve">B00423</t>
  </si>
  <si>
    <t xml:space="preserve">L00440</t>
  </si>
  <si>
    <t xml:space="preserve">NEFT-CRESTVIEW RETAIL-INV1231</t>
  </si>
  <si>
    <t xml:space="preserve">Receipt from Crestview Retail - INV-1231</t>
  </si>
  <si>
    <t xml:space="preserve">M00468</t>
  </si>
  <si>
    <t xml:space="preserve">B00424</t>
  </si>
  <si>
    <t xml:space="preserve">L00442</t>
  </si>
  <si>
    <t xml:space="preserve">NEFT-ACME TRADERS-INV1277</t>
  </si>
  <si>
    <t xml:space="preserve">Receipt from Acme Traders - INV-1277</t>
  </si>
  <si>
    <t xml:space="preserve">M00469</t>
  </si>
  <si>
    <t xml:space="preserve">B00426</t>
  </si>
  <si>
    <t xml:space="preserve">L00443</t>
  </si>
  <si>
    <t xml:space="preserve">NEFT-ACME TRADERS-INV1421</t>
  </si>
  <si>
    <t xml:space="preserve">Receipt from Acme Traders - INV-1421</t>
  </si>
  <si>
    <t xml:space="preserve">M00470</t>
  </si>
  <si>
    <t xml:space="preserve">B00427</t>
  </si>
  <si>
    <t xml:space="preserve">L00444</t>
  </si>
  <si>
    <t xml:space="preserve">NEFT-HORIZON PHARMA-INV1560</t>
  </si>
  <si>
    <t xml:space="preserve">Receipt from Horizon Pharma - INV-1560</t>
  </si>
  <si>
    <t xml:space="preserve">M00471</t>
  </si>
  <si>
    <t xml:space="preserve">B00433</t>
  </si>
  <si>
    <t xml:space="preserve">L00448</t>
  </si>
  <si>
    <t xml:space="preserve">CHQ 005255 SUMMIT SECURITY</t>
  </si>
  <si>
    <t xml:space="preserve">Cheque payment to Summit Security - CHQ-005255</t>
  </si>
  <si>
    <t xml:space="preserve">M00472</t>
  </si>
  <si>
    <t xml:space="preserve">B00437</t>
  </si>
  <si>
    <t xml:space="preserve">L00452</t>
  </si>
  <si>
    <t xml:space="preserve">NEFT-HORIZON PHARMA-INV1116</t>
  </si>
  <si>
    <t xml:space="preserve">Receipt from Horizon Pharma - INV-1116</t>
  </si>
  <si>
    <t xml:space="preserve">M00473</t>
  </si>
  <si>
    <t xml:space="preserve">B00439</t>
  </si>
  <si>
    <t xml:space="preserve">L00453</t>
  </si>
  <si>
    <t xml:space="preserve">NEFT-KINGSLEY CHEMICALS-INV1143</t>
  </si>
  <si>
    <t xml:space="preserve">Receipt from Kingsley Chemicals - INV-1143</t>
  </si>
  <si>
    <t xml:space="preserve">M00474</t>
  </si>
  <si>
    <t xml:space="preserve">B00440</t>
  </si>
  <si>
    <t xml:space="preserve">L00454</t>
  </si>
  <si>
    <t xml:space="preserve">NEFT-JUPITER STEEL-INV1226</t>
  </si>
  <si>
    <t xml:space="preserve">Receipt from Jupiter Steel - INV-1226</t>
  </si>
  <si>
    <t xml:space="preserve">M00475</t>
  </si>
  <si>
    <t xml:space="preserve">B00448</t>
  </si>
  <si>
    <t xml:space="preserve">L00458</t>
  </si>
  <si>
    <t xml:space="preserve">CHQ 005154 ORCHID CATERING</t>
  </si>
  <si>
    <t xml:space="preserve">Cheque payment to Orchid Catering - CHQ-005154</t>
  </si>
  <si>
    <t xml:space="preserve">M00476</t>
  </si>
  <si>
    <t xml:space="preserve">B00453</t>
  </si>
  <si>
    <t xml:space="preserve">L00462</t>
  </si>
  <si>
    <t xml:space="preserve">CHQ 005404 ORCHID CATERING</t>
  </si>
  <si>
    <t xml:space="preserve">Cheque payment to Orchid Catering - CHQ-005404</t>
  </si>
  <si>
    <t xml:space="preserve">M00477</t>
  </si>
  <si>
    <t xml:space="preserve">B00455</t>
  </si>
  <si>
    <t xml:space="preserve">L00464</t>
  </si>
  <si>
    <t xml:space="preserve">NEFT-ACME TRADERS-INV1097</t>
  </si>
  <si>
    <t xml:space="preserve">Receipt from Acme Traders - INV-1097</t>
  </si>
  <si>
    <t xml:space="preserve">M00478</t>
  </si>
  <si>
    <t xml:space="preserve">B00456</t>
  </si>
  <si>
    <t xml:space="preserve">L00466</t>
  </si>
  <si>
    <t xml:space="preserve">NEFT-CRESTVIEW RETAIL-INV1171</t>
  </si>
  <si>
    <t xml:space="preserve">Receipt from Crestview Retail - INV-1171</t>
  </si>
  <si>
    <t xml:space="preserve">M00479</t>
  </si>
  <si>
    <t xml:space="preserve">B00457</t>
  </si>
  <si>
    <t xml:space="preserve">L00473</t>
  </si>
  <si>
    <t xml:space="preserve">CHQ 005117 WILLOW FURNISHINGS</t>
  </si>
  <si>
    <t xml:space="preserve">Cheque payment to Willow Furnishings - CHQ-005117</t>
  </si>
  <si>
    <t xml:space="preserve">M00480</t>
  </si>
  <si>
    <t xml:space="preserve">B00458</t>
  </si>
  <si>
    <t xml:space="preserve">L00474</t>
  </si>
  <si>
    <t xml:space="preserve">CHQ 005221 KESTREL OFFICE SUPPLIES</t>
  </si>
  <si>
    <t xml:space="preserve">Cheque payment to Kestrel Office Supplies - CHQ-005221</t>
  </si>
  <si>
    <t xml:space="preserve">M00481</t>
  </si>
  <si>
    <t xml:space="preserve">B00463</t>
  </si>
  <si>
    <t xml:space="preserve">L00481</t>
  </si>
  <si>
    <t xml:space="preserve">NEFT-INDUS PACKAGING-INV1021</t>
  </si>
  <si>
    <t xml:space="preserve">Receipt from Indus Packaging - INV-1021</t>
  </si>
  <si>
    <t xml:space="preserve">M00482</t>
  </si>
  <si>
    <t xml:space="preserve">B00465</t>
  </si>
  <si>
    <t xml:space="preserve">L00483</t>
  </si>
  <si>
    <t xml:space="preserve">NEFT-KINGSLEY CHEMICALS-INV1119</t>
  </si>
  <si>
    <t xml:space="preserve">Receipt from Kingsley Chemicals - INV-1119</t>
  </si>
  <si>
    <t xml:space="preserve">M00483</t>
  </si>
  <si>
    <t xml:space="preserve">B00467</t>
  </si>
  <si>
    <t xml:space="preserve">L00484</t>
  </si>
  <si>
    <t xml:space="preserve">NEFT-GREENLEAF AGRO-INV1163</t>
  </si>
  <si>
    <t xml:space="preserve">Receipt from Greenleaf Agro - INV-1163</t>
  </si>
  <si>
    <t xml:space="preserve">M00484</t>
  </si>
  <si>
    <t xml:space="preserve">B00471</t>
  </si>
  <si>
    <t xml:space="preserve">L00489</t>
  </si>
  <si>
    <t xml:space="preserve">CHQ 005324 ORCHID CATERING</t>
  </si>
  <si>
    <t xml:space="preserve">Cheque payment to Orchid Catering - CHQ-005324</t>
  </si>
  <si>
    <t xml:space="preserve">M00485</t>
  </si>
  <si>
    <t xml:space="preserve">B00477</t>
  </si>
  <si>
    <t xml:space="preserve">L00494</t>
  </si>
  <si>
    <t xml:space="preserve">NEFT-JUPITER STEEL-INV1406</t>
  </si>
  <si>
    <t xml:space="preserve">Receipt from Jupiter Steel - INV-1406</t>
  </si>
  <si>
    <t xml:space="preserve">M00486</t>
  </si>
  <si>
    <t xml:space="preserve">B00479</t>
  </si>
  <si>
    <t xml:space="preserve">L00495</t>
  </si>
  <si>
    <t xml:space="preserve">NEFT-KINGSLEY CHEMICALS-INV1491</t>
  </si>
  <si>
    <t xml:space="preserve">Receipt from Kingsley Chemicals - INV-1491</t>
  </si>
  <si>
    <t xml:space="preserve">M00487</t>
  </si>
  <si>
    <t xml:space="preserve">B00483</t>
  </si>
  <si>
    <t xml:space="preserve">L00498</t>
  </si>
  <si>
    <t xml:space="preserve">NEFT-KINGSLEY CHEMICALS-INV1023</t>
  </si>
  <si>
    <t xml:space="preserve">Receipt from Kingsley Chemicals - INV-1023</t>
  </si>
  <si>
    <t xml:space="preserve">M00488</t>
  </si>
  <si>
    <t xml:space="preserve">B00484</t>
  </si>
  <si>
    <t xml:space="preserve">L00499</t>
  </si>
  <si>
    <t xml:space="preserve">NEFT-LAKEVIEW HOTELS-INV1168</t>
  </si>
  <si>
    <t xml:space="preserve">Receipt from Lakeview Hotels - INV-1168</t>
  </si>
  <si>
    <t xml:space="preserve">M00489</t>
  </si>
  <si>
    <t xml:space="preserve">B00487</t>
  </si>
  <si>
    <t xml:space="preserve">L00500</t>
  </si>
  <si>
    <t xml:space="preserve">NEFT-EVEREST TEXTILES-INV1257</t>
  </si>
  <si>
    <t xml:space="preserve">Receipt from Everest Textiles - INV-1257</t>
  </si>
  <si>
    <t xml:space="preserve">M00490</t>
  </si>
  <si>
    <t xml:space="preserve">B00488</t>
  </si>
  <si>
    <t xml:space="preserve">L00501</t>
  </si>
  <si>
    <t xml:space="preserve">NEFT-INDUS PACKAGING-INV1345</t>
  </si>
  <si>
    <t xml:space="preserve">Receipt from Indus Packaging - INV-1345</t>
  </si>
  <si>
    <t xml:space="preserve">M00491</t>
  </si>
  <si>
    <t xml:space="preserve">B00498</t>
  </si>
  <si>
    <t xml:space="preserve">L00507</t>
  </si>
  <si>
    <t xml:space="preserve">NEFT-CRESTVIEW RETAIL-INV1159</t>
  </si>
  <si>
    <t xml:space="preserve">Receipt from Crestview Retail - INV-1159</t>
  </si>
  <si>
    <t xml:space="preserve">M00492</t>
  </si>
  <si>
    <t xml:space="preserve">B00501</t>
  </si>
  <si>
    <t xml:space="preserve">L00509</t>
  </si>
  <si>
    <t xml:space="preserve">NEFT-DELTA FOODS-INV1484</t>
  </si>
  <si>
    <t xml:space="preserve">Receipt from Delta Foods - INV-1484</t>
  </si>
  <si>
    <t xml:space="preserve">M00493</t>
  </si>
  <si>
    <t xml:space="preserve">B00502</t>
  </si>
  <si>
    <t xml:space="preserve">L00511</t>
  </si>
  <si>
    <t xml:space="preserve">NEFT-HORIZON PHARMA-INV1572</t>
  </si>
  <si>
    <t xml:space="preserve">Receipt from Horizon Pharma - INV-1572</t>
  </si>
  <si>
    <t xml:space="preserve">M00494</t>
  </si>
  <si>
    <t xml:space="preserve">B00507</t>
  </si>
  <si>
    <t xml:space="preserve">L00522</t>
  </si>
  <si>
    <t xml:space="preserve">NEFT-BLUEFIN LOGISTICS-INV1170</t>
  </si>
  <si>
    <t xml:space="preserve">Receipt from Bluefin Logistics - INV-1170</t>
  </si>
  <si>
    <t xml:space="preserve">M00495</t>
  </si>
  <si>
    <t xml:space="preserve">B00509</t>
  </si>
  <si>
    <t xml:space="preserve">L00525</t>
  </si>
  <si>
    <t xml:space="preserve">NEFT-CRESTVIEW RETAIL-INV1375</t>
  </si>
  <si>
    <t xml:space="preserve">Receipt from Crestview Retail - INV-1375</t>
  </si>
  <si>
    <t xml:space="preserve">M00496</t>
  </si>
  <si>
    <t xml:space="preserve">B00510</t>
  </si>
  <si>
    <t xml:space="preserve">L00526</t>
  </si>
  <si>
    <t xml:space="preserve">NEFT-BLUEFIN LOGISTICS-INV1398</t>
  </si>
  <si>
    <t xml:space="preserve">Receipt from Bluefin Logistics - INV-1398</t>
  </si>
  <si>
    <t xml:space="preserve">M00497</t>
  </si>
  <si>
    <t xml:space="preserve">B00511</t>
  </si>
  <si>
    <t xml:space="preserve">L00528</t>
  </si>
  <si>
    <t xml:space="preserve">CHQ 005093 ZENITH HARDWARE</t>
  </si>
  <si>
    <t xml:space="preserve">Cheque payment to Zenith Hardware - CHQ-005093</t>
  </si>
  <si>
    <t xml:space="preserve">M00498</t>
  </si>
  <si>
    <t xml:space="preserve">B00514</t>
  </si>
  <si>
    <t xml:space="preserve">L00534</t>
  </si>
  <si>
    <t xml:space="preserve">CHQ 005440 BIRCH PACKAGING</t>
  </si>
  <si>
    <t xml:space="preserve">Cheque payment to Birch Packaging - CHQ-005440</t>
  </si>
  <si>
    <t xml:space="preserve">M00499</t>
  </si>
  <si>
    <t xml:space="preserve">B00527</t>
  </si>
  <si>
    <t xml:space="preserve">L00543</t>
  </si>
  <si>
    <t xml:space="preserve">NEFT-GREENLEAF AGRO-INV1019</t>
  </si>
  <si>
    <t xml:space="preserve">Receipt from Greenleaf Agro - INV-1019</t>
  </si>
  <si>
    <t xml:space="preserve">M00500</t>
  </si>
  <si>
    <t xml:space="preserve">B00529</t>
  </si>
  <si>
    <t xml:space="preserve">L00547</t>
  </si>
  <si>
    <t xml:space="preserve">NEFT-GREENLEAF AGRO-INV1223</t>
  </si>
  <si>
    <t xml:space="preserve">Receipt from Greenleaf Agro - INV-1223</t>
  </si>
  <si>
    <t xml:space="preserve">M00501</t>
  </si>
  <si>
    <t xml:space="preserve">B00530</t>
  </si>
  <si>
    <t xml:space="preserve">L00548</t>
  </si>
  <si>
    <t xml:space="preserve">NEFT-ACME TRADERS-INV1229</t>
  </si>
  <si>
    <t xml:space="preserve">Receipt from Acme Traders - INV-1229</t>
  </si>
  <si>
    <t xml:space="preserve">M00502</t>
  </si>
  <si>
    <t xml:space="preserve">B00535</t>
  </si>
  <si>
    <t xml:space="preserve">L00549</t>
  </si>
  <si>
    <t xml:space="preserve">CHQ 005103 ZENITH HARDWARE</t>
  </si>
  <si>
    <t xml:space="preserve">Cheque payment to Zenith Hardware - CHQ-005103</t>
  </si>
  <si>
    <t xml:space="preserve">M00503</t>
  </si>
  <si>
    <t xml:space="preserve">B00543</t>
  </si>
  <si>
    <t xml:space="preserve">L00553</t>
  </si>
  <si>
    <t xml:space="preserve">NEFT-FALCON AUTO PARTS-INV1294</t>
  </si>
  <si>
    <t xml:space="preserve">Receipt from Falcon Auto Parts - INV-1294</t>
  </si>
  <si>
    <t xml:space="preserve">M00504</t>
  </si>
  <si>
    <t xml:space="preserve">B00545</t>
  </si>
  <si>
    <t xml:space="preserve">L00558</t>
  </si>
  <si>
    <t xml:space="preserve">NEFT-BLUEFIN LOGISTICS-INV1506</t>
  </si>
  <si>
    <t xml:space="preserve">Receipt from Bluefin Logistics - INV-1506</t>
  </si>
  <si>
    <t xml:space="preserve">M00505</t>
  </si>
  <si>
    <t xml:space="preserve">B00547</t>
  </si>
  <si>
    <t xml:space="preserve">L00559</t>
  </si>
  <si>
    <t xml:space="preserve">NEFT-ACME TRADERS-INV1541</t>
  </si>
  <si>
    <t xml:space="preserve">Receipt from Acme Traders - INV-1541</t>
  </si>
  <si>
    <t xml:space="preserve">M00506</t>
  </si>
  <si>
    <t xml:space="preserve">B00548</t>
  </si>
  <si>
    <t xml:space="preserve">L00560</t>
  </si>
  <si>
    <t xml:space="preserve">NEFT-FALCON AUTO PARTS-INV1558</t>
  </si>
  <si>
    <t xml:space="preserve">Receipt from Falcon Auto Parts - INV-1558</t>
  </si>
  <si>
    <t xml:space="preserve">M00507</t>
  </si>
  <si>
    <t xml:space="preserve">B00559</t>
  </si>
  <si>
    <t xml:space="preserve">L00573</t>
  </si>
  <si>
    <t xml:space="preserve">NEFT-EVEREST TEXTILES-INV1557</t>
  </si>
  <si>
    <t xml:space="preserve">Receipt from Everest Textiles - INV-1557</t>
  </si>
  <si>
    <t xml:space="preserve">M00508</t>
  </si>
  <si>
    <t xml:space="preserve">B00562</t>
  </si>
  <si>
    <t xml:space="preserve">L00580</t>
  </si>
  <si>
    <t xml:space="preserve">CHQ 005290 BIRCH PACKAGING</t>
  </si>
  <si>
    <t xml:space="preserve">Cheque payment to Birch Packaging - CHQ-005290</t>
  </si>
  <si>
    <t xml:space="preserve">M00509</t>
  </si>
  <si>
    <t xml:space="preserve">B00563</t>
  </si>
  <si>
    <t xml:space="preserve">L00582</t>
  </si>
  <si>
    <t xml:space="preserve">CHQ 005434 ORCHID CATERING</t>
  </si>
  <si>
    <t xml:space="preserve">Cheque payment to Orchid Catering - CHQ-005434</t>
  </si>
  <si>
    <t xml:space="preserve">M00510</t>
  </si>
  <si>
    <t xml:space="preserve">B00565</t>
  </si>
  <si>
    <t xml:space="preserve">L00583</t>
  </si>
  <si>
    <t xml:space="preserve">NEFT-CRESTVIEW RETAIL-INV1015</t>
  </si>
  <si>
    <t xml:space="preserve">Receipt from Crestview Retail - INV-1015</t>
  </si>
  <si>
    <t xml:space="preserve">M00511</t>
  </si>
  <si>
    <t xml:space="preserve">B00566</t>
  </si>
  <si>
    <t xml:space="preserve">L00585</t>
  </si>
  <si>
    <t xml:space="preserve">NEFT-HORIZON PHARMA-INV1200</t>
  </si>
  <si>
    <t xml:space="preserve">Receipt from Horizon Pharma - INV-1200</t>
  </si>
  <si>
    <t xml:space="preserve">M00512</t>
  </si>
  <si>
    <t xml:space="preserve">B00567</t>
  </si>
  <si>
    <t xml:space="preserve">L00586</t>
  </si>
  <si>
    <t xml:space="preserve">NEFT-JUPITER STEEL-INV1430</t>
  </si>
  <si>
    <t xml:space="preserve">Receipt from Jupiter Steel - INV-1430</t>
  </si>
  <si>
    <t xml:space="preserve">M00513</t>
  </si>
  <si>
    <t xml:space="preserve">B00569</t>
  </si>
  <si>
    <t xml:space="preserve">L00588</t>
  </si>
  <si>
    <t xml:space="preserve">CHQ 005226 VERTEX CONSULTING</t>
  </si>
  <si>
    <t xml:space="preserve">Cheque payment to Vertex Consulting - CHQ-005226</t>
  </si>
  <si>
    <t xml:space="preserve">M00514</t>
  </si>
  <si>
    <t xml:space="preserve">B00573</t>
  </si>
  <si>
    <t xml:space="preserve">L00591</t>
  </si>
  <si>
    <t xml:space="preserve">CHQ 005446 VERTEX CONSULTING</t>
  </si>
  <si>
    <t xml:space="preserve">Cheque payment to Vertex Consulting - CHQ-005446</t>
  </si>
  <si>
    <t xml:space="preserve">M00515</t>
  </si>
  <si>
    <t xml:space="preserve">B00575</t>
  </si>
  <si>
    <t xml:space="preserve">L00593</t>
  </si>
  <si>
    <t xml:space="preserve">NEFT-GREENLEAF AGRO-INV1055</t>
  </si>
  <si>
    <t xml:space="preserve">Receipt from Greenleaf Agro - INV-1055</t>
  </si>
  <si>
    <t xml:space="preserve">M00516</t>
  </si>
  <si>
    <t xml:space="preserve">B00576</t>
  </si>
  <si>
    <t xml:space="preserve">L00594</t>
  </si>
  <si>
    <t xml:space="preserve">NEFT-LAKEVIEW HOTELS-INV1156</t>
  </si>
  <si>
    <t xml:space="preserve">Receipt from Lakeview Hotels - INV-1156</t>
  </si>
  <si>
    <t xml:space="preserve">M00517</t>
  </si>
  <si>
    <t xml:space="preserve">B00578</t>
  </si>
  <si>
    <t xml:space="preserve">L00595</t>
  </si>
  <si>
    <t xml:space="preserve">NEFT-HORIZON PHARMA-INV1488</t>
  </si>
  <si>
    <t xml:space="preserve">Receipt from Horizon Pharma - INV-1488</t>
  </si>
  <si>
    <t xml:space="preserve">M00518</t>
  </si>
  <si>
    <t xml:space="preserve">B00588</t>
  </si>
  <si>
    <t xml:space="preserve">L00604</t>
  </si>
  <si>
    <t xml:space="preserve">NEFT-KINGSLEY CHEMICALS-INV1215</t>
  </si>
  <si>
    <t xml:space="preserve">Receipt from Kingsley Chemicals - INV-1215</t>
  </si>
  <si>
    <t xml:space="preserve">M00519</t>
  </si>
  <si>
    <t xml:space="preserve">B00591</t>
  </si>
  <si>
    <t xml:space="preserve">L00611</t>
  </si>
  <si>
    <t xml:space="preserve">CHQ 005209 ATLAS FREIGHT</t>
  </si>
  <si>
    <t xml:space="preserve">Cheque payment to Atlas Freight - CHQ-005209</t>
  </si>
  <si>
    <t xml:space="preserve">M00520</t>
  </si>
  <si>
    <t xml:space="preserve">B00599</t>
  </si>
  <si>
    <t xml:space="preserve">L00619</t>
  </si>
  <si>
    <t xml:space="preserve">NEFT-KINGSLEY CHEMICALS-INV1575</t>
  </si>
  <si>
    <t xml:space="preserve">Receipt from Kingsley Chemicals - INV-1575</t>
  </si>
  <si>
    <t xml:space="preserve">M00521</t>
  </si>
  <si>
    <t xml:space="preserve">B00604</t>
  </si>
  <si>
    <t xml:space="preserve">L00624</t>
  </si>
  <si>
    <t xml:space="preserve">CHQ 005303 ZENITH HARDWARE</t>
  </si>
  <si>
    <t xml:space="preserve">Cheque payment to Zenith Hardware - CHQ-005303</t>
  </si>
  <si>
    <t xml:space="preserve">M00522</t>
  </si>
  <si>
    <t xml:space="preserve">B00609</t>
  </si>
  <si>
    <t xml:space="preserve">L00627</t>
  </si>
  <si>
    <t xml:space="preserve">NEFT-HORIZON PHARMA-INV1164</t>
  </si>
  <si>
    <t xml:space="preserve">Receipt from Horizon Pharma - INV-1164</t>
  </si>
  <si>
    <t xml:space="preserve">M00523</t>
  </si>
  <si>
    <t xml:space="preserve">B00610</t>
  </si>
  <si>
    <t xml:space="preserve">L00628</t>
  </si>
  <si>
    <t xml:space="preserve">NEFT-HORIZON PHARMA-INV1212</t>
  </si>
  <si>
    <t xml:space="preserve">Receipt from Horizon Pharma - INV-1212</t>
  </si>
  <si>
    <t xml:space="preserve">M00524</t>
  </si>
  <si>
    <t xml:space="preserve">B00613</t>
  </si>
  <si>
    <t xml:space="preserve">L00630</t>
  </si>
  <si>
    <t xml:space="preserve">NEFT-DELTA FOODS-INV1424</t>
  </si>
  <si>
    <t xml:space="preserve">Receipt from Delta Foods - INV-1424</t>
  </si>
  <si>
    <t xml:space="preserve">M00525</t>
  </si>
  <si>
    <t xml:space="preserve">B00628</t>
  </si>
  <si>
    <t xml:space="preserve">L00638</t>
  </si>
  <si>
    <t xml:space="preserve">CHQ 005151 KESTREL OFFICE SUPPLIES</t>
  </si>
  <si>
    <t xml:space="preserve">Cheque payment to Kestrel Office Supplies - CHQ-005151</t>
  </si>
  <si>
    <t xml:space="preserve">M00526</t>
  </si>
  <si>
    <t xml:space="preserve">B00629</t>
  </si>
  <si>
    <t xml:space="preserve">L00639</t>
  </si>
  <si>
    <t xml:space="preserve">CHQ 005365 SUMMIT SECURITY</t>
  </si>
  <si>
    <t xml:space="preserve">Cheque payment to Summit Security - CHQ-005365</t>
  </si>
  <si>
    <t xml:space="preserve">M00527</t>
  </si>
  <si>
    <t xml:space="preserve">B00637</t>
  </si>
  <si>
    <t xml:space="preserve">L00646</t>
  </si>
  <si>
    <t xml:space="preserve">NEFT-ACME TRADERS-INV1193</t>
  </si>
  <si>
    <t xml:space="preserve">Receipt from Acme Traders - INV-1193</t>
  </si>
  <si>
    <t xml:space="preserve">M00528</t>
  </si>
  <si>
    <t xml:space="preserve">B00638</t>
  </si>
  <si>
    <t xml:space="preserve">L00647</t>
  </si>
  <si>
    <t xml:space="preserve">NEFT-BLUEFIN LOGISTICS-INV1266</t>
  </si>
  <si>
    <t xml:space="preserve">Receipt from Bluefin Logistics - INV-1266</t>
  </si>
  <si>
    <t xml:space="preserve">M00529</t>
  </si>
  <si>
    <t xml:space="preserve">B00645</t>
  </si>
  <si>
    <t xml:space="preserve">L00662</t>
  </si>
  <si>
    <t xml:space="preserve">NEFT-ACME TRADERS-INV1061</t>
  </si>
  <si>
    <t xml:space="preserve">Receipt from Acme Traders - INV-1061</t>
  </si>
  <si>
    <t xml:space="preserve">M00530</t>
  </si>
  <si>
    <t xml:space="preserve">B00647</t>
  </si>
  <si>
    <t xml:space="preserve">L00665</t>
  </si>
  <si>
    <t xml:space="preserve">NEFT-JUPITER STEEL-INV1298</t>
  </si>
  <si>
    <t xml:space="preserve">Receipt from Jupiter Steel - INV-1298</t>
  </si>
  <si>
    <t xml:space="preserve">M00531</t>
  </si>
  <si>
    <t xml:space="preserve">B00652</t>
  </si>
  <si>
    <t xml:space="preserve">L00668</t>
  </si>
  <si>
    <t xml:space="preserve">CHQ 005147 WILLOW FURNISHINGS</t>
  </si>
  <si>
    <t xml:space="preserve">Cheque payment to Willow Furnishings - CHQ-005147</t>
  </si>
  <si>
    <t xml:space="preserve">M00532</t>
  </si>
  <si>
    <t xml:space="preserve">B00658</t>
  </si>
  <si>
    <t xml:space="preserve">L00674</t>
  </si>
  <si>
    <t xml:space="preserve">NEFT-CRESTVIEW RETAIL-INV1183</t>
  </si>
  <si>
    <t xml:space="preserve">Receipt from Crestview Retail - INV-1183</t>
  </si>
  <si>
    <t xml:space="preserve">M00533</t>
  </si>
  <si>
    <t xml:space="preserve">B00659</t>
  </si>
  <si>
    <t xml:space="preserve">L00677</t>
  </si>
  <si>
    <t xml:space="preserve">NEFT-LAKEVIEW HOTELS-INV1312</t>
  </si>
  <si>
    <t xml:space="preserve">Receipt from Lakeview Hotels - INV-1312</t>
  </si>
  <si>
    <t xml:space="preserve">M00534</t>
  </si>
  <si>
    <t xml:space="preserve">B00660</t>
  </si>
  <si>
    <t xml:space="preserve">L00678</t>
  </si>
  <si>
    <t xml:space="preserve">NEFT-ACME TRADERS-INV1361</t>
  </si>
  <si>
    <t xml:space="preserve">Receipt from Acme Traders - INV-1361</t>
  </si>
  <si>
    <t xml:space="preserve">M00535</t>
  </si>
  <si>
    <t xml:space="preserve">B00662</t>
  </si>
  <si>
    <t xml:space="preserve">L00684</t>
  </si>
  <si>
    <t xml:space="preserve">CHQ 005130 BIRCH PACKAGING</t>
  </si>
  <si>
    <t xml:space="preserve">Cheque payment to Birch Packaging - CHQ-005130</t>
  </si>
  <si>
    <t xml:space="preserve">M00536</t>
  </si>
  <si>
    <t xml:space="preserve">B00669</t>
  </si>
  <si>
    <t xml:space="preserve">L00690</t>
  </si>
  <si>
    <t xml:space="preserve">NEFT-KINGSLEY CHEMICALS-INV1167</t>
  </si>
  <si>
    <t xml:space="preserve">Receipt from Kingsley Chemicals - INV-1167</t>
  </si>
  <si>
    <t xml:space="preserve">M00537</t>
  </si>
  <si>
    <t xml:space="preserve">B00670</t>
  </si>
  <si>
    <t xml:space="preserve">L00691</t>
  </si>
  <si>
    <t xml:space="preserve">NEFT-LAKEVIEW HOTELS-INV1252</t>
  </si>
  <si>
    <t xml:space="preserve">Receipt from Lakeview Hotels - INV-1252</t>
  </si>
  <si>
    <t xml:space="preserve">M00538</t>
  </si>
  <si>
    <t xml:space="preserve">B00672</t>
  </si>
  <si>
    <t xml:space="preserve">L00693</t>
  </si>
  <si>
    <t xml:space="preserve">NEFT-FALCON AUTO PARTS-INV1402</t>
  </si>
  <si>
    <t xml:space="preserve">Receipt from Falcon Auto Parts - INV-1402</t>
  </si>
  <si>
    <t xml:space="preserve">M00539</t>
  </si>
  <si>
    <t xml:space="preserve">B00673</t>
  </si>
  <si>
    <t xml:space="preserve">L00694</t>
  </si>
  <si>
    <t xml:space="preserve">CHQ 005019 ATLAS FREIGHT</t>
  </si>
  <si>
    <t xml:space="preserve">Cheque payment to Atlas Freight - CHQ-005019</t>
  </si>
  <si>
    <t xml:space="preserve">M00540</t>
  </si>
  <si>
    <t xml:space="preserve">B00679</t>
  </si>
  <si>
    <t xml:space="preserve">L00703</t>
  </si>
  <si>
    <t xml:space="preserve">NEFT-EVEREST TEXTILES-INV1029</t>
  </si>
  <si>
    <t xml:space="preserve">Receipt from Everest Textiles - INV-1029</t>
  </si>
  <si>
    <t xml:space="preserve">M00541</t>
  </si>
  <si>
    <t xml:space="preserve">B00683</t>
  </si>
  <si>
    <t xml:space="preserve">L00706</t>
  </si>
  <si>
    <t xml:space="preserve">NEFT-KINGSLEY CHEMICALS-INV1467</t>
  </si>
  <si>
    <t xml:space="preserve">Receipt from Kingsley Chemicals - INV-1467</t>
  </si>
  <si>
    <t xml:space="preserve">M00542</t>
  </si>
  <si>
    <t xml:space="preserve">B00685</t>
  </si>
  <si>
    <t xml:space="preserve">L00707</t>
  </si>
  <si>
    <t xml:space="preserve">NEFT-KINGSLEY CHEMICALS-INV1563</t>
  </si>
  <si>
    <t xml:space="preserve">Receipt from Kingsley Chemicals - INV-1563</t>
  </si>
  <si>
    <t xml:space="preserve">M00543</t>
  </si>
  <si>
    <t xml:space="preserve">B00693</t>
  </si>
  <si>
    <t xml:space="preserve">L00715</t>
  </si>
  <si>
    <t xml:space="preserve">NEFT-GREENLEAF AGRO-INV1199</t>
  </si>
  <si>
    <t xml:space="preserve">Receipt from Greenleaf Agro - INV-1199</t>
  </si>
  <si>
    <t xml:space="preserve">M00544</t>
  </si>
  <si>
    <t xml:space="preserve">B00696</t>
  </si>
  <si>
    <t xml:space="preserve">L00723</t>
  </si>
  <si>
    <t xml:space="preserve">CHQ 005165 SUMMIT SECURITY</t>
  </si>
  <si>
    <t xml:space="preserve">Cheque payment to Summit Security - CHQ-005165</t>
  </si>
  <si>
    <t xml:space="preserve">M00545</t>
  </si>
  <si>
    <t xml:space="preserve">B00704</t>
  </si>
  <si>
    <t xml:space="preserve">L00729</t>
  </si>
  <si>
    <t xml:space="preserve">NEFT-FALCON AUTO PARTS-INV1522</t>
  </si>
  <si>
    <t xml:space="preserve">Receipt from Falcon Auto Parts - INV-1522</t>
  </si>
  <si>
    <t xml:space="preserve">M00546</t>
  </si>
  <si>
    <t xml:space="preserve">B00720</t>
  </si>
  <si>
    <t xml:space="preserve">L00737</t>
  </si>
  <si>
    <t xml:space="preserve">NEFT-HORIZON PHARMA-INV1368</t>
  </si>
  <si>
    <t xml:space="preserve">Receipt from Horizon Pharma - INV-1368</t>
  </si>
  <si>
    <t xml:space="preserve">M00547</t>
  </si>
  <si>
    <t xml:space="preserve">B00721</t>
  </si>
  <si>
    <t xml:space="preserve">L00739</t>
  </si>
  <si>
    <t xml:space="preserve">NEFT-INDUS PACKAGING-INV1465</t>
  </si>
  <si>
    <t xml:space="preserve">Receipt from Indus Packaging - INV-1465</t>
  </si>
  <si>
    <t xml:space="preserve">M00548</t>
  </si>
  <si>
    <t xml:space="preserve">B00725</t>
  </si>
  <si>
    <t xml:space="preserve">L00743</t>
  </si>
  <si>
    <t xml:space="preserve">CHQ 005123 ZENITH HARDWARE</t>
  </si>
  <si>
    <t xml:space="preserve">Cheque payment to Zenith Hardware - CHQ-005123</t>
  </si>
  <si>
    <t xml:space="preserve">M00549</t>
  </si>
  <si>
    <t xml:space="preserve">B00727</t>
  </si>
  <si>
    <t xml:space="preserve">L00744</t>
  </si>
  <si>
    <t xml:space="preserve">CHQ 005196 VERTEX CONSULTING</t>
  </si>
  <si>
    <t xml:space="preserve">Cheque payment to Vertex Consulting - CHQ-005196</t>
  </si>
  <si>
    <t xml:space="preserve">M00550</t>
  </si>
  <si>
    <t xml:space="preserve">B00729</t>
  </si>
  <si>
    <t xml:space="preserve">L00745</t>
  </si>
  <si>
    <t xml:space="preserve">CHQ 005330 BIRCH PACKAGING</t>
  </si>
  <si>
    <t xml:space="preserve">Cheque payment to Birch Packaging - CHQ-005330</t>
  </si>
  <si>
    <t xml:space="preserve">M00551</t>
  </si>
  <si>
    <t xml:space="preserve">B00732</t>
  </si>
  <si>
    <t xml:space="preserve">L00750</t>
  </si>
  <si>
    <t xml:space="preserve">NEFT-KINGSLEY CHEMICALS-INV1155</t>
  </si>
  <si>
    <t xml:space="preserve">Receipt from Kingsley Chemicals - INV-1155</t>
  </si>
  <si>
    <t xml:space="preserve">M00552</t>
  </si>
  <si>
    <t xml:space="preserve">B00733</t>
  </si>
  <si>
    <t xml:space="preserve">L00751</t>
  </si>
  <si>
    <t xml:space="preserve">NEFT-GREENLEAF AGRO-INV1175</t>
  </si>
  <si>
    <t xml:space="preserve">Receipt from Greenleaf Agro - INV-1175</t>
  </si>
  <si>
    <t xml:space="preserve">M00553</t>
  </si>
  <si>
    <t xml:space="preserve">B00744</t>
  </si>
  <si>
    <t xml:space="preserve">L00762</t>
  </si>
  <si>
    <t xml:space="preserve">CHQ 005272 PINNACLE PRINT</t>
  </si>
  <si>
    <t xml:space="preserve">Cheque payment to Pinnacle Print - CHQ-005272</t>
  </si>
  <si>
    <t xml:space="preserve">M00554</t>
  </si>
  <si>
    <t xml:space="preserve">B00747</t>
  </si>
  <si>
    <t xml:space="preserve">L00765</t>
  </si>
  <si>
    <t xml:space="preserve">NEFT-ACME TRADERS-INV1013</t>
  </si>
  <si>
    <t xml:space="preserve">Receipt from Acme Traders - INV-1013</t>
  </si>
  <si>
    <t xml:space="preserve">M00555</t>
  </si>
  <si>
    <t xml:space="preserve">B00756</t>
  </si>
  <si>
    <t xml:space="preserve">L00773</t>
  </si>
  <si>
    <t xml:space="preserve">NEFT-CRESTVIEW RETAIL-INV1495</t>
  </si>
  <si>
    <t xml:space="preserve">Receipt from Crestview Retail - INV-1495</t>
  </si>
  <si>
    <t xml:space="preserve">M00556</t>
  </si>
  <si>
    <t xml:space="preserve">B00758</t>
  </si>
  <si>
    <t xml:space="preserve">L00774</t>
  </si>
  <si>
    <t xml:space="preserve">NEFT-DELTA FOODS-INV1592</t>
  </si>
  <si>
    <t xml:space="preserve">Receipt from Delta Foods - INV-1592</t>
  </si>
  <si>
    <t xml:space="preserve">M00557</t>
  </si>
  <si>
    <t xml:space="preserve">B00763</t>
  </si>
  <si>
    <t xml:space="preserve">L00777</t>
  </si>
  <si>
    <t xml:space="preserve">NEFT-LAKEVIEW HOTELS-INV1024</t>
  </si>
  <si>
    <t xml:space="preserve">Receipt from Lakeview Hotels - INV-1024</t>
  </si>
  <si>
    <t xml:space="preserve">M00558</t>
  </si>
  <si>
    <t xml:space="preserve">B00772</t>
  </si>
  <si>
    <t xml:space="preserve">L00785</t>
  </si>
  <si>
    <t xml:space="preserve">CHQ 005087 WILLOW FURNISHINGS</t>
  </si>
  <si>
    <t xml:space="preserve">Cheque payment to Willow Furnishings - CHQ-005087</t>
  </si>
  <si>
    <t xml:space="preserve">M00559</t>
  </si>
  <si>
    <t xml:space="preserve">B00778</t>
  </si>
  <si>
    <t xml:space="preserve">L00794</t>
  </si>
  <si>
    <t xml:space="preserve">NEFT-INDUS PACKAGING-INV1225</t>
  </si>
  <si>
    <t xml:space="preserve">Receipt from Indus Packaging - INV-1225</t>
  </si>
  <si>
    <t xml:space="preserve">M00560</t>
  </si>
  <si>
    <t xml:space="preserve">B00782</t>
  </si>
  <si>
    <t xml:space="preserve">L00796</t>
  </si>
  <si>
    <t xml:space="preserve">NEFT-KINGSLEY CHEMICALS-INV1587</t>
  </si>
  <si>
    <t xml:space="preserve">Receipt from Kingsley Chemicals - INV-1587</t>
  </si>
  <si>
    <t xml:space="preserve">M00561</t>
  </si>
  <si>
    <t xml:space="preserve">B00785</t>
  </si>
  <si>
    <t xml:space="preserve">L00798</t>
  </si>
  <si>
    <t xml:space="preserve">CHQ 005230 BIRCH PACKAGING</t>
  </si>
  <si>
    <t xml:space="preserve">Cheque payment to Birch Packaging - CHQ-005230</t>
  </si>
  <si>
    <t xml:space="preserve">M00562</t>
  </si>
  <si>
    <t xml:space="preserve">B00792</t>
  </si>
  <si>
    <t xml:space="preserve">L00802</t>
  </si>
  <si>
    <t xml:space="preserve">NEFT-ACME TRADERS-INV1037</t>
  </si>
  <si>
    <t xml:space="preserve">Receipt from Acme Traders - INV-1037</t>
  </si>
  <si>
    <t xml:space="preserve">M00563</t>
  </si>
  <si>
    <t xml:space="preserve">B00794</t>
  </si>
  <si>
    <t xml:space="preserve">L00804</t>
  </si>
  <si>
    <t xml:space="preserve">NEFT-INDUS PACKAGING-INV1141</t>
  </si>
  <si>
    <t xml:space="preserve">Receipt from Indus Packaging - INV-1141</t>
  </si>
  <si>
    <t xml:space="preserve">M00564</t>
  </si>
  <si>
    <t xml:space="preserve">B00796</t>
  </si>
  <si>
    <t xml:space="preserve">L00806</t>
  </si>
  <si>
    <t xml:space="preserve">NEFT-DELTA FOODS-INV1268</t>
  </si>
  <si>
    <t xml:space="preserve">Receipt from Delta Foods - INV-1268</t>
  </si>
  <si>
    <t xml:space="preserve">M00565</t>
  </si>
  <si>
    <t xml:space="preserve">B00797</t>
  </si>
  <si>
    <t xml:space="preserve">L00809</t>
  </si>
  <si>
    <t xml:space="preserve">NEFT-KINGSLEY CHEMICALS-INV1407</t>
  </si>
  <si>
    <t xml:space="preserve">Receipt from Kingsley Chemicals - INV-1407</t>
  </si>
  <si>
    <t xml:space="preserve">M00566</t>
  </si>
  <si>
    <t xml:space="preserve">B00798</t>
  </si>
  <si>
    <t xml:space="preserve">L00810</t>
  </si>
  <si>
    <t xml:space="preserve">NEFT-LAKEVIEW HOTELS-INV1420</t>
  </si>
  <si>
    <t xml:space="preserve">Receipt from Lakeview Hotels - INV-1420</t>
  </si>
  <si>
    <t xml:space="preserve">M00567</t>
  </si>
  <si>
    <t xml:space="preserve">B00799</t>
  </si>
  <si>
    <t xml:space="preserve">L00811</t>
  </si>
  <si>
    <t xml:space="preserve">NEFT-CRESTVIEW RETAIL-INV1507</t>
  </si>
  <si>
    <t xml:space="preserve">Receipt from Crestview Retail - INV-1507</t>
  </si>
  <si>
    <t xml:space="preserve">M00568</t>
  </si>
  <si>
    <t xml:space="preserve">B00800</t>
  </si>
  <si>
    <t xml:space="preserve">L00814</t>
  </si>
  <si>
    <t xml:space="preserve">NEFT-LAKEVIEW HOTELS-INV1576</t>
  </si>
  <si>
    <t xml:space="preserve">Receipt from Lakeview Hotels - INV-1576</t>
  </si>
  <si>
    <t xml:space="preserve">M00569</t>
  </si>
  <si>
    <t xml:space="preserve">B00805</t>
  </si>
  <si>
    <t xml:space="preserve">L00819</t>
  </si>
  <si>
    <t xml:space="preserve">NEFT-GREENLEAF AGRO-INV1043</t>
  </si>
  <si>
    <t xml:space="preserve">Receipt from Greenleaf Agro - INV-1043</t>
  </si>
  <si>
    <t xml:space="preserve">M00570</t>
  </si>
  <si>
    <t xml:space="preserve">B00808</t>
  </si>
  <si>
    <t xml:space="preserve">L00821</t>
  </si>
  <si>
    <t xml:space="preserve">NEFT-CRESTVIEW RETAIL-INV1279</t>
  </si>
  <si>
    <t xml:space="preserve">Receipt from Crestview Retail - INV-1279</t>
  </si>
  <si>
    <t xml:space="preserve">M00571</t>
  </si>
  <si>
    <t xml:space="preserve">B00809</t>
  </si>
  <si>
    <t xml:space="preserve">L00822</t>
  </si>
  <si>
    <t xml:space="preserve">NEFT-KINGSLEY CHEMICALS-INV1287</t>
  </si>
  <si>
    <t xml:space="preserve">Receipt from Kingsley Chemicals - INV-1287</t>
  </si>
  <si>
    <t xml:space="preserve">M00572</t>
  </si>
  <si>
    <t xml:space="preserve">B00812</t>
  </si>
  <si>
    <t xml:space="preserve">L00825</t>
  </si>
  <si>
    <t xml:space="preserve">CHQ 005191 KESTREL OFFICE SUPPLIES</t>
  </si>
  <si>
    <t xml:space="preserve">Cheque payment to Kestrel Office Supplies - CHQ-005191</t>
  </si>
  <si>
    <t xml:space="preserve">M00573</t>
  </si>
  <si>
    <t xml:space="preserve">B00813</t>
  </si>
  <si>
    <t xml:space="preserve">L00826</t>
  </si>
  <si>
    <t xml:space="preserve">CHQ 005326 VERTEX CONSULTING</t>
  </si>
  <si>
    <t xml:space="preserve">Cheque payment to Vertex Consulting - CHQ-005326</t>
  </si>
  <si>
    <t xml:space="preserve">M00574</t>
  </si>
  <si>
    <t xml:space="preserve">B00816</t>
  </si>
  <si>
    <t xml:space="preserve">L00827</t>
  </si>
  <si>
    <t xml:space="preserve">CHQ 005422 PINNACLE PRINT</t>
  </si>
  <si>
    <t xml:space="preserve">Cheque payment to Pinnacle Print - CHQ-005422</t>
  </si>
  <si>
    <t xml:space="preserve">M00575</t>
  </si>
  <si>
    <t xml:space="preserve">B00820</t>
  </si>
  <si>
    <t xml:space="preserve">L00829</t>
  </si>
  <si>
    <t xml:space="preserve">NEFT-LAKEVIEW HOTELS-INV1180</t>
  </si>
  <si>
    <t xml:space="preserve">Receipt from Lakeview Hotels - INV-1180</t>
  </si>
  <si>
    <t xml:space="preserve">M00576</t>
  </si>
  <si>
    <t xml:space="preserve">B00821</t>
  </si>
  <si>
    <t xml:space="preserve">L00831</t>
  </si>
  <si>
    <t xml:space="preserve">NEFT-ACME TRADERS-INV1433</t>
  </si>
  <si>
    <t xml:space="preserve">Receipt from Acme Traders - INV-1433</t>
  </si>
  <si>
    <t xml:space="preserve">M00577</t>
  </si>
  <si>
    <t xml:space="preserve">B00822</t>
  </si>
  <si>
    <t xml:space="preserve">L00832</t>
  </si>
  <si>
    <t xml:space="preserve">NEFT-DELTA FOODS-INV1460</t>
  </si>
  <si>
    <t xml:space="preserve">Receipt from Delta Foods - INV-1460</t>
  </si>
  <si>
    <t xml:space="preserve">M00578</t>
  </si>
  <si>
    <t xml:space="preserve">B00823</t>
  </si>
  <si>
    <t xml:space="preserve">L00833</t>
  </si>
  <si>
    <t xml:space="preserve">NEFT-FALCON AUTO PARTS-INV1486</t>
  </si>
  <si>
    <t xml:space="preserve">Receipt from Falcon Auto Parts - INV-1486</t>
  </si>
  <si>
    <t xml:space="preserve">M00579</t>
  </si>
  <si>
    <t xml:space="preserve">B00825</t>
  </si>
  <si>
    <t xml:space="preserve">L00835</t>
  </si>
  <si>
    <t xml:space="preserve">NEFT-GREENLEAF AGRO-INV1595</t>
  </si>
  <si>
    <t xml:space="preserve">Receipt from Greenleaf Agro - INV-1595</t>
  </si>
  <si>
    <t xml:space="preserve">M00580</t>
  </si>
  <si>
    <t xml:space="preserve">B00826</t>
  </si>
  <si>
    <t xml:space="preserve">L00836</t>
  </si>
  <si>
    <t xml:space="preserve">NEFT-LAKEVIEW HOTELS-INV1600</t>
  </si>
  <si>
    <t xml:space="preserve">Receipt from Lakeview Hotels - INV-1600</t>
  </si>
  <si>
    <t xml:space="preserve">M00581</t>
  </si>
  <si>
    <t xml:space="preserve">B00829</t>
  </si>
  <si>
    <t xml:space="preserve">L00839</t>
  </si>
  <si>
    <t xml:space="preserve">CHQ 005311 KESTREL OFFICE SUPPLIES</t>
  </si>
  <si>
    <t xml:space="preserve">Cheque payment to Kestrel Office Supplies - CHQ-005311</t>
  </si>
  <si>
    <t xml:space="preserve">M00582</t>
  </si>
  <si>
    <t xml:space="preserve">B00833</t>
  </si>
  <si>
    <t xml:space="preserve">L00845</t>
  </si>
  <si>
    <t xml:space="preserve">NEFT-DELTA FOODS-INV1112</t>
  </si>
  <si>
    <t xml:space="preserve">Receipt from Delta Foods - INV-1112</t>
  </si>
  <si>
    <t xml:space="preserve">M00583</t>
  </si>
  <si>
    <t xml:space="preserve">B00834</t>
  </si>
  <si>
    <t xml:space="preserve">L00846</t>
  </si>
  <si>
    <t xml:space="preserve">NEFT-EVEREST TEXTILES-INV1149</t>
  </si>
  <si>
    <t xml:space="preserve">Receipt from Everest Textiles - INV-1149</t>
  </si>
  <si>
    <t xml:space="preserve">M00584</t>
  </si>
  <si>
    <t xml:space="preserve">B00836</t>
  </si>
  <si>
    <t xml:space="preserve">L00848</t>
  </si>
  <si>
    <t xml:space="preserve">NEFT-BLUEFIN LOGISTICS-INV1278</t>
  </si>
  <si>
    <t xml:space="preserve">Receipt from Bluefin Logistics - INV-1278</t>
  </si>
  <si>
    <t xml:space="preserve">M00585</t>
  </si>
  <si>
    <t xml:space="preserve">B00839</t>
  </si>
  <si>
    <t xml:space="preserve">L00849</t>
  </si>
  <si>
    <t xml:space="preserve">NEFT-BLUEFIN LOGISTICS-INV1434</t>
  </si>
  <si>
    <t xml:space="preserve">Receipt from Bluefin Logistics - INV-1434</t>
  </si>
  <si>
    <t xml:space="preserve">M00586</t>
  </si>
  <si>
    <t xml:space="preserve">B00841</t>
  </si>
  <si>
    <t xml:space="preserve">L00850</t>
  </si>
  <si>
    <t xml:space="preserve">NEFT-KINGSLEY CHEMICALS-INV1551</t>
  </si>
  <si>
    <t xml:space="preserve">Receipt from Kingsley Chemicals - INV-1551</t>
  </si>
  <si>
    <t xml:space="preserve">M00587</t>
  </si>
  <si>
    <t xml:space="preserve">B00846</t>
  </si>
  <si>
    <t xml:space="preserve">L00854</t>
  </si>
  <si>
    <t xml:space="preserve">NEFT-JUPITER STEEL-INV1130</t>
  </si>
  <si>
    <t xml:space="preserve">Receipt from Jupiter Steel - INV-1130</t>
  </si>
  <si>
    <t xml:space="preserve">M00588</t>
  </si>
  <si>
    <t xml:space="preserve">B00848</t>
  </si>
  <si>
    <t xml:space="preserve">L00857</t>
  </si>
  <si>
    <t xml:space="preserve">NEFT-INDUS PACKAGING-INV1357</t>
  </si>
  <si>
    <t xml:space="preserve">Receipt from Indus Packaging - INV-1357</t>
  </si>
  <si>
    <t xml:space="preserve">M00589</t>
  </si>
  <si>
    <t xml:space="preserve">B00851</t>
  </si>
  <si>
    <t xml:space="preserve">L00860</t>
  </si>
  <si>
    <t xml:space="preserve">NEFT-FALCON AUTO PARTS-INV1570</t>
  </si>
  <si>
    <t xml:space="preserve">Receipt from Falcon Auto Parts - INV-1570</t>
  </si>
  <si>
    <t xml:space="preserve">M00590</t>
  </si>
  <si>
    <t xml:space="preserve">B00853</t>
  </si>
  <si>
    <t xml:space="preserve">L00861</t>
  </si>
  <si>
    <t xml:space="preserve">CHQ 005014 ORCHID CATERING</t>
  </si>
  <si>
    <t xml:space="preserve">Cheque payment to Orchid Catering - CHQ-005014</t>
  </si>
  <si>
    <t xml:space="preserve">M00591</t>
  </si>
  <si>
    <t xml:space="preserve">B00859</t>
  </si>
  <si>
    <t xml:space="preserve">L00865</t>
  </si>
  <si>
    <t xml:space="preserve">NEFT-BLUEFIN LOGISTICS-INV1146</t>
  </si>
  <si>
    <t xml:space="preserve">Receipt from Bluefin Logistics - INV-1146</t>
  </si>
  <si>
    <t xml:space="preserve">M00592</t>
  </si>
  <si>
    <t xml:space="preserve">B00860</t>
  </si>
  <si>
    <t xml:space="preserve">L00867</t>
  </si>
  <si>
    <t xml:space="preserve">NEFT-EVEREST TEXTILES-INV1533</t>
  </si>
  <si>
    <t xml:space="preserve">Receipt from Everest Textiles - INV-1533</t>
  </si>
  <si>
    <t xml:space="preserve">M00593</t>
  </si>
  <si>
    <t xml:space="preserve">B00861</t>
  </si>
  <si>
    <t xml:space="preserve">L00868</t>
  </si>
  <si>
    <t xml:space="preserve">NEFT-FALCON AUTO PARTS-INV1534</t>
  </si>
  <si>
    <t xml:space="preserve">Receipt from Falcon Auto Parts - INV-1534</t>
  </si>
  <si>
    <t xml:space="preserve">M00594</t>
  </si>
  <si>
    <t xml:space="preserve">B00865</t>
  </si>
  <si>
    <t xml:space="preserve">L00878</t>
  </si>
  <si>
    <t xml:space="preserve">NEFT-JUPITER STEEL-INV1046</t>
  </si>
  <si>
    <t xml:space="preserve">Receipt from Jupiter Steel - INV-1046</t>
  </si>
  <si>
    <t xml:space="preserve">M00595</t>
  </si>
  <si>
    <t xml:space="preserve">B00867</t>
  </si>
  <si>
    <t xml:space="preserve">L00882</t>
  </si>
  <si>
    <t xml:space="preserve">NEFT-GREENLEAF AGRO-INV1151</t>
  </si>
  <si>
    <t xml:space="preserve">Receipt from Greenleaf Agro - INV-1151</t>
  </si>
  <si>
    <t xml:space="preserve">M00596</t>
  </si>
  <si>
    <t xml:space="preserve">B00868</t>
  </si>
  <si>
    <t xml:space="preserve">L00883</t>
  </si>
  <si>
    <t xml:space="preserve">NEFT-FALCON AUTO PARTS-INV1186</t>
  </si>
  <si>
    <t xml:space="preserve">Receipt from Falcon Auto Parts - INV-1186</t>
  </si>
  <si>
    <t xml:space="preserve">M00597</t>
  </si>
  <si>
    <t xml:space="preserve">B00869</t>
  </si>
  <si>
    <t xml:space="preserve">L00884</t>
  </si>
  <si>
    <t xml:space="preserve">NEFT-KINGSLEY CHEMICALS-INV1191</t>
  </si>
  <si>
    <t xml:space="preserve">Receipt from Kingsley Chemicals - INV-1191</t>
  </si>
  <si>
    <t xml:space="preserve">M00598</t>
  </si>
  <si>
    <t xml:space="preserve">B00871</t>
  </si>
  <si>
    <t xml:space="preserve">L00885</t>
  </si>
  <si>
    <t xml:space="preserve">CHQ 005006 VERTEX CONSULTING</t>
  </si>
  <si>
    <t xml:space="preserve">Cheque payment to Vertex Consulting - CHQ-005006</t>
  </si>
  <si>
    <t xml:space="preserve">M00599</t>
  </si>
  <si>
    <t xml:space="preserve">B00874</t>
  </si>
  <si>
    <t xml:space="preserve">L00890</t>
  </si>
  <si>
    <t xml:space="preserve">CHQ 005385 SUMMIT SECURITY</t>
  </si>
  <si>
    <t xml:space="preserve">Cheque payment to Summit Security - CHQ-005385</t>
  </si>
  <si>
    <t xml:space="preserve">M00600</t>
  </si>
  <si>
    <t xml:space="preserve">B00878</t>
  </si>
  <si>
    <t xml:space="preserve">L00896</t>
  </si>
  <si>
    <t xml:space="preserve">NEFT-LAKEVIEW HOTELS-INV1012</t>
  </si>
  <si>
    <t xml:space="preserve">Receipt from Lakeview Hotels - INV-1012</t>
  </si>
  <si>
    <t xml:space="preserve">M00601</t>
  </si>
  <si>
    <t xml:space="preserve">B00879</t>
  </si>
  <si>
    <t xml:space="preserve">L00897</t>
  </si>
  <si>
    <t xml:space="preserve">NEFT-INDUS PACKAGING-INV1033</t>
  </si>
  <si>
    <t xml:space="preserve">Receipt from Indus Packaging - INV-1033</t>
  </si>
  <si>
    <t xml:space="preserve">M00602</t>
  </si>
  <si>
    <t xml:space="preserve">B00903</t>
  </si>
  <si>
    <t xml:space="preserve">L00912</t>
  </si>
  <si>
    <t xml:space="preserve">NEFT-LAKEVIEW HOTELS-INV1120</t>
  </si>
  <si>
    <t xml:space="preserve">Receipt from Lakeview Hotels - INV-1120</t>
  </si>
  <si>
    <t xml:space="preserve">M00603</t>
  </si>
  <si>
    <t xml:space="preserve">B00904</t>
  </si>
  <si>
    <t xml:space="preserve">L00917</t>
  </si>
  <si>
    <t xml:space="preserve">NEFT-LAKEVIEW HOTELS-INV1276</t>
  </si>
  <si>
    <t xml:space="preserve">Receipt from Lakeview Hotels - INV-1276</t>
  </si>
  <si>
    <t xml:space="preserve">M00604</t>
  </si>
  <si>
    <t xml:space="preserve">B00907</t>
  </si>
  <si>
    <t xml:space="preserve">L00919</t>
  </si>
  <si>
    <t xml:space="preserve">NEFT-HORIZON PHARMA-INV1476</t>
  </si>
  <si>
    <t xml:space="preserve">Receipt from Horizon Pharma - INV-1476</t>
  </si>
  <si>
    <t xml:space="preserve">M00605</t>
  </si>
  <si>
    <t xml:space="preserve">B00908</t>
  </si>
  <si>
    <t xml:space="preserve">L00920</t>
  </si>
  <si>
    <t xml:space="preserve">Receipt from Indus Packaging - INV-1477</t>
  </si>
  <si>
    <t xml:space="preserve">M00606</t>
  </si>
  <si>
    <t xml:space="preserve">B00918</t>
  </si>
  <si>
    <t xml:space="preserve">L00929</t>
  </si>
  <si>
    <t xml:space="preserve">NEFT-LAKEVIEW HOTELS-INV1036</t>
  </si>
  <si>
    <t xml:space="preserve">Receipt from Lakeview Hotels - INV-1036</t>
  </si>
  <si>
    <t xml:space="preserve">M00607</t>
  </si>
  <si>
    <t xml:space="preserve">B00920</t>
  </si>
  <si>
    <t xml:space="preserve">L00931</t>
  </si>
  <si>
    <t xml:space="preserve">NEFT-DELTA FOODS-INV1172</t>
  </si>
  <si>
    <t xml:space="preserve">Receipt from Delta Foods - INV-1172</t>
  </si>
  <si>
    <t xml:space="preserve">M00608</t>
  </si>
  <si>
    <t xml:space="preserve">B00922</t>
  </si>
  <si>
    <t xml:space="preserve">L00932</t>
  </si>
  <si>
    <t xml:space="preserve">NEFT-ACME TRADERS-INV1313</t>
  </si>
  <si>
    <t xml:space="preserve">Receipt from Acme Traders - INV-1313</t>
  </si>
  <si>
    <t xml:space="preserve">M00609</t>
  </si>
  <si>
    <t xml:space="preserve">B00929</t>
  </si>
  <si>
    <t xml:space="preserve">L00937</t>
  </si>
  <si>
    <t xml:space="preserve">CHQ 005307 WILLOW FURNISHINGS</t>
  </si>
  <si>
    <t xml:space="preserve">Cheque payment to Willow Furnishings - CHQ-005307</t>
  </si>
  <si>
    <t xml:space="preserve">M00610</t>
  </si>
  <si>
    <t xml:space="preserve">B00931</t>
  </si>
  <si>
    <t xml:space="preserve">L00943</t>
  </si>
  <si>
    <t xml:space="preserve">NEFT-FALCON AUTO PARTS-INV1258</t>
  </si>
  <si>
    <t xml:space="preserve">Receipt from Falcon Auto Parts - INV-1258</t>
  </si>
  <si>
    <t xml:space="preserve">M00611</t>
  </si>
  <si>
    <t xml:space="preserve">B00933</t>
  </si>
  <si>
    <t xml:space="preserve">L00945</t>
  </si>
  <si>
    <t xml:space="preserve">NEFT-CRESTVIEW RETAIL-INV1423</t>
  </si>
  <si>
    <t xml:space="preserve">Receipt from Crestview Retail - INV-1423</t>
  </si>
  <si>
    <t xml:space="preserve">M00612</t>
  </si>
  <si>
    <t xml:space="preserve">B00936</t>
  </si>
  <si>
    <t xml:space="preserve">L00952</t>
  </si>
  <si>
    <t xml:space="preserve">CHQ 005075 SUMMIT SECURITY</t>
  </si>
  <si>
    <t xml:space="preserve">Cheque payment to Summit Security - CHQ-005075</t>
  </si>
  <si>
    <t xml:space="preserve">M00613</t>
  </si>
  <si>
    <t xml:space="preserve">B00942</t>
  </si>
  <si>
    <t xml:space="preserve">L00957</t>
  </si>
  <si>
    <t xml:space="preserve">CHQ 005323 ZENITH HARDWARE</t>
  </si>
  <si>
    <t xml:space="preserve">Cheque payment to Zenith Hardware - CHQ-005323</t>
  </si>
  <si>
    <t xml:space="preserve">M00614</t>
  </si>
  <si>
    <t xml:space="preserve">B00947</t>
  </si>
  <si>
    <t xml:space="preserve">L00959</t>
  </si>
  <si>
    <t xml:space="preserve">Receipt from Bluefin Logistics - INV-1098</t>
  </si>
  <si>
    <t xml:space="preserve">M00615</t>
  </si>
  <si>
    <t xml:space="preserve">B00948</t>
  </si>
  <si>
    <t xml:space="preserve">L00961</t>
  </si>
  <si>
    <t xml:space="preserve">NEFT-JUPITER STEEL-INV1334</t>
  </si>
  <si>
    <t xml:space="preserve">Receipt from Jupiter Steel - INV-1334</t>
  </si>
  <si>
    <t xml:space="preserve">M00616</t>
  </si>
  <si>
    <t xml:space="preserve">B00950</t>
  </si>
  <si>
    <t xml:space="preserve">L00962</t>
  </si>
  <si>
    <t xml:space="preserve">NEFT-EVEREST TEXTILES-INV1353</t>
  </si>
  <si>
    <t xml:space="preserve">Receipt from Everest Textiles - INV-1353</t>
  </si>
  <si>
    <t xml:space="preserve">M00617</t>
  </si>
  <si>
    <t xml:space="preserve">B00954</t>
  </si>
  <si>
    <t xml:space="preserve">L00965</t>
  </si>
  <si>
    <t xml:space="preserve">NEFT-HORIZON PHARMA-INV1548</t>
  </si>
  <si>
    <t xml:space="preserve">Receipt from Horizon Pharma - INV-1548</t>
  </si>
  <si>
    <t xml:space="preserve">M00618</t>
  </si>
  <si>
    <t xml:space="preserve">B00961</t>
  </si>
  <si>
    <t xml:space="preserve">L00971</t>
  </si>
  <si>
    <t xml:space="preserve">NEFT-HORIZON PHARMA-INV1020</t>
  </si>
  <si>
    <t xml:space="preserve">Receipt from Horizon Pharma - INV-1020</t>
  </si>
  <si>
    <t xml:space="preserve">M00619</t>
  </si>
  <si>
    <t xml:space="preserve">B00964</t>
  </si>
  <si>
    <t xml:space="preserve">L00974</t>
  </si>
  <si>
    <t xml:space="preserve">NEFT-BLUEFIN LOGISTICS-INV1578</t>
  </si>
  <si>
    <t xml:space="preserve">Receipt from Bluefin Logistics - INV-1578</t>
  </si>
  <si>
    <t xml:space="preserve">M00620</t>
  </si>
  <si>
    <t xml:space="preserve">B00966</t>
  </si>
  <si>
    <t xml:space="preserve">L00978</t>
  </si>
  <si>
    <t xml:space="preserve">CHQ 005049 ATLAS FREIGHT</t>
  </si>
  <si>
    <t xml:space="preserve">Cheque payment to Atlas Freight - CHQ-005049</t>
  </si>
  <si>
    <t xml:space="preserve">M00621</t>
  </si>
  <si>
    <t xml:space="preserve">B00971</t>
  </si>
  <si>
    <t xml:space="preserve">L00983</t>
  </si>
  <si>
    <t xml:space="preserve">CHQ 005445 SUMMIT SECURITY</t>
  </si>
  <si>
    <t xml:space="preserve">M00622</t>
  </si>
  <si>
    <t xml:space="preserve">B00974</t>
  </si>
  <si>
    <t xml:space="preserve">L00986</t>
  </si>
  <si>
    <t xml:space="preserve">NEFT-CRESTVIEW RETAIL-INV1063</t>
  </si>
  <si>
    <t xml:space="preserve">Receipt from Crestview Retail - INV-1063</t>
  </si>
  <si>
    <t xml:space="preserve">M00623</t>
  </si>
  <si>
    <t xml:space="preserve">B00975</t>
  </si>
  <si>
    <t xml:space="preserve">L00987</t>
  </si>
  <si>
    <t xml:space="preserve">NEFT-INDUS PACKAGING-INV1069</t>
  </si>
  <si>
    <t xml:space="preserve">Receipt from Indus Packaging - INV-1069</t>
  </si>
  <si>
    <t xml:space="preserve">M00624</t>
  </si>
  <si>
    <t xml:space="preserve">B00979</t>
  </si>
  <si>
    <t xml:space="preserve">L00989</t>
  </si>
  <si>
    <t xml:space="preserve">NEFT-DELTA FOODS-INV1340</t>
  </si>
  <si>
    <t xml:space="preserve">Receipt from Delta Foods - INV-1340</t>
  </si>
  <si>
    <t xml:space="preserve">M00625</t>
  </si>
  <si>
    <t xml:space="preserve">B00982</t>
  </si>
  <si>
    <t xml:space="preserve">L00991</t>
  </si>
  <si>
    <t xml:space="preserve">NEFT-ACME TRADERS-INV1505</t>
  </si>
  <si>
    <t xml:space="preserve">Receipt from Acme Traders - INV-1505</t>
  </si>
  <si>
    <t xml:space="preserve">M00626</t>
  </si>
  <si>
    <t xml:space="preserve">B00986</t>
  </si>
  <si>
    <t xml:space="preserve">L00998</t>
  </si>
  <si>
    <t xml:space="preserve">CHQ 005402 PINNACLE PRINT</t>
  </si>
  <si>
    <t xml:space="preserve">Cheque payment to Pinnacle Print - CHQ-005402</t>
  </si>
  <si>
    <t xml:space="preserve">M00627</t>
  </si>
  <si>
    <t xml:space="preserve">B00991</t>
  </si>
  <si>
    <t xml:space="preserve">L01000</t>
  </si>
  <si>
    <t xml:space="preserve">NEFT-DELTA FOODS-INV1064</t>
  </si>
  <si>
    <t xml:space="preserve">Receipt from Delta Foods - INV-1064</t>
  </si>
  <si>
    <t xml:space="preserve">M00628</t>
  </si>
  <si>
    <t xml:space="preserve">B01002</t>
  </si>
  <si>
    <t xml:space="preserve">L01009</t>
  </si>
  <si>
    <t xml:space="preserve">CHQ 005205 SUMMIT SECURITY</t>
  </si>
  <si>
    <t xml:space="preserve">Cheque payment to Summit Security - CHQ-005205</t>
  </si>
  <si>
    <t xml:space="preserve">M00629</t>
  </si>
  <si>
    <t xml:space="preserve">B01008</t>
  </si>
  <si>
    <t xml:space="preserve">L01012</t>
  </si>
  <si>
    <t xml:space="preserve">NEFT-EVEREST TEXTILES-INV1221</t>
  </si>
  <si>
    <t xml:space="preserve">Receipt from Everest Textiles - INV-1221</t>
  </si>
  <si>
    <t xml:space="preserve">M00630</t>
  </si>
  <si>
    <t xml:space="preserve">B01014</t>
  </si>
  <si>
    <t xml:space="preserve">L01018</t>
  </si>
  <si>
    <t xml:space="preserve">NEFT-BLUEFIN LOGISTICS-INV1530</t>
  </si>
  <si>
    <t xml:space="preserve">Receipt from Bluefin Logistics - INV-1530</t>
  </si>
  <si>
    <t xml:space="preserve">M00631</t>
  </si>
  <si>
    <t xml:space="preserve">B01022</t>
  </si>
  <si>
    <t xml:space="preserve">L01035</t>
  </si>
  <si>
    <t xml:space="preserve">NEFT-INDUS PACKAGING-INV1441</t>
  </si>
  <si>
    <t xml:space="preserve">Receipt from Indus Packaging - INV-1441</t>
  </si>
  <si>
    <t xml:space="preserve">M00632</t>
  </si>
  <si>
    <t xml:space="preserve">B01024</t>
  </si>
  <si>
    <t xml:space="preserve">L01037</t>
  </si>
  <si>
    <t xml:space="preserve">CHQ 005106 VERTEX CONSULTING</t>
  </si>
  <si>
    <t xml:space="preserve">Cheque payment to Vertex Consulting - CHQ-005106</t>
  </si>
  <si>
    <t xml:space="preserve">M00633</t>
  </si>
  <si>
    <t xml:space="preserve">B01035</t>
  </si>
  <si>
    <t xml:space="preserve">L01043</t>
  </si>
  <si>
    <t xml:space="preserve">NEFT-INDUS PACKAGING-INV1249</t>
  </si>
  <si>
    <t xml:space="preserve">Receipt from Indus Packaging - INV-1249</t>
  </si>
  <si>
    <t xml:space="preserve">M00634</t>
  </si>
  <si>
    <t xml:space="preserve">B01039</t>
  </si>
  <si>
    <t xml:space="preserve">L01046</t>
  </si>
  <si>
    <t xml:space="preserve">NEFT-FALCON AUTO PARTS-INV1510</t>
  </si>
  <si>
    <t xml:space="preserve">Receipt from Falcon Auto Parts - INV-1510</t>
  </si>
  <si>
    <t xml:space="preserve">M00635</t>
  </si>
  <si>
    <t xml:space="preserve">B01041</t>
  </si>
  <si>
    <t xml:space="preserve">L01047</t>
  </si>
  <si>
    <t xml:space="preserve">NEFT-BLUEFIN LOGISTICS-INV1566</t>
  </si>
  <si>
    <t xml:space="preserve">Receipt from Bluefin Logistics - INV-1566</t>
  </si>
  <si>
    <t xml:space="preserve">M00636</t>
  </si>
  <si>
    <t xml:space="preserve">B01042</t>
  </si>
  <si>
    <t xml:space="preserve">L01049</t>
  </si>
  <si>
    <t xml:space="preserve">CHQ 005043 ZENITH HARDWARE</t>
  </si>
  <si>
    <t xml:space="preserve">Cheque payment to Zenith Hardware - CHQ-005043</t>
  </si>
  <si>
    <t xml:space="preserve">M00637</t>
  </si>
  <si>
    <t xml:space="preserve">B01044</t>
  </si>
  <si>
    <t xml:space="preserve">L01053</t>
  </si>
  <si>
    <t xml:space="preserve">CHQ 005413 ZENITH HARDWARE</t>
  </si>
  <si>
    <t xml:space="preserve">Cheque payment to Zenith Hardware - CHQ-005413</t>
  </si>
  <si>
    <t xml:space="preserve">M00638</t>
  </si>
  <si>
    <t xml:space="preserve">B01047</t>
  </si>
  <si>
    <t xml:space="preserve">L01056</t>
  </si>
  <si>
    <t xml:space="preserve">NEFT-INDUS PACKAGING-INV1165</t>
  </si>
  <si>
    <t xml:space="preserve">Receipt from Indus Packaging - INV-1165</t>
  </si>
  <si>
    <t xml:space="preserve">M00639</t>
  </si>
  <si>
    <t xml:space="preserve">B01048</t>
  </si>
  <si>
    <t xml:space="preserve">L01057</t>
  </si>
  <si>
    <t xml:space="preserve">NEFT-CRESTVIEW RETAIL-INV1219</t>
  </si>
  <si>
    <t xml:space="preserve">Receipt from Crestview Retail - INV-1219</t>
  </si>
  <si>
    <t xml:space="preserve">M00640</t>
  </si>
  <si>
    <t xml:space="preserve">B01050</t>
  </si>
  <si>
    <t xml:space="preserve">L01058</t>
  </si>
  <si>
    <t xml:space="preserve">NEFT-DELTA FOODS-INV1304</t>
  </si>
  <si>
    <t xml:space="preserve">Receipt from Delta Foods - INV-1304</t>
  </si>
  <si>
    <t xml:space="preserve">M00641</t>
  </si>
  <si>
    <t xml:space="preserve">B01054</t>
  </si>
  <si>
    <t xml:space="preserve">L01062</t>
  </si>
  <si>
    <t xml:space="preserve">NEFT-ACME TRADERS-INV1397</t>
  </si>
  <si>
    <t xml:space="preserve">Receipt from Acme Traders - INV-1397</t>
  </si>
  <si>
    <t xml:space="preserve">M00642</t>
  </si>
  <si>
    <t xml:space="preserve">B01062</t>
  </si>
  <si>
    <t xml:space="preserve">L01068</t>
  </si>
  <si>
    <t xml:space="preserve">CHQ 005318 YONDER TRAVEL</t>
  </si>
  <si>
    <t xml:space="preserve">Cheque payment to Yonder Travel - CHQ-005318</t>
  </si>
  <si>
    <t xml:space="preserve">M00643</t>
  </si>
  <si>
    <t xml:space="preserve">B01067</t>
  </si>
  <si>
    <t xml:space="preserve">L01071</t>
  </si>
  <si>
    <t xml:space="preserve">NEFT-BLUEFIN LOGISTICS-INV1134</t>
  </si>
  <si>
    <t xml:space="preserve">Receipt from Bluefin Logistics - INV-1134</t>
  </si>
  <si>
    <t xml:space="preserve">M00644</t>
  </si>
  <si>
    <t xml:space="preserve">B01072</t>
  </si>
  <si>
    <t xml:space="preserve">L01078</t>
  </si>
  <si>
    <t xml:space="preserve">CHQ 005095 SUMMIT SECURITY</t>
  </si>
  <si>
    <t xml:space="preserve">Cheque payment to Summit Security - CHQ-005095</t>
  </si>
  <si>
    <t xml:space="preserve">M00645</t>
  </si>
  <si>
    <t xml:space="preserve">B01075</t>
  </si>
  <si>
    <t xml:space="preserve">L01082</t>
  </si>
  <si>
    <t xml:space="preserve">CHQ 005251 KESTREL OFFICE SUPPLIES</t>
  </si>
  <si>
    <t xml:space="preserve">Cheque payment to Kestrel Office Supplies - CHQ-005251</t>
  </si>
  <si>
    <t xml:space="preserve">M00646</t>
  </si>
  <si>
    <t xml:space="preserve">B01080</t>
  </si>
  <si>
    <t xml:space="preserve">L01088</t>
  </si>
  <si>
    <t xml:space="preserve">NEFT-JUPITER STEEL-INV1190</t>
  </si>
  <si>
    <t xml:space="preserve">Receipt from Jupiter Steel - INV-1190</t>
  </si>
  <si>
    <t xml:space="preserve">M00647</t>
  </si>
  <si>
    <t xml:space="preserve">B01081</t>
  </si>
  <si>
    <t xml:space="preserve">L01089</t>
  </si>
  <si>
    <t xml:space="preserve">NEFT-FALCON AUTO PARTS-INV1198</t>
  </si>
  <si>
    <t xml:space="preserve">Receipt from Falcon Auto Parts - INV-1198</t>
  </si>
  <si>
    <t xml:space="preserve">M00648</t>
  </si>
  <si>
    <t xml:space="preserve">B01082</t>
  </si>
  <si>
    <t xml:space="preserve">L01090</t>
  </si>
  <si>
    <t xml:space="preserve">NEFT-KINGSLEY CHEMICALS-INV1263</t>
  </si>
  <si>
    <t xml:space="preserve">Receipt from Kingsley Chemicals - INV-1263</t>
  </si>
  <si>
    <t xml:space="preserve">M00649</t>
  </si>
  <si>
    <t xml:space="preserve">B01086</t>
  </si>
  <si>
    <t xml:space="preserve">L01094</t>
  </si>
  <si>
    <t xml:space="preserve">NEFT-KINGSLEY CHEMICALS-INV1503</t>
  </si>
  <si>
    <t xml:space="preserve">Receipt from Kingsley Chemicals - INV-1503</t>
  </si>
  <si>
    <t xml:space="preserve">M00650</t>
  </si>
  <si>
    <t xml:space="preserve">B01102</t>
  </si>
  <si>
    <t xml:space="preserve">L01108</t>
  </si>
  <si>
    <t xml:space="preserve">NEFT-CRESTVIEW RETAIL-INV1111</t>
  </si>
  <si>
    <t xml:space="preserve">Receipt from Crestview Retail - INV-1111</t>
  </si>
  <si>
    <t xml:space="preserve">M00651</t>
  </si>
  <si>
    <t xml:space="preserve">B01103</t>
  </si>
  <si>
    <t xml:space="preserve">L01109</t>
  </si>
  <si>
    <t xml:space="preserve">NEFT-FALCON AUTO PARTS-INV1162</t>
  </si>
  <si>
    <t xml:space="preserve">Receipt from Falcon Auto Parts - INV-1162</t>
  </si>
  <si>
    <t xml:space="preserve">M00652</t>
  </si>
  <si>
    <t xml:space="preserve">B01106</t>
  </si>
  <si>
    <t xml:space="preserve">L01112</t>
  </si>
  <si>
    <t xml:space="preserve">NEFT-LAKEVIEW HOTELS-INV1408</t>
  </si>
  <si>
    <t xml:space="preserve">Receipt from Lakeview Hotels - INV-1408</t>
  </si>
  <si>
    <t xml:space="preserve">M00653</t>
  </si>
  <si>
    <t xml:space="preserve">B01115</t>
  </si>
  <si>
    <t xml:space="preserve">L01120</t>
  </si>
  <si>
    <t xml:space="preserve">CHQ 005398 YONDER TRAVEL</t>
  </si>
  <si>
    <t xml:space="preserve">Cheque payment to Yonder Travel - CHQ-005398</t>
  </si>
  <si>
    <t xml:space="preserve">M00654</t>
  </si>
  <si>
    <t xml:space="preserve">B01118</t>
  </si>
  <si>
    <t xml:space="preserve">L01128</t>
  </si>
  <si>
    <t xml:space="preserve">CHQ 005241 KESTREL OFFICE SUPPLIES</t>
  </si>
  <si>
    <t xml:space="preserve">Cheque payment to Kestrel Office Supplies - CHQ-005241</t>
  </si>
  <si>
    <t xml:space="preserve">M00655</t>
  </si>
  <si>
    <t xml:space="preserve">B01120</t>
  </si>
  <si>
    <t xml:space="preserve">L01130</t>
  </si>
  <si>
    <t xml:space="preserve">CHQ 005379 ATLAS FREIGHT</t>
  </si>
  <si>
    <t xml:space="preserve">Cheque payment to Atlas Freight - CHQ-005379</t>
  </si>
  <si>
    <t xml:space="preserve">M00656</t>
  </si>
  <si>
    <t xml:space="preserve">B00028</t>
  </si>
  <si>
    <t xml:space="preserve">L00014</t>
  </si>
  <si>
    <t xml:space="preserve">NEFT-JUPITER STEEL-INV1526</t>
  </si>
  <si>
    <t xml:space="preserve">Receipt from Jupiter Steel - INV-1526</t>
  </si>
  <si>
    <t xml:space="preserve">M00657</t>
  </si>
  <si>
    <t xml:space="preserve">B00031</t>
  </si>
  <si>
    <t xml:space="preserve">L00015</t>
  </si>
  <si>
    <t xml:space="preserve">CHQ 005023 ZENITH HARDWARE</t>
  </si>
  <si>
    <t xml:space="preserve">Cheque payment to Zenith Hardware - CHQ-005023</t>
  </si>
  <si>
    <t xml:space="preserve">M00658</t>
  </si>
  <si>
    <t xml:space="preserve">B00037</t>
  </si>
  <si>
    <t xml:space="preserve">L00020</t>
  </si>
  <si>
    <t xml:space="preserve">NEFT-BLUEFIN LOGISTICS-INV1194</t>
  </si>
  <si>
    <t xml:space="preserve">Receipt from Bluefin Logistics - INV-1194</t>
  </si>
  <si>
    <t xml:space="preserve">M00659</t>
  </si>
  <si>
    <t xml:space="preserve">B00045</t>
  </si>
  <si>
    <t xml:space="preserve">L00035</t>
  </si>
  <si>
    <t xml:space="preserve">NEFT-LAKEVIEW HOTELS-INV1132</t>
  </si>
  <si>
    <t xml:space="preserve">Receipt from Lakeview Hotels - INV-1132</t>
  </si>
  <si>
    <t xml:space="preserve">M00660</t>
  </si>
  <si>
    <t xml:space="preserve">B00054</t>
  </si>
  <si>
    <t xml:space="preserve">L00045</t>
  </si>
  <si>
    <t xml:space="preserve">CHQ 005319 ATLAS FREIGHT</t>
  </si>
  <si>
    <t xml:space="preserve">Cheque payment to Atlas Freight - CHQ-005319</t>
  </si>
  <si>
    <t xml:space="preserve">M00661</t>
  </si>
  <si>
    <t xml:space="preserve">B00058</t>
  </si>
  <si>
    <t xml:space="preserve">L00047</t>
  </si>
  <si>
    <t xml:space="preserve">NEFT-KINGSLEY CHEMICALS-INV1047</t>
  </si>
  <si>
    <t xml:space="preserve">Receipt from Kingsley Chemicals - INV-1047</t>
  </si>
  <si>
    <t xml:space="preserve">M00662</t>
  </si>
  <si>
    <t xml:space="preserve">B00078</t>
  </si>
  <si>
    <t xml:space="preserve">L00065</t>
  </si>
  <si>
    <t xml:space="preserve">NEFT-CRESTVIEW RETAIL-INV1567</t>
  </si>
  <si>
    <t xml:space="preserve">Receipt from Crestview Retail - INV-1567</t>
  </si>
  <si>
    <t xml:space="preserve">M00663</t>
  </si>
  <si>
    <t xml:space="preserve">B00079</t>
  </si>
  <si>
    <t xml:space="preserve">L00066</t>
  </si>
  <si>
    <t xml:space="preserve">CHQ 005038 YONDER TRAVEL</t>
  </si>
  <si>
    <t xml:space="preserve">Cheque payment to Yonder Travel - CHQ-005038</t>
  </si>
  <si>
    <t xml:space="preserve">M00664</t>
  </si>
  <si>
    <t xml:space="preserve">B00084</t>
  </si>
  <si>
    <t xml:space="preserve">L00071</t>
  </si>
  <si>
    <t xml:space="preserve">CHQ 005450 BIRCH PACKAGING</t>
  </si>
  <si>
    <t xml:space="preserve">Cheque payment to Birch Packaging - CHQ-005450</t>
  </si>
  <si>
    <t xml:space="preserve">M00665</t>
  </si>
  <si>
    <t xml:space="preserve">B00109</t>
  </si>
  <si>
    <t xml:space="preserve">L00105</t>
  </si>
  <si>
    <t xml:space="preserve">CHQ 005204 ORCHID CATERING</t>
  </si>
  <si>
    <t xml:space="preserve">Cheque payment to Orchid Catering - CHQ-005204</t>
  </si>
  <si>
    <t xml:space="preserve">M00666</t>
  </si>
  <si>
    <t xml:space="preserve">B00115</t>
  </si>
  <si>
    <t xml:space="preserve">L00111</t>
  </si>
  <si>
    <t xml:space="preserve">NEFT-BLUEFIN LOGISTICS-INV1206</t>
  </si>
  <si>
    <t xml:space="preserve">Receipt from Bluefin Logistics - INV-1206</t>
  </si>
  <si>
    <t xml:space="preserve">M00667</t>
  </si>
  <si>
    <t xml:space="preserve">B00126</t>
  </si>
  <si>
    <t xml:space="preserve">L00126</t>
  </si>
  <si>
    <t xml:space="preserve">NEFT-EVEREST TEXTILES-INV1137</t>
  </si>
  <si>
    <t xml:space="preserve">Receipt from Everest Textiles - INV-1137</t>
  </si>
  <si>
    <t xml:space="preserve">M00668</t>
  </si>
  <si>
    <t xml:space="preserve">B00131</t>
  </si>
  <si>
    <t xml:space="preserve">L00133</t>
  </si>
  <si>
    <t xml:space="preserve">NEFT-DELTA FOODS-INV1496</t>
  </si>
  <si>
    <t xml:space="preserve">Receipt from Delta Foods - INV-1496</t>
  </si>
  <si>
    <t xml:space="preserve">M00669</t>
  </si>
  <si>
    <t xml:space="preserve">B00136</t>
  </si>
  <si>
    <t xml:space="preserve">L00137</t>
  </si>
  <si>
    <t xml:space="preserve">NEFT-FALCON AUTO PARTS-INV1018</t>
  </si>
  <si>
    <t xml:space="preserve">Receipt from Falcon Auto Parts - INV-1018</t>
  </si>
  <si>
    <t xml:space="preserve">M00670</t>
  </si>
  <si>
    <t xml:space="preserve">B00146</t>
  </si>
  <si>
    <t xml:space="preserve">L00147</t>
  </si>
  <si>
    <t xml:space="preserve">NEFT-FALCON AUTO PARTS-INV1126</t>
  </si>
  <si>
    <t xml:space="preserve">Receipt from Falcon Auto Parts - INV-1126</t>
  </si>
  <si>
    <t xml:space="preserve">M00671</t>
  </si>
  <si>
    <t xml:space="preserve">B00148</t>
  </si>
  <si>
    <t xml:space="preserve">L00149</t>
  </si>
  <si>
    <t xml:space="preserve">Receipt from Bluefin Logistics - INV-1230</t>
  </si>
  <si>
    <t xml:space="preserve">M00672</t>
  </si>
  <si>
    <t xml:space="preserve">B00171</t>
  </si>
  <si>
    <t xml:space="preserve">L00156</t>
  </si>
  <si>
    <t xml:space="preserve">NEFT-HORIZON PHARMA-INV1416</t>
  </si>
  <si>
    <t xml:space="preserve">Receipt from Horizon Pharma - INV-1416</t>
  </si>
  <si>
    <t xml:space="preserve">M00673</t>
  </si>
  <si>
    <t xml:space="preserve">B00173</t>
  </si>
  <si>
    <t xml:space="preserve">L00158</t>
  </si>
  <si>
    <t xml:space="preserve">NEFT-FALCON AUTO PARTS-INV1498</t>
  </si>
  <si>
    <t xml:space="preserve">Receipt from Falcon Auto Parts - INV-1498</t>
  </si>
  <si>
    <t xml:space="preserve">M00674</t>
  </si>
  <si>
    <t xml:space="preserve">B00175</t>
  </si>
  <si>
    <t xml:space="preserve">L00159</t>
  </si>
  <si>
    <t xml:space="preserve">NEFT-INDUS PACKAGING-INV1573</t>
  </si>
  <si>
    <t xml:space="preserve">Receipt from Indus Packaging - INV-1573</t>
  </si>
  <si>
    <t xml:space="preserve">M00675</t>
  </si>
  <si>
    <t xml:space="preserve">B00177</t>
  </si>
  <si>
    <t xml:space="preserve">L00164</t>
  </si>
  <si>
    <t xml:space="preserve">CHQ 005107 WILLOW FURNISHINGS</t>
  </si>
  <si>
    <t xml:space="preserve">Cheque payment to Willow Furnishings - CHQ-005107</t>
  </si>
  <si>
    <t xml:space="preserve">M00676</t>
  </si>
  <si>
    <t xml:space="preserve">B00180</t>
  </si>
  <si>
    <t xml:space="preserve">L00169</t>
  </si>
  <si>
    <t xml:space="preserve">CHQ 005292 PINNACLE PRINT</t>
  </si>
  <si>
    <t xml:space="preserve">Cheque payment to Pinnacle Print - CHQ-005292</t>
  </si>
  <si>
    <t xml:space="preserve">M00677</t>
  </si>
  <si>
    <t xml:space="preserve">B00184</t>
  </si>
  <si>
    <t xml:space="preserve">L00174</t>
  </si>
  <si>
    <t xml:space="preserve">NEFT-FALCON AUTO PARTS-INV1078</t>
  </si>
  <si>
    <t xml:space="preserve">Receipt from Falcon Auto Parts - INV-1078</t>
  </si>
  <si>
    <t xml:space="preserve">M00678</t>
  </si>
  <si>
    <t xml:space="preserve">B00193</t>
  </si>
  <si>
    <t xml:space="preserve">L00196</t>
  </si>
  <si>
    <t xml:space="preserve">NEFT-INDUS PACKAGING-INV1561</t>
  </si>
  <si>
    <t xml:space="preserve">Receipt from Indus Packaging - INV-1561</t>
  </si>
  <si>
    <t xml:space="preserve">M00679</t>
  </si>
  <si>
    <t xml:space="preserve">B00199</t>
  </si>
  <si>
    <t xml:space="preserve">L00200</t>
  </si>
  <si>
    <t xml:space="preserve">CHQ 005391 KESTREL OFFICE SUPPLIES</t>
  </si>
  <si>
    <t xml:space="preserve">Cheque payment to Kestrel Office Supplies - CHQ-005391</t>
  </si>
  <si>
    <t xml:space="preserve">M00680</t>
  </si>
  <si>
    <t xml:space="preserve">B00204</t>
  </si>
  <si>
    <t xml:space="preserve">L00201</t>
  </si>
  <si>
    <t xml:space="preserve">NEFT-GREENLEAF AGRO-INV1295</t>
  </si>
  <si>
    <t xml:space="preserve">Receipt from Greenleaf Agro - INV-1295</t>
  </si>
  <si>
    <t xml:space="preserve">M00681</t>
  </si>
  <si>
    <t xml:space="preserve">B00208</t>
  </si>
  <si>
    <t xml:space="preserve">L00204</t>
  </si>
  <si>
    <t xml:space="preserve">CHQ 005054 ORCHID CATERING</t>
  </si>
  <si>
    <t xml:space="preserve">Cheque payment to Orchid Catering - CHQ-005054</t>
  </si>
  <si>
    <t xml:space="preserve">M00682</t>
  </si>
  <si>
    <t xml:space="preserve">B00212</t>
  </si>
  <si>
    <t xml:space="preserve">L00211</t>
  </si>
  <si>
    <t xml:space="preserve">NEFT-DELTA FOODS-INV1016</t>
  </si>
  <si>
    <t xml:space="preserve">Receipt from Delta Foods - INV-1016</t>
  </si>
  <si>
    <t xml:space="preserve">M00683</t>
  </si>
  <si>
    <t xml:space="preserve">B00213</t>
  </si>
  <si>
    <t xml:space="preserve">L00212</t>
  </si>
  <si>
    <t xml:space="preserve">NEFT-CRESTVIEW RETAIL-INV1075</t>
  </si>
  <si>
    <t xml:space="preserve">Receipt from Crestview Retail - INV-1075</t>
  </si>
  <si>
    <t xml:space="preserve">M00684</t>
  </si>
  <si>
    <t xml:space="preserve">B00214</t>
  </si>
  <si>
    <t xml:space="preserve">L00213</t>
  </si>
  <si>
    <t xml:space="preserve">NEFT-CRESTVIEW RETAIL-INV1147</t>
  </si>
  <si>
    <t xml:space="preserve">Receipt from Crestview Retail - INV-1147</t>
  </si>
  <si>
    <t xml:space="preserve">M00685</t>
  </si>
  <si>
    <t xml:space="preserve">B00215</t>
  </si>
  <si>
    <t xml:space="preserve">L00215</t>
  </si>
  <si>
    <t xml:space="preserve">NEFT-JUPITER STEEL-INV1214</t>
  </si>
  <si>
    <t xml:space="preserve">Receipt from Jupiter Steel - INV-1214</t>
  </si>
  <si>
    <t xml:space="preserve">M00686</t>
  </si>
  <si>
    <t xml:space="preserve">B00223</t>
  </si>
  <si>
    <t xml:space="preserve">L00222</t>
  </si>
  <si>
    <t xml:space="preserve">NEFT-JUPITER STEEL-INV1034</t>
  </si>
  <si>
    <t xml:space="preserve">Receipt from Jupiter Steel - INV-1034</t>
  </si>
  <si>
    <t xml:space="preserve">M00687</t>
  </si>
  <si>
    <t xml:space="preserve">B00229</t>
  </si>
  <si>
    <t xml:space="preserve">L00226</t>
  </si>
  <si>
    <t xml:space="preserve">NEFT-DELTA FOODS-INV1436</t>
  </si>
  <si>
    <t xml:space="preserve">Receipt from Delta Foods - INV-1436</t>
  </si>
  <si>
    <t xml:space="preserve">M00688</t>
  </si>
  <si>
    <t xml:space="preserve">B00232</t>
  </si>
  <si>
    <t xml:space="preserve">L00230</t>
  </si>
  <si>
    <t xml:space="preserve">CHQ 005084 ORCHID CATERING</t>
  </si>
  <si>
    <t xml:space="preserve">Cheque payment to Orchid Catering - CHQ-005084</t>
  </si>
  <si>
    <t xml:space="preserve">M00689</t>
  </si>
  <si>
    <t xml:space="preserve">B00235</t>
  </si>
  <si>
    <t xml:space="preserve">L00234</t>
  </si>
  <si>
    <t xml:space="preserve">CHQ 005301 KESTREL OFFICE SUPPLIES</t>
  </si>
  <si>
    <t xml:space="preserve">Cheque payment to Kestrel Office Supplies - CHQ-005301</t>
  </si>
  <si>
    <t xml:space="preserve">M00690</t>
  </si>
  <si>
    <t xml:space="preserve">B00240</t>
  </si>
  <si>
    <t xml:space="preserve">L00235</t>
  </si>
  <si>
    <t xml:space="preserve">CHQ 005397 WILLOW FURNISHINGS</t>
  </si>
  <si>
    <t xml:space="preserve">Cheque payment to Willow Furnishings - CHQ-005397</t>
  </si>
  <si>
    <t xml:space="preserve">M00691</t>
  </si>
  <si>
    <t xml:space="preserve">B00242</t>
  </si>
  <si>
    <t xml:space="preserve">L00240</t>
  </si>
  <si>
    <t xml:space="preserve">NEFT-KINGSLEY CHEMICALS-INV1131</t>
  </si>
  <si>
    <t xml:space="preserve">Receipt from Kingsley Chemicals - INV-1131</t>
  </si>
  <si>
    <t xml:space="preserve">M00692</t>
  </si>
  <si>
    <t xml:space="preserve">B00246</t>
  </si>
  <si>
    <t xml:space="preserve">L00242</t>
  </si>
  <si>
    <t xml:space="preserve">NEFT-CRESTVIEW RETAIL-INV1531</t>
  </si>
  <si>
    <t xml:space="preserve">Receipt from Crestview Retail - INV-1531</t>
  </si>
  <si>
    <t xml:space="preserve">M00693</t>
  </si>
  <si>
    <t xml:space="preserve">B00247</t>
  </si>
  <si>
    <t xml:space="preserve">L00243</t>
  </si>
  <si>
    <t xml:space="preserve">NEFT-LAKEVIEW HOTELS-INV1552</t>
  </si>
  <si>
    <t xml:space="preserve">Receipt from Lakeview Hotels - INV-1552</t>
  </si>
  <si>
    <t xml:space="preserve">M00694</t>
  </si>
  <si>
    <t xml:space="preserve">B00252</t>
  </si>
  <si>
    <t xml:space="preserve">L00248</t>
  </si>
  <si>
    <t xml:space="preserve">CHQ 005331 KESTREL OFFICE SUPPLIES</t>
  </si>
  <si>
    <t xml:space="preserve">Cheque payment to Kestrel Office Supplies - CHQ-005331</t>
  </si>
  <si>
    <t xml:space="preserve">M00695</t>
  </si>
  <si>
    <t xml:space="preserve">B00262</t>
  </si>
  <si>
    <t xml:space="preserve">L00259</t>
  </si>
  <si>
    <t xml:space="preserve">NEFT-ACME TRADERS-INV1553</t>
  </si>
  <si>
    <t xml:space="preserve">Receipt from Acme Traders - INV-1553</t>
  </si>
  <si>
    <t xml:space="preserve">M00696</t>
  </si>
  <si>
    <t xml:space="preserve">B00274</t>
  </si>
  <si>
    <t xml:space="preserve">L00274</t>
  </si>
  <si>
    <t xml:space="preserve">NEFT-GREENLEAF AGRO-INV1127</t>
  </si>
  <si>
    <t xml:space="preserve">Receipt from Greenleaf Agro - INV-1127</t>
  </si>
  <si>
    <t xml:space="preserve">M00697</t>
  </si>
  <si>
    <t xml:space="preserve">B00284</t>
  </si>
  <si>
    <t xml:space="preserve">L00291</t>
  </si>
  <si>
    <t xml:space="preserve">NEFT-ACME TRADERS-INV1265</t>
  </si>
  <si>
    <t xml:space="preserve">Receipt from Acme Traders - INV-1265</t>
  </si>
  <si>
    <t xml:space="preserve">M00698</t>
  </si>
  <si>
    <t xml:space="preserve">B00287</t>
  </si>
  <si>
    <t xml:space="preserve">L00297</t>
  </si>
  <si>
    <t xml:space="preserve">NEFT-EVEREST TEXTILES-INV1581</t>
  </si>
  <si>
    <t xml:space="preserve">Receipt from Everest Textiles - INV-1581</t>
  </si>
  <si>
    <t xml:space="preserve">M00699</t>
  </si>
  <si>
    <t xml:space="preserve">B00290</t>
  </si>
  <si>
    <t xml:space="preserve">L00300</t>
  </si>
  <si>
    <t xml:space="preserve">CHQ 005135 SUMMIT SECURITY</t>
  </si>
  <si>
    <t xml:space="preserve">Cheque payment to Summit Security - CHQ-005135</t>
  </si>
  <si>
    <t xml:space="preserve">M00700</t>
  </si>
  <si>
    <t xml:space="preserve">B00292</t>
  </si>
  <si>
    <t xml:space="preserve">L00301</t>
  </si>
  <si>
    <t xml:space="preserve">CHQ 005158 YONDER TRAVEL</t>
  </si>
  <si>
    <t xml:space="preserve">Cheque payment to Yonder Travel - CHQ-005158</t>
  </si>
  <si>
    <t xml:space="preserve">M00701</t>
  </si>
  <si>
    <t xml:space="preserve">B00300</t>
  </si>
  <si>
    <t xml:space="preserve">L00306</t>
  </si>
  <si>
    <t xml:space="preserve">NEFT-GREENLEAF AGRO-INV1415</t>
  </si>
  <si>
    <t xml:space="preserve">Receipt from Greenleaf Agro - INV-1415</t>
  </si>
  <si>
    <t xml:space="preserve">M00702</t>
  </si>
  <si>
    <t xml:space="preserve">B00304</t>
  </si>
  <si>
    <t xml:space="preserve">L00308</t>
  </si>
  <si>
    <t xml:space="preserve">CHQ 005118 YONDER TRAVEL</t>
  </si>
  <si>
    <t xml:space="preserve">Cheque payment to Yonder Travel - CHQ-005118</t>
  </si>
  <si>
    <t xml:space="preserve">M00703</t>
  </si>
  <si>
    <t xml:space="preserve">B00318</t>
  </si>
  <si>
    <t xml:space="preserve">L00315</t>
  </si>
  <si>
    <t xml:space="preserve">CHQ 005045 SUMMIT SECURITY</t>
  </si>
  <si>
    <t xml:space="preserve">Cheque payment to Summit Security - CHQ-005045</t>
  </si>
  <si>
    <t xml:space="preserve">M00704</t>
  </si>
  <si>
    <t xml:space="preserve">B00320</t>
  </si>
  <si>
    <t xml:space="preserve">L00318</t>
  </si>
  <si>
    <t xml:space="preserve">CHQ 005268 YONDER TRAVEL</t>
  </si>
  <si>
    <t xml:space="preserve">Cheque payment to Yonder Travel - CHQ-005268</t>
  </si>
  <si>
    <t xml:space="preserve">M00705</t>
  </si>
  <si>
    <t xml:space="preserve">B00328</t>
  </si>
  <si>
    <t xml:space="preserve">L00330</t>
  </si>
  <si>
    <t xml:space="preserve">NEFT-INDUS PACKAGING-INV1537</t>
  </si>
  <si>
    <t xml:space="preserve">Receipt from Indus Packaging - INV-1537</t>
  </si>
  <si>
    <t xml:space="preserve">M00706</t>
  </si>
  <si>
    <t xml:space="preserve">B00334</t>
  </si>
  <si>
    <t xml:space="preserve">L00336</t>
  </si>
  <si>
    <t xml:space="preserve">NEFT-FALCON AUTO PARTS-INV1054</t>
  </si>
  <si>
    <t xml:space="preserve">Receipt from Falcon Auto Parts - INV-1054</t>
  </si>
  <si>
    <t xml:space="preserve">M00707</t>
  </si>
  <si>
    <t xml:space="preserve">B00341</t>
  </si>
  <si>
    <t xml:space="preserve">L00340</t>
  </si>
  <si>
    <t xml:space="preserve">NEFT-DELTA FOODS-INV1532</t>
  </si>
  <si>
    <t xml:space="preserve">Receipt from Delta Foods - INV-1532</t>
  </si>
  <si>
    <t xml:space="preserve">M00708</t>
  </si>
  <si>
    <t xml:space="preserve">B00354</t>
  </si>
  <si>
    <t xml:space="preserve">L00354</t>
  </si>
  <si>
    <t xml:space="preserve">NEFT-FALCON AUTO PARTS-INV1390</t>
  </si>
  <si>
    <t xml:space="preserve">Receipt from Falcon Auto Parts - INV-1390</t>
  </si>
  <si>
    <t xml:space="preserve">M00709</t>
  </si>
  <si>
    <t xml:space="preserve">B00357</t>
  </si>
  <si>
    <t xml:space="preserve">L00357</t>
  </si>
  <si>
    <t xml:space="preserve">NEFT-JUPITER STEEL-INV1562</t>
  </si>
  <si>
    <t xml:space="preserve">Receipt from Jupiter Steel - INV-1562</t>
  </si>
  <si>
    <t xml:space="preserve">M00710</t>
  </si>
  <si>
    <t xml:space="preserve">B00358</t>
  </si>
  <si>
    <t xml:space="preserve">L00358</t>
  </si>
  <si>
    <t xml:space="preserve">NEFT-INDUS PACKAGING-INV1585</t>
  </si>
  <si>
    <t xml:space="preserve">Receipt from Indus Packaging - INV-1585</t>
  </si>
  <si>
    <t xml:space="preserve">M00711</t>
  </si>
  <si>
    <t xml:space="preserve">B00364</t>
  </si>
  <si>
    <t xml:space="preserve">L00370</t>
  </si>
  <si>
    <t xml:space="preserve">NEFT-EVEREST TEXTILES-INV1041</t>
  </si>
  <si>
    <t xml:space="preserve">Receipt from Everest Textiles - INV-1041</t>
  </si>
  <si>
    <t xml:space="preserve">M00712</t>
  </si>
  <si>
    <t xml:space="preserve">B00376</t>
  </si>
  <si>
    <t xml:space="preserve">L00379</t>
  </si>
  <si>
    <t xml:space="preserve">CHQ 005415 SUMMIT SECURITY</t>
  </si>
  <si>
    <t xml:space="preserve">Cheque payment to Summit Security - CHQ-005415</t>
  </si>
  <si>
    <t xml:space="preserve">M00713</t>
  </si>
  <si>
    <t xml:space="preserve">B00388</t>
  </si>
  <si>
    <t xml:space="preserve">L00390</t>
  </si>
  <si>
    <t xml:space="preserve">CHQ 005280 BIRCH PACKAGING</t>
  </si>
  <si>
    <t xml:space="preserve">Cheque payment to Birch Packaging - CHQ-005280</t>
  </si>
  <si>
    <t xml:space="preserve">M00714</t>
  </si>
  <si>
    <t xml:space="preserve">B00394</t>
  </si>
  <si>
    <t xml:space="preserve">L00398</t>
  </si>
  <si>
    <t xml:space="preserve">NEFT-FALCON AUTO PARTS-INV1378</t>
  </si>
  <si>
    <t xml:space="preserve">Receipt from Falcon Auto Parts - INV-1378</t>
  </si>
  <si>
    <t xml:space="preserve">M00715</t>
  </si>
  <si>
    <t xml:space="preserve">B00401</t>
  </si>
  <si>
    <t xml:space="preserve">L00403</t>
  </si>
  <si>
    <t xml:space="preserve">CHQ 005189 ATLAS FREIGHT</t>
  </si>
  <si>
    <t xml:space="preserve">Cheque payment to Atlas Freight - CHQ-005189</t>
  </si>
  <si>
    <t xml:space="preserve">M00716</t>
  </si>
  <si>
    <t xml:space="preserve">B00411</t>
  </si>
  <si>
    <t xml:space="preserve">L00411</t>
  </si>
  <si>
    <t xml:space="preserve">NEFT-JUPITER STEEL-INV1382</t>
  </si>
  <si>
    <t xml:space="preserve">Receipt from Jupiter Steel - INV-1382</t>
  </si>
  <si>
    <t xml:space="preserve">M00717</t>
  </si>
  <si>
    <t xml:space="preserve">B00428</t>
  </si>
  <si>
    <t xml:space="preserve">L00428</t>
  </si>
  <si>
    <t xml:space="preserve">CHQ 005037 WILLOW FURNISHINGS</t>
  </si>
  <si>
    <t xml:space="preserve">Cheque payment to Willow Furnishings - CHQ-005037</t>
  </si>
  <si>
    <t xml:space="preserve">M00718</t>
  </si>
  <si>
    <t xml:space="preserve">B00436</t>
  </si>
  <si>
    <t xml:space="preserve">L00437</t>
  </si>
  <si>
    <t xml:space="preserve">NEFT-JUPITER STEEL-INV1082</t>
  </si>
  <si>
    <t xml:space="preserve">Receipt from Jupiter Steel - INV-1082</t>
  </si>
  <si>
    <t xml:space="preserve">M00719</t>
  </si>
  <si>
    <t xml:space="preserve">B00442</t>
  </si>
  <si>
    <t xml:space="preserve">L00441</t>
  </si>
  <si>
    <t xml:space="preserve">NEFT-BLUEFIN LOGISTICS-INV1242</t>
  </si>
  <si>
    <t xml:space="preserve">Receipt from Bluefin Logistics - INV-1242</t>
  </si>
  <si>
    <t xml:space="preserve">M00720</t>
  </si>
  <si>
    <t xml:space="preserve">B00450</t>
  </si>
  <si>
    <t xml:space="preserve">L00447</t>
  </si>
  <si>
    <t xml:space="preserve">CHQ 005217 WILLOW FURNISHINGS</t>
  </si>
  <si>
    <t xml:space="preserve">Cheque payment to Willow Furnishings - CHQ-005217</t>
  </si>
  <si>
    <t xml:space="preserve">M00721</t>
  </si>
  <si>
    <t xml:space="preserve">B00464</t>
  </si>
  <si>
    <t xml:space="preserve">L00463</t>
  </si>
  <si>
    <t xml:space="preserve">NEFT-KINGSLEY CHEMICALS-INV1083</t>
  </si>
  <si>
    <t xml:space="preserve">Receipt from Kingsley Chemicals - INV-1083</t>
  </si>
  <si>
    <t xml:space="preserve">M00722</t>
  </si>
  <si>
    <t xml:space="preserve">B00468</t>
  </si>
  <si>
    <t xml:space="preserve">L00471</t>
  </si>
  <si>
    <t xml:space="preserve">NEFT-BLUEFIN LOGISTICS-INV1482</t>
  </si>
  <si>
    <t xml:space="preserve">Receipt from Bluefin Logistics - INV-1482</t>
  </si>
  <si>
    <t xml:space="preserve">M00723</t>
  </si>
  <si>
    <t xml:space="preserve">B00470</t>
  </si>
  <si>
    <t xml:space="preserve">L00475</t>
  </si>
  <si>
    <t xml:space="preserve">CHQ 005243 ZENITH HARDWARE</t>
  </si>
  <si>
    <t xml:space="preserve">Cheque payment to Zenith Hardware - CHQ-005243</t>
  </si>
  <si>
    <t xml:space="preserve">M00724</t>
  </si>
  <si>
    <t xml:space="preserve">B00472</t>
  </si>
  <si>
    <t xml:space="preserve">L00476</t>
  </si>
  <si>
    <t xml:space="preserve">CHQ 005352 PINNACLE PRINT</t>
  </si>
  <si>
    <t xml:space="preserve">M00725</t>
  </si>
  <si>
    <t xml:space="preserve">B00474</t>
  </si>
  <si>
    <t xml:space="preserve">L00477</t>
  </si>
  <si>
    <t xml:space="preserve">CHQ 005380 BIRCH PACKAGING</t>
  </si>
  <si>
    <t xml:space="preserve">Cheque payment to Birch Packaging - CHQ-005380</t>
  </si>
  <si>
    <t xml:space="preserve">M00726</t>
  </si>
  <si>
    <t xml:space="preserve">B00476</t>
  </si>
  <si>
    <t xml:space="preserve">L00482</t>
  </si>
  <si>
    <t xml:space="preserve">NEFT-GREENLEAF AGRO-INV1103</t>
  </si>
  <si>
    <t xml:space="preserve">Receipt from Greenleaf Agro - INV-1103</t>
  </si>
  <si>
    <t xml:space="preserve">M00727</t>
  </si>
  <si>
    <t xml:space="preserve">B00478</t>
  </si>
  <si>
    <t xml:space="preserve">L00485</t>
  </si>
  <si>
    <t xml:space="preserve">NEFT-LAKEVIEW HOTELS-INV1468</t>
  </si>
  <si>
    <t xml:space="preserve">Receipt from Lakeview Hotels - INV-1468</t>
  </si>
  <si>
    <t xml:space="preserve">M00728</t>
  </si>
  <si>
    <t xml:space="preserve">B00486</t>
  </si>
  <si>
    <t xml:space="preserve">L00493</t>
  </si>
  <si>
    <t xml:space="preserve">NEFT-JUPITER STEEL-INV1238</t>
  </si>
  <si>
    <t xml:space="preserve">Receipt from Jupiter Steel - INV-1238</t>
  </si>
  <si>
    <t xml:space="preserve">M00729</t>
  </si>
  <si>
    <t xml:space="preserve">B00492</t>
  </si>
  <si>
    <t xml:space="preserve">L00496</t>
  </si>
  <si>
    <t xml:space="preserve">CHQ 005133 ZENITH HARDWARE</t>
  </si>
  <si>
    <t xml:space="preserve">Cheque payment to Zenith Hardware - CHQ-005133</t>
  </si>
  <si>
    <t xml:space="preserve">M00730</t>
  </si>
  <si>
    <t xml:space="preserve">B00520</t>
  </si>
  <si>
    <t xml:space="preserve">L00529</t>
  </si>
  <si>
    <t xml:space="preserve">CHQ 005180 BIRCH PACKAGING</t>
  </si>
  <si>
    <t xml:space="preserve">Cheque payment to Birch Packaging - CHQ-005180</t>
  </si>
  <si>
    <t xml:space="preserve">M00731</t>
  </si>
  <si>
    <t xml:space="preserve">B00528</t>
  </si>
  <si>
    <t xml:space="preserve">L00536</t>
  </si>
  <si>
    <t xml:space="preserve">NEFT-JUPITER STEEL-INV1022</t>
  </si>
  <si>
    <t xml:space="preserve">Receipt from Jupiter Steel - INV-1022</t>
  </si>
  <si>
    <t xml:space="preserve">M00732</t>
  </si>
  <si>
    <t xml:space="preserve">B00533</t>
  </si>
  <si>
    <t xml:space="preserve">L00539</t>
  </si>
  <si>
    <t xml:space="preserve">NEFT-BLUEFIN LOGISTICS-INV1446</t>
  </si>
  <si>
    <t xml:space="preserve">Receipt from Bluefin Logistics - INV-1446</t>
  </si>
  <si>
    <t xml:space="preserve">M00733</t>
  </si>
  <si>
    <t xml:space="preserve">B00557</t>
  </si>
  <si>
    <t xml:space="preserve">L00554</t>
  </si>
  <si>
    <t xml:space="preserve">NEFT-FALCON AUTO PARTS-INV1366</t>
  </si>
  <si>
    <t xml:space="preserve">Receipt from Falcon Auto Parts - INV-1366</t>
  </si>
  <si>
    <t xml:space="preserve">M00734</t>
  </si>
  <si>
    <t xml:space="preserve">B00558</t>
  </si>
  <si>
    <t xml:space="preserve">L00555</t>
  </si>
  <si>
    <t xml:space="preserve">NEFT-KINGSLEY CHEMICALS-INV1371</t>
  </si>
  <si>
    <t xml:space="preserve">Receipt from Kingsley Chemicals - INV-1371</t>
  </si>
  <si>
    <t xml:space="preserve">M00735</t>
  </si>
  <si>
    <t xml:space="preserve">B00585</t>
  </si>
  <si>
    <t xml:space="preserve">L00592</t>
  </si>
  <si>
    <t xml:space="preserve">NEFT-FALCON AUTO PARTS-INV1042</t>
  </si>
  <si>
    <t xml:space="preserve">Receipt from Falcon Auto Parts - INV-1042</t>
  </si>
  <si>
    <t xml:space="preserve">M00736</t>
  </si>
  <si>
    <t xml:space="preserve">B00598</t>
  </si>
  <si>
    <t xml:space="preserve">L00607</t>
  </si>
  <si>
    <t xml:space="preserve">NEFT-KINGSLEY CHEMICALS-INV1539</t>
  </si>
  <si>
    <t xml:space="preserve">Receipt from Kingsley Chemicals - INV-1539</t>
  </si>
  <si>
    <t xml:space="preserve">M00737</t>
  </si>
  <si>
    <t xml:space="preserve">B00603</t>
  </si>
  <si>
    <t xml:space="preserve">L00610</t>
  </si>
  <si>
    <t xml:space="preserve">CHQ 005152 PINNACLE PRINT</t>
  </si>
  <si>
    <t xml:space="preserve">Cheque payment to Pinnacle Print - CHQ-005152</t>
  </si>
  <si>
    <t xml:space="preserve">M00738</t>
  </si>
  <si>
    <t xml:space="preserve">B00612</t>
  </si>
  <si>
    <t xml:space="preserve">L00618</t>
  </si>
  <si>
    <t xml:space="preserve">NEFT-INDUS PACKAGING-INV1309</t>
  </si>
  <si>
    <t xml:space="preserve">Receipt from Indus Packaging - INV-1309</t>
  </si>
  <si>
    <t xml:space="preserve">M00739</t>
  </si>
  <si>
    <t xml:space="preserve">B00617</t>
  </si>
  <si>
    <t xml:space="preserve">L00623</t>
  </si>
  <si>
    <t xml:space="preserve">CHQ 005248 YONDER TRAVEL</t>
  </si>
  <si>
    <t xml:space="preserve">Cheque payment to Yonder Travel - CHQ-005248</t>
  </si>
  <si>
    <t xml:space="preserve">M00740</t>
  </si>
  <si>
    <t xml:space="preserve">B00620</t>
  </si>
  <si>
    <t xml:space="preserve">L00629</t>
  </si>
  <si>
    <t xml:space="preserve">Receipt from Lakeview Hotels - INV-1264</t>
  </si>
  <si>
    <t xml:space="preserve">M00741</t>
  </si>
  <si>
    <t xml:space="preserve">B00634</t>
  </si>
  <si>
    <t xml:space="preserve">L00635</t>
  </si>
  <si>
    <t xml:space="preserve">NEFT-INDUS PACKAGING-INV1117</t>
  </si>
  <si>
    <t xml:space="preserve">Receipt from Indus Packaging - INV-1117</t>
  </si>
  <si>
    <t xml:space="preserve">M00742</t>
  </si>
  <si>
    <t xml:space="preserve">B00643</t>
  </si>
  <si>
    <t xml:space="preserve">L00640</t>
  </si>
  <si>
    <t xml:space="preserve">CHQ 005375 SUMMIT SECURITY</t>
  </si>
  <si>
    <t xml:space="preserve">Cheque payment to Summit Security - CHQ-005375</t>
  </si>
  <si>
    <t xml:space="preserve">M00743</t>
  </si>
  <si>
    <t xml:space="preserve">B00644</t>
  </si>
  <si>
    <t xml:space="preserve">L00641</t>
  </si>
  <si>
    <t xml:space="preserve">CHQ 005409 ATLAS FREIGHT</t>
  </si>
  <si>
    <t xml:space="preserve">Cheque payment to Atlas Freight - CHQ-005409</t>
  </si>
  <si>
    <t xml:space="preserve">M00744</t>
  </si>
  <si>
    <t xml:space="preserve">B00650</t>
  </si>
  <si>
    <t xml:space="preserve">L00652</t>
  </si>
  <si>
    <t xml:space="preserve">CHQ 005055 SUMMIT SECURITY</t>
  </si>
  <si>
    <t xml:space="preserve">Cheque payment to Summit Security - CHQ-005055</t>
  </si>
  <si>
    <t xml:space="preserve">M00745</t>
  </si>
  <si>
    <t xml:space="preserve">B00655</t>
  </si>
  <si>
    <t xml:space="preserve">L00655</t>
  </si>
  <si>
    <t xml:space="preserve">CHQ 005237 WILLOW FURNISHINGS</t>
  </si>
  <si>
    <t xml:space="preserve">Cheque payment to Willow Furnishings - CHQ-005237</t>
  </si>
  <si>
    <t xml:space="preserve">M00746</t>
  </si>
  <si>
    <t xml:space="preserve">B00661</t>
  </si>
  <si>
    <t xml:space="preserve">L00666</t>
  </si>
  <si>
    <t xml:space="preserve">NEFT-EVEREST TEXTILES-INV1593</t>
  </si>
  <si>
    <t xml:space="preserve">Receipt from Everest Textiles - INV-1593</t>
  </si>
  <si>
    <t xml:space="preserve">M00747</t>
  </si>
  <si>
    <t xml:space="preserve">B00671</t>
  </si>
  <si>
    <t xml:space="preserve">L00675</t>
  </si>
  <si>
    <t xml:space="preserve">NEFT-HORIZON PHARMA-INV1272</t>
  </si>
  <si>
    <t xml:space="preserve">Receipt from Horizon Pharma - INV-1272</t>
  </si>
  <si>
    <t xml:space="preserve">M00748</t>
  </si>
  <si>
    <t xml:space="preserve">B00674</t>
  </si>
  <si>
    <t xml:space="preserve">L00682</t>
  </si>
  <si>
    <t xml:space="preserve">CHQ 005082 PINNACLE PRINT</t>
  </si>
  <si>
    <t xml:space="preserve">Cheque payment to Pinnacle Print - CHQ-005082</t>
  </si>
  <si>
    <t xml:space="preserve">M00749</t>
  </si>
  <si>
    <t xml:space="preserve">B00675</t>
  </si>
  <si>
    <t xml:space="preserve">L00683</t>
  </si>
  <si>
    <t xml:space="preserve">CHQ 005088 YONDER TRAVEL</t>
  </si>
  <si>
    <t xml:space="preserve">Cheque payment to Yonder Travel - CHQ-005088</t>
  </si>
  <si>
    <t xml:space="preserve">M00750</t>
  </si>
  <si>
    <t xml:space="preserve">B00676</t>
  </si>
  <si>
    <t xml:space="preserve">L00687</t>
  </si>
  <si>
    <t xml:space="preserve">CHQ 005286 VERTEX CONSULTING</t>
  </si>
  <si>
    <t xml:space="preserve">Cheque payment to Vertex Consulting - CHQ-005286</t>
  </si>
  <si>
    <t xml:space="preserve">M00751</t>
  </si>
  <si>
    <t xml:space="preserve">B00680</t>
  </si>
  <si>
    <t xml:space="preserve">L00692</t>
  </si>
  <si>
    <t xml:space="preserve">NEFT-HORIZON PHARMA-INV1308</t>
  </si>
  <si>
    <t xml:space="preserve">Receipt from Horizon Pharma - INV-1308</t>
  </si>
  <si>
    <t xml:space="preserve">M00752</t>
  </si>
  <si>
    <t xml:space="preserve">B00694</t>
  </si>
  <si>
    <t xml:space="preserve">L00705</t>
  </si>
  <si>
    <t xml:space="preserve">NEFT-FALCON AUTO PARTS-INV1450</t>
  </si>
  <si>
    <t xml:space="preserve">Receipt from Falcon Auto Parts - INV-1450</t>
  </si>
  <si>
    <t xml:space="preserve">M00753</t>
  </si>
  <si>
    <t xml:space="preserve">B00697</t>
  </si>
  <si>
    <t xml:space="preserve">L00709</t>
  </si>
  <si>
    <t xml:space="preserve">CHQ 005167 WILLOW FURNISHINGS</t>
  </si>
  <si>
    <t xml:space="preserve">Cheque payment to Willow Furnishings - CHQ-005167</t>
  </si>
  <si>
    <t xml:space="preserve">M00754</t>
  </si>
  <si>
    <t xml:space="preserve">B00699</t>
  </si>
  <si>
    <t xml:space="preserve">L00710</t>
  </si>
  <si>
    <t xml:space="preserve">CHQ 005185 SUMMIT SECURITY</t>
  </si>
  <si>
    <t xml:space="preserve">Cheque payment to Summit Security - CHQ-005185</t>
  </si>
  <si>
    <t xml:space="preserve">M00755</t>
  </si>
  <si>
    <t xml:space="preserve">B00702</t>
  </si>
  <si>
    <t xml:space="preserve">L00717</t>
  </si>
  <si>
    <t xml:space="preserve">NEFT-CRESTVIEW RETAIL-INV1363</t>
  </si>
  <si>
    <t xml:space="preserve">Receipt from Crestview Retail - INV-1363</t>
  </si>
  <si>
    <t xml:space="preserve">M00756</t>
  </si>
  <si>
    <t xml:space="preserve">B00707</t>
  </si>
  <si>
    <t xml:space="preserve">L00725</t>
  </si>
  <si>
    <t xml:space="preserve">CHQ 005293 ZENITH HARDWARE</t>
  </si>
  <si>
    <t xml:space="preserve">Cheque payment to Zenith Hardware - CHQ-005293</t>
  </si>
  <si>
    <t xml:space="preserve">M00757</t>
  </si>
  <si>
    <t xml:space="preserve">B00712</t>
  </si>
  <si>
    <t xml:space="preserve">L00726</t>
  </si>
  <si>
    <t xml:space="preserve">CHQ 005407 WILLOW FURNISHINGS</t>
  </si>
  <si>
    <t xml:space="preserve">Cheque payment to Willow Furnishings - CHQ-005407</t>
  </si>
  <si>
    <t xml:space="preserve">M00758</t>
  </si>
  <si>
    <t xml:space="preserve">B00719</t>
  </si>
  <si>
    <t xml:space="preserve">L00728</t>
  </si>
  <si>
    <t xml:space="preserve">NEFT-CRESTVIEW RETAIL-INV1327</t>
  </si>
  <si>
    <t xml:space="preserve">Receipt from Crestview Retail - INV-1327</t>
  </si>
  <si>
    <t xml:space="preserve">M00759</t>
  </si>
  <si>
    <t xml:space="preserve">B00735</t>
  </si>
  <si>
    <t xml:space="preserve">L00735</t>
  </si>
  <si>
    <t xml:space="preserve">NEFT-FALCON AUTO PARTS-INV1282</t>
  </si>
  <si>
    <t xml:space="preserve">Receipt from Falcon Auto Parts - INV-1282</t>
  </si>
  <si>
    <t xml:space="preserve">M00760</t>
  </si>
  <si>
    <t xml:space="preserve">B00740</t>
  </si>
  <si>
    <t xml:space="preserve">L00740</t>
  </si>
  <si>
    <t xml:space="preserve">NEFT-INDUS PACKAGING-INV1525</t>
  </si>
  <si>
    <t xml:space="preserve">Receipt from Indus Packaging - INV-1525</t>
  </si>
  <si>
    <t xml:space="preserve">M00761</t>
  </si>
  <si>
    <t xml:space="preserve">B00749</t>
  </si>
  <si>
    <t xml:space="preserve">L00749</t>
  </si>
  <si>
    <t xml:space="preserve">NEFT-CRESTVIEW RETAIL-INV1135</t>
  </si>
  <si>
    <t xml:space="preserve">Receipt from Crestview Retail - INV-1135</t>
  </si>
  <si>
    <t xml:space="preserve">M00762</t>
  </si>
  <si>
    <t xml:space="preserve">B00751</t>
  </si>
  <si>
    <t xml:space="preserve">L00754</t>
  </si>
  <si>
    <t xml:space="preserve">NEFT-HORIZON PHARMA-INV1296</t>
  </si>
  <si>
    <t xml:space="preserve">Receipt from Horizon Pharma - INV-1296</t>
  </si>
  <si>
    <t xml:space="preserve">M00763</t>
  </si>
  <si>
    <t xml:space="preserve">B00757</t>
  </si>
  <si>
    <t xml:space="preserve">L00756</t>
  </si>
  <si>
    <t xml:space="preserve">NEFT-KINGSLEY CHEMICALS-INV1515</t>
  </si>
  <si>
    <t xml:space="preserve">Receipt from Kingsley Chemicals - INV-1515</t>
  </si>
  <si>
    <t xml:space="preserve">M00764</t>
  </si>
  <si>
    <t xml:space="preserve">B00765</t>
  </si>
  <si>
    <t xml:space="preserve">L00766</t>
  </si>
  <si>
    <t xml:space="preserve">NEFT-KINGSLEY CHEMICALS-INV1071</t>
  </si>
  <si>
    <t xml:space="preserve">Receipt from Kingsley Chemicals - INV-1071</t>
  </si>
  <si>
    <t xml:space="preserve">M00765</t>
  </si>
  <si>
    <t xml:space="preserve">B00769</t>
  </si>
  <si>
    <t xml:space="preserve">L00770</t>
  </si>
  <si>
    <t xml:space="preserve">NEFT-GREENLEAF AGRO-INV1391</t>
  </si>
  <si>
    <t xml:space="preserve">Receipt from Greenleaf Agro - INV-1391</t>
  </si>
  <si>
    <t xml:space="preserve">M00766</t>
  </si>
  <si>
    <t xml:space="preserve">B00771</t>
  </si>
  <si>
    <t xml:space="preserve">L00775</t>
  </si>
  <si>
    <t xml:space="preserve">CHQ 005046 VERTEX CONSULTING</t>
  </si>
  <si>
    <t xml:space="preserve">Cheque payment to Vertex Consulting - CHQ-005046</t>
  </si>
  <si>
    <t xml:space="preserve">M00767</t>
  </si>
  <si>
    <t xml:space="preserve">B00786</t>
  </si>
  <si>
    <t xml:space="preserve">L00787</t>
  </si>
  <si>
    <t xml:space="preserve">CHQ 005236 VERTEX CONSULTING</t>
  </si>
  <si>
    <t xml:space="preserve">Cheque payment to Vertex Consulting - CHQ-005236</t>
  </si>
  <si>
    <t xml:space="preserve">M00768</t>
  </si>
  <si>
    <t xml:space="preserve">B00787</t>
  </si>
  <si>
    <t xml:space="preserve">L00788</t>
  </si>
  <si>
    <t xml:space="preserve">CHQ 005265 SUMMIT SECURITY</t>
  </si>
  <si>
    <t xml:space="preserve">Cheque payment to Summit Security - CHQ-005265</t>
  </si>
  <si>
    <t xml:space="preserve">M00769</t>
  </si>
  <si>
    <t xml:space="preserve">B00795</t>
  </si>
  <si>
    <t xml:space="preserve">L00792</t>
  </si>
  <si>
    <t xml:space="preserve">NEFT-EVEREST TEXTILES-INV1185</t>
  </si>
  <si>
    <t xml:space="preserve">Receipt from Everest Textiles - INV-1185</t>
  </si>
  <si>
    <t xml:space="preserve">M00770</t>
  </si>
  <si>
    <t xml:space="preserve">B00810</t>
  </si>
  <si>
    <t xml:space="preserve">L00808</t>
  </si>
  <si>
    <t xml:space="preserve">NEFT-JUPITER STEEL-INV1322</t>
  </si>
  <si>
    <t xml:space="preserve">Receipt from Jupiter Steel - INV-1322</t>
  </si>
  <si>
    <t xml:space="preserve">M00771</t>
  </si>
  <si>
    <t xml:space="preserve">B00824</t>
  </si>
  <si>
    <t xml:space="preserve">L00823</t>
  </si>
  <si>
    <t xml:space="preserve">NEFT-JUPITER STEEL-INV1490</t>
  </si>
  <si>
    <t xml:space="preserve">Receipt from Jupiter Steel - INV-1490</t>
  </si>
  <si>
    <t xml:space="preserve">M00772</t>
  </si>
  <si>
    <t xml:space="preserve">B00847</t>
  </si>
  <si>
    <t xml:space="preserve">L00847</t>
  </si>
  <si>
    <t xml:space="preserve">NEFT-ACME TRADERS-INV1181</t>
  </si>
  <si>
    <t xml:space="preserve">Receipt from Acme Traders - INV-1181</t>
  </si>
  <si>
    <t xml:space="preserve">M00773</t>
  </si>
  <si>
    <t xml:space="preserve">B00856</t>
  </si>
  <si>
    <t xml:space="preserve">L00852</t>
  </si>
  <si>
    <t xml:space="preserve">NEFT-INDUS PACKAGING-INV1081</t>
  </si>
  <si>
    <t xml:space="preserve">Receipt from Indus Packaging - INV-1081</t>
  </si>
  <si>
    <t xml:space="preserve">M00774</t>
  </si>
  <si>
    <t xml:space="preserve">B00873</t>
  </si>
  <si>
    <t xml:space="preserve">L00874</t>
  </si>
  <si>
    <t xml:space="preserve">CHQ 005097 WILLOW FURNISHINGS</t>
  </si>
  <si>
    <t xml:space="preserve">Cheque payment to Willow Furnishings - CHQ-005097</t>
  </si>
  <si>
    <t xml:space="preserve">M00775</t>
  </si>
  <si>
    <t xml:space="preserve">B00875</t>
  </si>
  <si>
    <t xml:space="preserve">L00877</t>
  </si>
  <si>
    <t xml:space="preserve">CHQ 005399 ATLAS FREIGHT</t>
  </si>
  <si>
    <t xml:space="preserve">Cheque payment to Atlas Freight - CHQ-005399</t>
  </si>
  <si>
    <t xml:space="preserve">M00776</t>
  </si>
  <si>
    <t xml:space="preserve">B00880</t>
  </si>
  <si>
    <t xml:space="preserve">L00879</t>
  </si>
  <si>
    <t xml:space="preserve">NEFT-DELTA FOODS-INV1076</t>
  </si>
  <si>
    <t xml:space="preserve">Receipt from Delta Foods - INV-1076</t>
  </si>
  <si>
    <t xml:space="preserve">M00777</t>
  </si>
  <si>
    <t xml:space="preserve">B00881</t>
  </si>
  <si>
    <t xml:space="preserve">L00886</t>
  </si>
  <si>
    <t xml:space="preserve">CHQ 005017 WILLOW FURNISHINGS</t>
  </si>
  <si>
    <t xml:space="preserve">Cheque payment to Willow Furnishings - CHQ-005017</t>
  </si>
  <si>
    <t xml:space="preserve">M00778</t>
  </si>
  <si>
    <t xml:space="preserve">B00885</t>
  </si>
  <si>
    <t xml:space="preserve">L00889</t>
  </si>
  <si>
    <t xml:space="preserve">CHQ 005384 ORCHID CATERING</t>
  </si>
  <si>
    <t xml:space="preserve">Cheque payment to Orchid Catering - CHQ-005384</t>
  </si>
  <si>
    <t xml:space="preserve">M00779</t>
  </si>
  <si>
    <t xml:space="preserve">B00906</t>
  </si>
  <si>
    <t xml:space="preserve">L00906</t>
  </si>
  <si>
    <t xml:space="preserve">NEFT-FALCON AUTO PARTS-INV1438</t>
  </si>
  <si>
    <t xml:space="preserve">Receipt from Falcon Auto Parts - INV-1438</t>
  </si>
  <si>
    <t xml:space="preserve">M00780</t>
  </si>
  <si>
    <t xml:space="preserve">B00910</t>
  </si>
  <si>
    <t xml:space="preserve">L00907</t>
  </si>
  <si>
    <t xml:space="preserve">CHQ 005142 PINNACLE PRINT</t>
  </si>
  <si>
    <t xml:space="preserve">Cheque payment to Pinnacle Print - CHQ-005142</t>
  </si>
  <si>
    <t xml:space="preserve">M00781</t>
  </si>
  <si>
    <t xml:space="preserve">B00912</t>
  </si>
  <si>
    <t xml:space="preserve">L00909</t>
  </si>
  <si>
    <t xml:space="preserve">CHQ 005403 ZENITH HARDWARE</t>
  </si>
  <si>
    <t xml:space="preserve">Cheque payment to Zenith Hardware - CHQ-005403</t>
  </si>
  <si>
    <t xml:space="preserve">M00782</t>
  </si>
  <si>
    <t xml:space="preserve">B00919</t>
  </si>
  <si>
    <t xml:space="preserve">L00910</t>
  </si>
  <si>
    <t xml:space="preserve">NEFT-EVEREST TEXTILES-INV1065</t>
  </si>
  <si>
    <t xml:space="preserve">Receipt from Everest Textiles - INV-1065</t>
  </si>
  <si>
    <t xml:space="preserve">M00783</t>
  </si>
  <si>
    <t xml:space="preserve">B00921</t>
  </si>
  <si>
    <t xml:space="preserve">L00915</t>
  </si>
  <si>
    <t xml:space="preserve">NEFT-DELTA FOODS-INV1232</t>
  </si>
  <si>
    <t xml:space="preserve">Receipt from Delta Foods - INV-1232</t>
  </si>
  <si>
    <t xml:space="preserve">M00784</t>
  </si>
  <si>
    <t xml:space="preserve">B00926</t>
  </si>
  <si>
    <t xml:space="preserve">L00921</t>
  </si>
  <si>
    <t xml:space="preserve">NEFT-ACME TRADERS-INV1589</t>
  </si>
  <si>
    <t xml:space="preserve">Receipt from Acme Traders - INV-1589</t>
  </si>
  <si>
    <t xml:space="preserve">M00785</t>
  </si>
  <si>
    <t xml:space="preserve">B00928</t>
  </si>
  <si>
    <t xml:space="preserve">L00925</t>
  </si>
  <si>
    <t xml:space="preserve">CHQ 005215 SUMMIT SECURITY</t>
  </si>
  <si>
    <t xml:space="preserve">Cheque payment to Summit Security - CHQ-005215</t>
  </si>
  <si>
    <t xml:space="preserve">M00786</t>
  </si>
  <si>
    <t xml:space="preserve">B00937</t>
  </si>
  <si>
    <t xml:space="preserve">L00935</t>
  </si>
  <si>
    <t xml:space="preserve">CHQ 005115 SUMMIT SECURITY</t>
  </si>
  <si>
    <t xml:space="preserve">Cheque payment to Summit Security - CHQ-005115</t>
  </si>
  <si>
    <t xml:space="preserve">M00787</t>
  </si>
  <si>
    <t xml:space="preserve">B00952</t>
  </si>
  <si>
    <t xml:space="preserve">L00946</t>
  </si>
  <si>
    <t xml:space="preserve">NEFT-DELTA FOODS-INV1448</t>
  </si>
  <si>
    <t xml:space="preserve">Receipt from Delta Foods - INV-1448</t>
  </si>
  <si>
    <t xml:space="preserve">M00788</t>
  </si>
  <si>
    <t xml:space="preserve">B00953</t>
  </si>
  <si>
    <t xml:space="preserve">L00947</t>
  </si>
  <si>
    <t xml:space="preserve">NEFT-EVEREST TEXTILES-INV1449</t>
  </si>
  <si>
    <t xml:space="preserve">Receipt from Everest Textiles - INV-1449</t>
  </si>
  <si>
    <t xml:space="preserve">M00789</t>
  </si>
  <si>
    <t xml:space="preserve">B00957</t>
  </si>
  <si>
    <t xml:space="preserve">L00953</t>
  </si>
  <si>
    <t xml:space="preserve">CHQ 005136 VERTEX CONSULTING</t>
  </si>
  <si>
    <t xml:space="preserve">Cheque payment to Vertex Consulting - CHQ-005136</t>
  </si>
  <si>
    <t xml:space="preserve">M00790</t>
  </si>
  <si>
    <t xml:space="preserve">B00963</t>
  </si>
  <si>
    <t xml:space="preserve">L00963</t>
  </si>
  <si>
    <t xml:space="preserve">NEFT-INDUS PACKAGING-INV1381</t>
  </si>
  <si>
    <t xml:space="preserve">Receipt from Indus Packaging - INV-1381</t>
  </si>
  <si>
    <t xml:space="preserve">M00791</t>
  </si>
  <si>
    <t xml:space="preserve">B00984</t>
  </si>
  <si>
    <t xml:space="preserve">L00975</t>
  </si>
  <si>
    <t xml:space="preserve">CHQ 005036 VERTEX CONSULTING</t>
  </si>
  <si>
    <t xml:space="preserve">Cheque payment to Vertex Consulting - CHQ-005036</t>
  </si>
  <si>
    <t xml:space="preserve">M00792</t>
  </si>
  <si>
    <t xml:space="preserve">B00987</t>
  </si>
  <si>
    <t xml:space="preserve">L00982</t>
  </si>
  <si>
    <t xml:space="preserve">CHQ 005414 ORCHID CATERING</t>
  </si>
  <si>
    <t xml:space="preserve">Cheque payment to Orchid Catering - CHQ-005414</t>
  </si>
  <si>
    <t xml:space="preserve">M00793</t>
  </si>
  <si>
    <t xml:space="preserve">B00995</t>
  </si>
  <si>
    <t xml:space="preserve">L00990</t>
  </si>
  <si>
    <t xml:space="preserve">NEFT-LAKEVIEW HOTELS-INV1492</t>
  </si>
  <si>
    <t xml:space="preserve">Receipt from Lakeview Hotels - INV-1492</t>
  </si>
  <si>
    <t xml:space="preserve">M00794</t>
  </si>
  <si>
    <t xml:space="preserve">B00997</t>
  </si>
  <si>
    <t xml:space="preserve">L00992</t>
  </si>
  <si>
    <t xml:space="preserve">CHQ 005011 KESTREL OFFICE SUPPLIES</t>
  </si>
  <si>
    <t xml:space="preserve">Cheque payment to Kestrel Office Supplies - CHQ-005011</t>
  </si>
  <si>
    <t xml:space="preserve">M00795</t>
  </si>
  <si>
    <t xml:space="preserve">B01000</t>
  </si>
  <si>
    <t xml:space="preserve">L00993</t>
  </si>
  <si>
    <t xml:space="preserve">CHQ 005070 BIRCH PACKAGING</t>
  </si>
  <si>
    <t xml:space="preserve">Cheque payment to Birch Packaging - CHQ-005070</t>
  </si>
  <si>
    <t xml:space="preserve">M00796</t>
  </si>
  <si>
    <t xml:space="preserve">B01010</t>
  </si>
  <si>
    <t xml:space="preserve">L01002</t>
  </si>
  <si>
    <t xml:space="preserve">NEFT-FALCON AUTO PARTS-INV1246</t>
  </si>
  <si>
    <t xml:space="preserve">Receipt from Falcon Auto Parts - INV-1246</t>
  </si>
  <si>
    <t xml:space="preserve">M00797</t>
  </si>
  <si>
    <t xml:space="preserve">B01013</t>
  </si>
  <si>
    <t xml:space="preserve">L01005</t>
  </si>
  <si>
    <t xml:space="preserve">NEFT-EVEREST TEXTILES-INV1365</t>
  </si>
  <si>
    <t xml:space="preserve">Receipt from Everest Textiles - INV-1365</t>
  </si>
  <si>
    <t xml:space="preserve">M00798</t>
  </si>
  <si>
    <t xml:space="preserve">B01017</t>
  </si>
  <si>
    <t xml:space="preserve">L01011</t>
  </si>
  <si>
    <t xml:space="preserve">NEFT-HORIZON PHARMA-INV1080</t>
  </si>
  <si>
    <t xml:space="preserve">Receipt from Horizon Pharma - INV-1080</t>
  </si>
  <si>
    <t xml:space="preserve">M00799</t>
  </si>
  <si>
    <t xml:space="preserve">B01019</t>
  </si>
  <si>
    <t xml:space="preserve">L01013</t>
  </si>
  <si>
    <t xml:space="preserve">NEFT-BLUEFIN LOGISTICS-INV1314</t>
  </si>
  <si>
    <t xml:space="preserve">Receipt from Bluefin Logistics - INV-1314</t>
  </si>
  <si>
    <t xml:space="preserve">M00800</t>
  </si>
  <si>
    <t xml:space="preserve">B01020</t>
  </si>
  <si>
    <t xml:space="preserve">L01014</t>
  </si>
  <si>
    <t xml:space="preserve">NEFT-ACME TRADERS-INV1349</t>
  </si>
  <si>
    <t xml:space="preserve">Receipt from Acme Traders - INV-1349</t>
  </si>
  <si>
    <t xml:space="preserve">M00801</t>
  </si>
  <si>
    <t xml:space="preserve">B01023</t>
  </si>
  <si>
    <t xml:space="preserve">L01019</t>
  </si>
  <si>
    <t xml:space="preserve">NEFT-CRESTVIEW RETAIL-INV1555</t>
  </si>
  <si>
    <t xml:space="preserve">Receipt from Crestview Retail - INV-1555</t>
  </si>
  <si>
    <t xml:space="preserve">M00802</t>
  </si>
  <si>
    <t xml:space="preserve">B01028</t>
  </si>
  <si>
    <t xml:space="preserve">L01023</t>
  </si>
  <si>
    <t xml:space="preserve">CHQ 005214 ORCHID CATERING</t>
  </si>
  <si>
    <t xml:space="preserve">Cheque payment to Orchid Catering - CHQ-005214</t>
  </si>
  <si>
    <t xml:space="preserve">M00803</t>
  </si>
  <si>
    <t xml:space="preserve">B01030</t>
  </si>
  <si>
    <t xml:space="preserve">L01026</t>
  </si>
  <si>
    <t xml:space="preserve">CHQ 005308 YONDER TRAVEL</t>
  </si>
  <si>
    <t xml:space="preserve">Cheque payment to Yonder Travel - CHQ-005308</t>
  </si>
  <si>
    <t xml:space="preserve">M00804</t>
  </si>
  <si>
    <t xml:space="preserve">B01033</t>
  </si>
  <si>
    <t xml:space="preserve">L01028</t>
  </si>
  <si>
    <t xml:space="preserve">CHQ 005411 KESTREL OFFICE SUPPLIES</t>
  </si>
  <si>
    <t xml:space="preserve">Cheque payment to Kestrel Office Supplies - CHQ-005411</t>
  </si>
  <si>
    <t xml:space="preserve">M00805</t>
  </si>
  <si>
    <t xml:space="preserve">B01055</t>
  </si>
  <si>
    <t xml:space="preserve">L01045</t>
  </si>
  <si>
    <t xml:space="preserve">NEFT-ACME TRADERS-INV1469</t>
  </si>
  <si>
    <t xml:space="preserve">Receipt from Acme Traders - INV-1469</t>
  </si>
  <si>
    <t xml:space="preserve">M00806</t>
  </si>
  <si>
    <t xml:space="preserve">B01057</t>
  </si>
  <si>
    <t xml:space="preserve">L01048</t>
  </si>
  <si>
    <t xml:space="preserve">NEFT-CRESTVIEW RETAIL-INV1591</t>
  </si>
  <si>
    <t xml:space="preserve">Receipt from Crestview Retail - INV-1591</t>
  </si>
  <si>
    <t xml:space="preserve">M00807</t>
  </si>
  <si>
    <t xml:space="preserve">B01061</t>
  </si>
  <si>
    <t xml:space="preserve">L01051</t>
  </si>
  <si>
    <t xml:space="preserve">CHQ 005296 VERTEX CONSULTING</t>
  </si>
  <si>
    <t xml:space="preserve">Cheque payment to Vertex Consulting - CHQ-005296</t>
  </si>
  <si>
    <t xml:space="preserve">M00808</t>
  </si>
  <si>
    <t xml:space="preserve">B01069</t>
  </si>
  <si>
    <t xml:space="preserve">L01055</t>
  </si>
  <si>
    <t xml:space="preserve">NEFT-HORIZON PHARMA-INV1152</t>
  </si>
  <si>
    <t xml:space="preserve">Receipt from Horizon Pharma - INV-1152</t>
  </si>
  <si>
    <t xml:space="preserve">M00809</t>
  </si>
  <si>
    <t xml:space="preserve">B01076</t>
  </si>
  <si>
    <t xml:space="preserve">L01067</t>
  </si>
  <si>
    <t xml:space="preserve">CHQ 005270 BIRCH PACKAGING</t>
  </si>
  <si>
    <t xml:space="preserve">Cheque payment to Birch Packaging - CHQ-005270</t>
  </si>
  <si>
    <t xml:space="preserve">M00810</t>
  </si>
  <si>
    <t xml:space="preserve">B01083</t>
  </si>
  <si>
    <t xml:space="preserve">L01073</t>
  </si>
  <si>
    <t xml:space="preserve">NEFT-BLUEFIN LOGISTICS-INV1302</t>
  </si>
  <si>
    <t xml:space="preserve">Receipt from Bluefin Logistics - INV-1302</t>
  </si>
  <si>
    <t xml:space="preserve">M00811</t>
  </si>
  <si>
    <t xml:space="preserve">B01088</t>
  </si>
  <si>
    <t xml:space="preserve">L01083</t>
  </si>
  <si>
    <t xml:space="preserve">CHQ 005279 ATLAS FREIGHT</t>
  </si>
  <si>
    <t xml:space="preserve">Cheque payment to Atlas Freight - CHQ-005279</t>
  </si>
  <si>
    <t xml:space="preserve">M00812</t>
  </si>
  <si>
    <t xml:space="preserve">B01093</t>
  </si>
  <si>
    <t xml:space="preserve">L01091</t>
  </si>
  <si>
    <t xml:space="preserve">NEFT-GREENLEAF AGRO-INV1319</t>
  </si>
  <si>
    <t xml:space="preserve">Receipt from Greenleaf Agro - INV-1319</t>
  </si>
  <si>
    <t xml:space="preserve">M00813</t>
  </si>
  <si>
    <t xml:space="preserve">B01108</t>
  </si>
  <si>
    <t xml:space="preserve">L01103</t>
  </si>
  <si>
    <t xml:space="preserve">NEFT-FALCON AUTO PARTS-INV1462</t>
  </si>
  <si>
    <t xml:space="preserve">Receipt from Falcon Auto Parts - INV-1462</t>
  </si>
  <si>
    <t xml:space="preserve">M00814</t>
  </si>
  <si>
    <t xml:space="preserve">B01111</t>
  </si>
  <si>
    <t xml:space="preserve">L01104</t>
  </si>
  <si>
    <t xml:space="preserve">CHQ 005100 BIRCH PACKAGING</t>
  </si>
  <si>
    <t xml:space="preserve">Cheque payment to Birch Packaging - CHQ-005100</t>
  </si>
  <si>
    <t xml:space="preserve">M00815</t>
  </si>
  <si>
    <t xml:space="preserve">B01116</t>
  </si>
  <si>
    <t xml:space="preserve">L01110</t>
  </si>
  <si>
    <t xml:space="preserve">NEFT-GREENLEAF AGRO-INV1367</t>
  </si>
  <si>
    <t xml:space="preserve">Receipt from Greenleaf Agro - INV-1367</t>
  </si>
  <si>
    <t xml:space="preserve">M00816</t>
  </si>
  <si>
    <t xml:space="preserve">B01121</t>
  </si>
  <si>
    <t xml:space="preserve">L01123</t>
  </si>
  <si>
    <t xml:space="preserve">NEFT-HORIZON PHARMA-INV1332</t>
  </si>
  <si>
    <t xml:space="preserve">Receipt from Horizon Pharma - INV-1332</t>
  </si>
  <si>
    <t xml:space="preserve">M00817</t>
  </si>
  <si>
    <t xml:space="preserve">B00065</t>
  </si>
  <si>
    <t xml:space="preserve">L00043</t>
  </si>
  <si>
    <t xml:space="preserve">CHQ 005220 BIRCH PACKAGING</t>
  </si>
  <si>
    <t xml:space="preserve">Cheque payment to Birch Packaging - CHQ-005220</t>
  </si>
  <si>
    <t xml:space="preserve">M00818</t>
  </si>
  <si>
    <t xml:space="preserve">B00106</t>
  </si>
  <si>
    <t xml:space="preserve">L00084</t>
  </si>
  <si>
    <t xml:space="preserve">CHQ 005091 KESTREL OFFICE SUPPLIES</t>
  </si>
  <si>
    <t xml:space="preserve">Cheque payment to Kestrel Office Supplies - CHQ-005091</t>
  </si>
  <si>
    <t xml:space="preserve">M00819</t>
  </si>
  <si>
    <t xml:space="preserve">B00107</t>
  </si>
  <si>
    <t xml:space="preserve">L00087</t>
  </si>
  <si>
    <t xml:space="preserve">CHQ 005162 PINNACLE PRINT</t>
  </si>
  <si>
    <t xml:space="preserve">Cheque payment to Pinnacle Print - CHQ-005162</t>
  </si>
  <si>
    <t xml:space="preserve">M00820</t>
  </si>
  <si>
    <t xml:space="preserve">B00122</t>
  </si>
  <si>
    <t xml:space="preserve">L00106</t>
  </si>
  <si>
    <t xml:space="preserve">CHQ 005368 YONDER TRAVEL</t>
  </si>
  <si>
    <t xml:space="preserve">Cheque payment to Yonder Travel - CHQ-005368</t>
  </si>
  <si>
    <t xml:space="preserve">M00821</t>
  </si>
  <si>
    <t xml:space="preserve">B00134</t>
  </si>
  <si>
    <t xml:space="preserve">L00117</t>
  </si>
  <si>
    <t xml:space="preserve">CHQ 005289 ATLAS FREIGHT</t>
  </si>
  <si>
    <t xml:space="preserve">Cheque payment to Atlas Freight - CHQ-005289</t>
  </si>
  <si>
    <t xml:space="preserve">M00822</t>
  </si>
  <si>
    <t xml:space="preserve">B00141</t>
  </si>
  <si>
    <t xml:space="preserve">L00136</t>
  </si>
  <si>
    <t xml:space="preserve">CHQ 005267 WILLOW FURNISHINGS</t>
  </si>
  <si>
    <t xml:space="preserve">Cheque payment to Willow Furnishings - CHQ-005267</t>
  </si>
  <si>
    <t xml:space="preserve">M00823</t>
  </si>
  <si>
    <t xml:space="preserve">B00182</t>
  </si>
  <si>
    <t xml:space="preserve">L00152</t>
  </si>
  <si>
    <t xml:space="preserve">CHQ 005416 VERTEX CONSULTING</t>
  </si>
  <si>
    <t xml:space="preserve">Cheque payment to Vertex Consulting - CHQ-005416</t>
  </si>
  <si>
    <t xml:space="preserve">M00824</t>
  </si>
  <si>
    <t xml:space="preserve">B00237</t>
  </si>
  <si>
    <t xml:space="preserve">L00220</t>
  </si>
  <si>
    <t xml:space="preserve">CHQ 005344 ORCHID CATERING</t>
  </si>
  <si>
    <t xml:space="preserve">Cheque payment to Orchid Catering - CHQ-005344</t>
  </si>
  <si>
    <t xml:space="preserve">M00825</t>
  </si>
  <si>
    <t xml:space="preserve">B00249</t>
  </si>
  <si>
    <t xml:space="preserve">L00231</t>
  </si>
  <si>
    <t xml:space="preserve">CHQ 005113 ZENITH HARDWARE</t>
  </si>
  <si>
    <t xml:space="preserve">Cheque payment to Zenith Hardware - CHQ-005113</t>
  </si>
  <si>
    <t xml:space="preserve">M00826</t>
  </si>
  <si>
    <t xml:space="preserve">B00303</t>
  </si>
  <si>
    <t xml:space="preserve">L00298</t>
  </si>
  <si>
    <t xml:space="preserve">CHQ 005092 PINNACLE PRINT</t>
  </si>
  <si>
    <t xml:space="preserve">Cheque payment to Pinnacle Print - CHQ-005092</t>
  </si>
  <si>
    <t xml:space="preserve">M00827</t>
  </si>
  <si>
    <t xml:space="preserve">B00359</t>
  </si>
  <si>
    <t xml:space="preserve">L00342</t>
  </si>
  <si>
    <t xml:space="preserve">CHQ 005009 ATLAS FREIGHT</t>
  </si>
  <si>
    <t xml:space="preserve">Cheque payment to Atlas Freight - CHQ-005009</t>
  </si>
  <si>
    <t xml:space="preserve">M00828</t>
  </si>
  <si>
    <t xml:space="preserve">B00360</t>
  </si>
  <si>
    <t xml:space="preserve">L00343</t>
  </si>
  <si>
    <t xml:space="preserve">CHQ 005058 YONDER TRAVEL</t>
  </si>
  <si>
    <t xml:space="preserve">Cheque payment to Yonder Travel - CHQ-005058</t>
  </si>
  <si>
    <t xml:space="preserve">M00829</t>
  </si>
  <si>
    <t xml:space="preserve">B00371</t>
  </si>
  <si>
    <t xml:space="preserve">L00359</t>
  </si>
  <si>
    <t xml:space="preserve">CHQ 005172 PINNACLE PRINT</t>
  </si>
  <si>
    <t xml:space="preserve">Cheque payment to Pinnacle Print - CHQ-005172</t>
  </si>
  <si>
    <t xml:space="preserve">M00830</t>
  </si>
  <si>
    <t xml:space="preserve">B00377</t>
  </si>
  <si>
    <t xml:space="preserve">L00364</t>
  </si>
  <si>
    <t xml:space="preserve">CHQ 005424 ORCHID CATERING</t>
  </si>
  <si>
    <t xml:space="preserve">Cheque payment to Orchid Catering - CHQ-005424</t>
  </si>
  <si>
    <t xml:space="preserve">M00831</t>
  </si>
  <si>
    <t xml:space="preserve">B00434</t>
  </si>
  <si>
    <t xml:space="preserve">L00420</t>
  </si>
  <si>
    <t xml:space="preserve">CHQ 005304 ORCHID CATERING</t>
  </si>
  <si>
    <t xml:space="preserve">Cheque payment to Orchid Catering - CHQ-005304</t>
  </si>
  <si>
    <t xml:space="preserve">M00832</t>
  </si>
  <si>
    <t xml:space="preserve">B00446</t>
  </si>
  <si>
    <t xml:space="preserve">L00429</t>
  </si>
  <si>
    <t xml:space="preserve">CHQ 005059 ATLAS FREIGHT</t>
  </si>
  <si>
    <t xml:space="preserve">Cheque payment to Atlas Freight - CHQ-005059</t>
  </si>
  <si>
    <t xml:space="preserve">M00833</t>
  </si>
  <si>
    <t xml:space="preserve">B00460</t>
  </si>
  <si>
    <t xml:space="preserve">L00449</t>
  </si>
  <si>
    <t xml:space="preserve">CHQ 005310 BIRCH PACKAGING</t>
  </si>
  <si>
    <t xml:space="preserve">Cheque payment to Birch Packaging - CHQ-005310</t>
  </si>
  <si>
    <t xml:space="preserve">M00834</t>
  </si>
  <si>
    <t xml:space="preserve">B00469</t>
  </si>
  <si>
    <t xml:space="preserve">L00456</t>
  </si>
  <si>
    <t xml:space="preserve">CHQ 005047 WILLOW FURNISHINGS</t>
  </si>
  <si>
    <t xml:space="preserve">Cheque payment to Willow Furnishings - CHQ-005047</t>
  </si>
  <si>
    <t xml:space="preserve">M00835</t>
  </si>
  <si>
    <t xml:space="preserve">B00495</t>
  </si>
  <si>
    <t xml:space="preserve">L00487</t>
  </si>
  <si>
    <t xml:space="preserve">CHQ 005225 SUMMIT SECURITY</t>
  </si>
  <si>
    <t xml:space="preserve">Cheque payment to Summit Security - CHQ-005225</t>
  </si>
  <si>
    <t xml:space="preserve">M00836</t>
  </si>
  <si>
    <t xml:space="preserve">B00519</t>
  </si>
  <si>
    <t xml:space="preserve">L00513</t>
  </si>
  <si>
    <t xml:space="preserve">CHQ 005053 ZENITH HARDWARE</t>
  </si>
  <si>
    <t xml:space="preserve">Cheque payment to Zenith Hardware - CHQ-005053</t>
  </si>
  <si>
    <t xml:space="preserve">M00837</t>
  </si>
  <si>
    <t xml:space="preserve">B00524</t>
  </si>
  <si>
    <t xml:space="preserve">L00517</t>
  </si>
  <si>
    <t xml:space="preserve">CHQ 005394 ORCHID CATERING</t>
  </si>
  <si>
    <t xml:space="preserve">Cheque payment to Orchid Catering - CHQ-005394</t>
  </si>
  <si>
    <t xml:space="preserve">M00838</t>
  </si>
  <si>
    <t xml:space="preserve">B00525</t>
  </si>
  <si>
    <t xml:space="preserve">L00518</t>
  </si>
  <si>
    <t xml:space="preserve">CHQ 005410 BIRCH PACKAGING</t>
  </si>
  <si>
    <t xml:space="preserve">Cheque payment to Birch Packaging - CHQ-005410</t>
  </si>
  <si>
    <t xml:space="preserve">M00839</t>
  </si>
  <si>
    <t xml:space="preserve">B00537</t>
  </si>
  <si>
    <t xml:space="preserve">L00532</t>
  </si>
  <si>
    <t xml:space="preserve">CHQ 005322 PINNACLE PRINT</t>
  </si>
  <si>
    <t xml:space="preserve">Cheque payment to Pinnacle Print - CHQ-005322</t>
  </si>
  <si>
    <t xml:space="preserve">M00840</t>
  </si>
  <si>
    <t xml:space="preserve">B00551</t>
  </si>
  <si>
    <t xml:space="preserve">L00540</t>
  </si>
  <si>
    <t xml:space="preserve">CHQ 005134 ORCHID CATERING</t>
  </si>
  <si>
    <t xml:space="preserve">Cheque payment to Orchid Catering - CHQ-005134</t>
  </si>
  <si>
    <t xml:space="preserve">M00841</t>
  </si>
  <si>
    <t xml:space="preserve">B00564</t>
  </si>
  <si>
    <t xml:space="preserve">L00551</t>
  </si>
  <si>
    <t xml:space="preserve">CHQ 005437 WILLOW FURNISHINGS</t>
  </si>
  <si>
    <t xml:space="preserve">Cheque payment to Willow Furnishings - CHQ-005437</t>
  </si>
  <si>
    <t xml:space="preserve">M00842</t>
  </si>
  <si>
    <t xml:space="preserve">B00570</t>
  </si>
  <si>
    <t xml:space="preserve">L00563</t>
  </si>
  <si>
    <t xml:space="preserve">CHQ 005254 ORCHID CATERING</t>
  </si>
  <si>
    <t xml:space="preserve">Cheque payment to Orchid Catering - CHQ-005254</t>
  </si>
  <si>
    <t xml:space="preserve">M00843</t>
  </si>
  <si>
    <t xml:space="preserve">B00572</t>
  </si>
  <si>
    <t xml:space="preserve">L00565</t>
  </si>
  <si>
    <t xml:space="preserve">CHQ 005321 KESTREL OFFICE SUPPLIES</t>
  </si>
  <si>
    <t xml:space="preserve">Cheque payment to Kestrel Office Supplies - CHQ-005321</t>
  </si>
  <si>
    <t xml:space="preserve">M00844</t>
  </si>
  <si>
    <t xml:space="preserve">B00582</t>
  </si>
  <si>
    <t xml:space="preserve">L00579</t>
  </si>
  <si>
    <t xml:space="preserve">CHQ 005285 SUMMIT SECURITY</t>
  </si>
  <si>
    <t xml:space="preserve">Cheque payment to Summit Security - CHQ-005285</t>
  </si>
  <si>
    <t xml:space="preserve">M00845</t>
  </si>
  <si>
    <t xml:space="preserve">B00600</t>
  </si>
  <si>
    <t xml:space="preserve">L00597</t>
  </si>
  <si>
    <t xml:space="preserve">CHQ 005086 VERTEX CONSULTING</t>
  </si>
  <si>
    <t xml:space="preserve">Cheque payment to Vertex Consulting - CHQ-005086</t>
  </si>
  <si>
    <t xml:space="preserve">M00846</t>
  </si>
  <si>
    <t xml:space="preserve">B00605</t>
  </si>
  <si>
    <t xml:space="preserve">L00600</t>
  </si>
  <si>
    <t xml:space="preserve">CHQ 005312 PINNACLE PRINT</t>
  </si>
  <si>
    <t xml:space="preserve">Cheque payment to Pinnacle Print - CHQ-005312</t>
  </si>
  <si>
    <t xml:space="preserve">M00847</t>
  </si>
  <si>
    <t xml:space="preserve">B00614</t>
  </si>
  <si>
    <t xml:space="preserve">L00609</t>
  </si>
  <si>
    <t xml:space="preserve">CHQ 005052 PINNACLE PRINT</t>
  </si>
  <si>
    <t xml:space="preserve">Cheque payment to Pinnacle Print - CHQ-005052</t>
  </si>
  <si>
    <t xml:space="preserve">M00848</t>
  </si>
  <si>
    <t xml:space="preserve">B00630</t>
  </si>
  <si>
    <t xml:space="preserve">L00625</t>
  </si>
  <si>
    <t xml:space="preserve">CHQ 005389 ATLAS FREIGHT</t>
  </si>
  <si>
    <t xml:space="preserve">Cheque payment to Atlas Freight - CHQ-005389</t>
  </si>
  <si>
    <t xml:space="preserve">M00849</t>
  </si>
  <si>
    <t xml:space="preserve">B00663</t>
  </si>
  <si>
    <t xml:space="preserve">L00656</t>
  </si>
  <si>
    <t xml:space="preserve">CHQ 005361 KESTREL OFFICE SUPPLIES</t>
  </si>
  <si>
    <t xml:space="preserve">Cheque payment to Kestrel Office Supplies - CHQ-005361</t>
  </si>
  <si>
    <t xml:space="preserve">M00850</t>
  </si>
  <si>
    <t xml:space="preserve">B00664</t>
  </si>
  <si>
    <t xml:space="preserve">L00658</t>
  </si>
  <si>
    <t xml:space="preserve">CHQ 005426 VERTEX CONSULTING</t>
  </si>
  <si>
    <t xml:space="preserve">Cheque payment to Vertex Consulting - CHQ-005426</t>
  </si>
  <si>
    <t xml:space="preserve">M00851</t>
  </si>
  <si>
    <t xml:space="preserve">B00690</t>
  </si>
  <si>
    <t xml:space="preserve">L00689</t>
  </si>
  <si>
    <t xml:space="preserve">CHQ 005359 ATLAS FREIGHT</t>
  </si>
  <si>
    <t xml:space="preserve">Cheque payment to Atlas Freight - CHQ-005359</t>
  </si>
  <si>
    <t xml:space="preserve">M00852</t>
  </si>
  <si>
    <t xml:space="preserve">B00700</t>
  </si>
  <si>
    <t xml:space="preserve">L00696</t>
  </si>
  <si>
    <t xml:space="preserve">CHQ 005317 WILLOW FURNISHINGS</t>
  </si>
  <si>
    <t xml:space="preserve">Cheque payment to Willow Furnishings - CHQ-005317</t>
  </si>
  <si>
    <t xml:space="preserve">M00853</t>
  </si>
  <si>
    <t xml:space="preserve">B00710</t>
  </si>
  <si>
    <t xml:space="preserve">L00711</t>
  </si>
  <si>
    <t xml:space="preserve">CHQ 005360 BIRCH PACKAGING</t>
  </si>
  <si>
    <t xml:space="preserve">Cheque payment to Birch Packaging - CHQ-005360</t>
  </si>
  <si>
    <t xml:space="preserve">M00854</t>
  </si>
  <si>
    <t xml:space="preserve">B00724</t>
  </si>
  <si>
    <t xml:space="preserve">L00721</t>
  </si>
  <si>
    <t xml:space="preserve">CHQ 005108 YONDER TRAVEL</t>
  </si>
  <si>
    <t xml:space="preserve">Cheque payment to Yonder Travel - CHQ-005108</t>
  </si>
  <si>
    <t xml:space="preserve">M00855</t>
  </si>
  <si>
    <t xml:space="preserve">B00741</t>
  </si>
  <si>
    <t xml:space="preserve">L00730</t>
  </si>
  <si>
    <t xml:space="preserve">CHQ 005003 ZENITH HARDWARE</t>
  </si>
  <si>
    <t xml:space="preserve">Cheque payment to Zenith Hardware - CHQ-005003</t>
  </si>
  <si>
    <t xml:space="preserve">M00856</t>
  </si>
  <si>
    <t xml:space="preserve">B00743</t>
  </si>
  <si>
    <t xml:space="preserve">L00731</t>
  </si>
  <si>
    <t xml:space="preserve">CHQ 005141 KESTREL OFFICE SUPPLIES</t>
  </si>
  <si>
    <t xml:space="preserve">Cheque payment to Kestrel Office Supplies - CHQ-005141</t>
  </si>
  <si>
    <t xml:space="preserve">M00857</t>
  </si>
  <si>
    <t xml:space="preserve">B00745</t>
  </si>
  <si>
    <t xml:space="preserve">L00732</t>
  </si>
  <si>
    <t xml:space="preserve">CHQ 005420 BIRCH PACKAGING</t>
  </si>
  <si>
    <t xml:space="preserve">Cheque payment to Birch Packaging - CHQ-005420</t>
  </si>
  <si>
    <t xml:space="preserve">M00858</t>
  </si>
  <si>
    <t xml:space="preserve">B00773</t>
  </si>
  <si>
    <t xml:space="preserve">L00761</t>
  </si>
  <si>
    <t xml:space="preserve">CHQ 005231 KESTREL OFFICE SUPPLIES</t>
  </si>
  <si>
    <t xml:space="preserve">Cheque payment to Kestrel Office Supplies - CHQ-005231</t>
  </si>
  <si>
    <t xml:space="preserve">M00859</t>
  </si>
  <si>
    <t xml:space="preserve">B00802</t>
  </si>
  <si>
    <t xml:space="preserve">L00786</t>
  </si>
  <si>
    <t xml:space="preserve">CHQ 005138 YONDER TRAVEL</t>
  </si>
  <si>
    <t xml:space="preserve">Cheque payment to Yonder Travel - CHQ-005138</t>
  </si>
  <si>
    <t xml:space="preserve">M00860</t>
  </si>
  <si>
    <t xml:space="preserve">B00854</t>
  </si>
  <si>
    <t xml:space="preserve">L00838</t>
  </si>
  <si>
    <t xml:space="preserve">CHQ 005157 WILLOW FURNISHINGS</t>
  </si>
  <si>
    <t xml:space="preserve">Cheque payment to Willow Furnishings - CHQ-005157</t>
  </si>
  <si>
    <t xml:space="preserve">M00861</t>
  </si>
  <si>
    <t xml:space="preserve">B00872</t>
  </si>
  <si>
    <t xml:space="preserve">L00862</t>
  </si>
  <si>
    <t xml:space="preserve">CHQ 005016 VERTEX CONSULTING</t>
  </si>
  <si>
    <t xml:space="preserve">Cheque payment to Vertex Consulting - CHQ-005016</t>
  </si>
  <si>
    <t xml:space="preserve">M00862</t>
  </si>
  <si>
    <t xml:space="preserve">B00882</t>
  </si>
  <si>
    <t xml:space="preserve">L00873</t>
  </si>
  <si>
    <t xml:space="preserve">CHQ 005033 ZENITH HARDWARE</t>
  </si>
  <si>
    <t xml:space="preserve">Cheque payment to Zenith Hardware - CHQ-005033</t>
  </si>
  <si>
    <t xml:space="preserve">M00863</t>
  </si>
  <si>
    <t xml:space="preserve">B00898</t>
  </si>
  <si>
    <t xml:space="preserve">L00888</t>
  </si>
  <si>
    <t xml:space="preserve">CHQ 005345 SUMMIT SECURITY</t>
  </si>
  <si>
    <t xml:space="preserve">Cheque payment to Summit Security - CHQ-005345</t>
  </si>
  <si>
    <t xml:space="preserve">M00864</t>
  </si>
  <si>
    <t xml:space="preserve">B00900</t>
  </si>
  <si>
    <t xml:space="preserve">L00891</t>
  </si>
  <si>
    <t xml:space="preserve">CHQ 005417 WILLOW FURNISHINGS</t>
  </si>
  <si>
    <t xml:space="preserve">Cheque payment to Willow Furnishings - CHQ-005417</t>
  </si>
  <si>
    <t xml:space="preserve">M00865</t>
  </si>
  <si>
    <t xml:space="preserve">B00938</t>
  </si>
  <si>
    <t xml:space="preserve">L00923</t>
  </si>
  <si>
    <t xml:space="preserve">CHQ 005127 WILLOW FURNISHINGS</t>
  </si>
  <si>
    <t xml:space="preserve">Cheque payment to Willow Furnishings - CHQ-005127</t>
  </si>
  <si>
    <t xml:space="preserve">M00866</t>
  </si>
  <si>
    <t xml:space="preserve">B00967</t>
  </si>
  <si>
    <t xml:space="preserve">L00955</t>
  </si>
  <si>
    <t xml:space="preserve">CHQ 005186 VERTEX CONSULTING</t>
  </si>
  <si>
    <t xml:space="preserve">Cheque payment to Vertex Consulting - CHQ-005186</t>
  </si>
  <si>
    <t xml:space="preserve">M00867</t>
  </si>
  <si>
    <t xml:space="preserve">B00970</t>
  </si>
  <si>
    <t xml:space="preserve">L00958</t>
  </si>
  <si>
    <t xml:space="preserve">CHQ 005419 ATLAS FREIGHT</t>
  </si>
  <si>
    <t xml:space="preserve">Cheque payment to Atlas Freight - CHQ-005419</t>
  </si>
  <si>
    <t xml:space="preserve">M00868</t>
  </si>
  <si>
    <t xml:space="preserve">B00985</t>
  </si>
  <si>
    <t xml:space="preserve">L00967</t>
  </si>
  <si>
    <t xml:space="preserve">CHQ 005178 YONDER TRAVEL</t>
  </si>
  <si>
    <t xml:space="preserve">Cheque payment to Yonder Travel - CHQ-005178</t>
  </si>
  <si>
    <t xml:space="preserve">M00869</t>
  </si>
  <si>
    <t xml:space="preserve">B01003</t>
  </si>
  <si>
    <t xml:space="preserve">L00980</t>
  </si>
  <si>
    <t xml:space="preserve">CHQ 005219 ATLAS FREIGHT</t>
  </si>
  <si>
    <t xml:space="preserve">Cheque payment to Atlas Freight - CHQ-005219</t>
  </si>
  <si>
    <t xml:space="preserve">M00870</t>
  </si>
  <si>
    <t xml:space="preserve">B01016</t>
  </si>
  <si>
    <t xml:space="preserve">L00997</t>
  </si>
  <si>
    <t xml:space="preserve">CHQ 005382 PINNACLE PRINT</t>
  </si>
  <si>
    <t xml:space="preserve">Cheque payment to Pinnacle Print - CHQ-005382</t>
  </si>
  <si>
    <t xml:space="preserve">M00871</t>
  </si>
  <si>
    <t xml:space="preserve">B01025</t>
  </si>
  <si>
    <t xml:space="preserve">L01008</t>
  </si>
  <si>
    <t xml:space="preserve">CHQ 005129 ATLAS FREIGHT</t>
  </si>
  <si>
    <t xml:space="preserve">Cheque payment to Atlas Freight - CHQ-005129</t>
  </si>
  <si>
    <t xml:space="preserve">M00872</t>
  </si>
  <si>
    <t xml:space="preserve">B01058</t>
  </si>
  <si>
    <t xml:space="preserve">L01036</t>
  </si>
  <si>
    <t xml:space="preserve">CHQ 005034 ORCHID CATERING</t>
  </si>
  <si>
    <t xml:space="preserve">Cheque payment to Orchid Catering - CHQ-005034</t>
  </si>
  <si>
    <t xml:space="preserve">M00873</t>
  </si>
  <si>
    <t xml:space="preserve">B01098</t>
  </si>
  <si>
    <t xml:space="preserve">L01079</t>
  </si>
  <si>
    <t xml:space="preserve">CHQ 005161 KESTREL OFFICE SUPPLIES</t>
  </si>
  <si>
    <t xml:space="preserve">Cheque payment to Kestrel Office Supplies - CHQ-005161</t>
  </si>
  <si>
    <t xml:space="preserve">M00874</t>
  </si>
  <si>
    <t xml:space="preserve">B01114</t>
  </si>
  <si>
    <t xml:space="preserve">L01098</t>
  </si>
  <si>
    <t xml:space="preserve">CHQ 005372 PINNACLE PRINT</t>
  </si>
  <si>
    <t xml:space="preserve">Cheque payment to Pinnacle Print - CHQ-005372</t>
  </si>
  <si>
    <t xml:space="preserve">M00875</t>
  </si>
  <si>
    <t xml:space="preserve">B01124</t>
  </si>
  <si>
    <t xml:space="preserve">L01118</t>
  </si>
  <si>
    <t xml:space="preserve">CHQ 005387 WILLOW FURNISHINGS</t>
  </si>
  <si>
    <t xml:space="preserve">Cheque payment to Willow Furnishings - CHQ-005387</t>
  </si>
  <si>
    <t xml:space="preserve">M00876</t>
  </si>
  <si>
    <t xml:space="preserve">B01125</t>
  </si>
  <si>
    <t xml:space="preserve">L01129</t>
  </si>
  <si>
    <t xml:space="preserve">CHQ 005257 WILLOW FURNISHINGS</t>
  </si>
  <si>
    <t xml:space="preserve">Cheque payment to Willow Furnishings - CHQ-005257</t>
  </si>
  <si>
    <t xml:space="preserve">M00877</t>
  </si>
  <si>
    <t xml:space="preserve">B00055</t>
  </si>
  <si>
    <t xml:space="preserve">L00017</t>
  </si>
  <si>
    <t xml:space="preserve">CHQ 005401 KESTREL OFFICE SUPPLIES</t>
  </si>
  <si>
    <t xml:space="preserve">Cheque payment to Kestrel Office Supplies - CHQ-005401</t>
  </si>
  <si>
    <t xml:space="preserve">M00878</t>
  </si>
  <si>
    <t xml:space="preserve">B00096</t>
  </si>
  <si>
    <t xml:space="preserve">L00055</t>
  </si>
  <si>
    <t xml:space="preserve">CHQ 005305 SUMMIT SECURITY</t>
  </si>
  <si>
    <t xml:space="preserve">Cheque payment to Summit Security - CHQ-005305</t>
  </si>
  <si>
    <t xml:space="preserve">M00879</t>
  </si>
  <si>
    <t xml:space="preserve">B00108</t>
  </si>
  <si>
    <t xml:space="preserve">L00067</t>
  </si>
  <si>
    <t xml:space="preserve">CHQ 005164 ORCHID CATERING</t>
  </si>
  <si>
    <t xml:space="preserve">Cheque payment to Orchid Catering - CHQ-005164</t>
  </si>
  <si>
    <t xml:space="preserve">M00880</t>
  </si>
  <si>
    <t xml:space="preserve">B00110</t>
  </si>
  <si>
    <t xml:space="preserve">L00069</t>
  </si>
  <si>
    <t xml:space="preserve">CHQ 005245 SUMMIT SECURITY</t>
  </si>
  <si>
    <t xml:space="preserve">Cheque payment to Summit Security - CHQ-005245</t>
  </si>
  <si>
    <t xml:space="preserve">M00881</t>
  </si>
  <si>
    <t xml:space="preserve">B00119</t>
  </si>
  <si>
    <t xml:space="preserve">L00081</t>
  </si>
  <si>
    <t xml:space="preserve">CHQ 005004 ORCHID CATERING</t>
  </si>
  <si>
    <t xml:space="preserve">Cheque payment to Orchid Catering - CHQ-005004</t>
  </si>
  <si>
    <t xml:space="preserve">M00882</t>
  </si>
  <si>
    <t xml:space="preserve">B00121</t>
  </si>
  <si>
    <t xml:space="preserve">L00085</t>
  </si>
  <si>
    <t xml:space="preserve">CHQ 005094 ORCHID CATERING</t>
  </si>
  <si>
    <t xml:space="preserve">Cheque payment to Orchid Catering - CHQ-005094</t>
  </si>
  <si>
    <t xml:space="preserve">M00883</t>
  </si>
  <si>
    <t xml:space="preserve">B00142</t>
  </si>
  <si>
    <t xml:space="preserve">L00118</t>
  </si>
  <si>
    <t xml:space="preserve">CHQ 005306 VERTEX CONSULTING</t>
  </si>
  <si>
    <t xml:space="preserve">Cheque payment to Vertex Consulting - CHQ-005306</t>
  </si>
  <si>
    <t xml:space="preserve">M00884</t>
  </si>
  <si>
    <t xml:space="preserve">B00143</t>
  </si>
  <si>
    <t xml:space="preserve">L00120</t>
  </si>
  <si>
    <t xml:space="preserve">CHQ 005431 KESTREL OFFICE SUPPLIES</t>
  </si>
  <si>
    <t xml:space="preserve">Cheque payment to Kestrel Office Supplies - CHQ-005431</t>
  </si>
  <si>
    <t xml:space="preserve">M00885</t>
  </si>
  <si>
    <t xml:space="preserve">B00179</t>
  </si>
  <si>
    <t xml:space="preserve">L00144</t>
  </si>
  <si>
    <t xml:space="preserve">CHQ 005276 VERTEX CONSULTING</t>
  </si>
  <si>
    <t xml:space="preserve">Cheque payment to Vertex Consulting - CHQ-005276</t>
  </si>
  <si>
    <t xml:space="preserve">M00886</t>
  </si>
  <si>
    <t xml:space="preserve">B00195</t>
  </si>
  <si>
    <t xml:space="preserve">L00162</t>
  </si>
  <si>
    <t xml:space="preserve">CHQ 005073 ZENITH HARDWARE</t>
  </si>
  <si>
    <t xml:space="preserve">Cheque payment to Zenith Hardware - CHQ-005073</t>
  </si>
  <si>
    <t xml:space="preserve">M00887</t>
  </si>
  <si>
    <t xml:space="preserve">B00197</t>
  </si>
  <si>
    <t xml:space="preserve">L00168</t>
  </si>
  <si>
    <t xml:space="preserve">CHQ 005207 WILLOW FURNISHINGS</t>
  </si>
  <si>
    <t xml:space="preserve">Cheque payment to Willow Furnishings - CHQ-005207</t>
  </si>
  <si>
    <t xml:space="preserve">M00888</t>
  </si>
  <si>
    <t xml:space="preserve">B00219</t>
  </si>
  <si>
    <t xml:space="preserve">L00198</t>
  </si>
  <si>
    <t xml:space="preserve">CHQ 005155 SUMMIT SECURITY</t>
  </si>
  <si>
    <t xml:space="preserve">Cheque payment to Summit Security - CHQ-005155</t>
  </si>
  <si>
    <t xml:space="preserve">M00889</t>
  </si>
  <si>
    <t xml:space="preserve">B00238</t>
  </si>
  <si>
    <t xml:space="preserve">L00210</t>
  </si>
  <si>
    <t xml:space="preserve">CHQ 005348 YONDER TRAVEL</t>
  </si>
  <si>
    <t xml:space="preserve">Cheque payment to Yonder Travel - CHQ-005348</t>
  </si>
  <si>
    <t xml:space="preserve">M00890</t>
  </si>
  <si>
    <t xml:space="preserve">B00265</t>
  </si>
  <si>
    <t xml:space="preserve">L00228</t>
  </si>
  <si>
    <t xml:space="preserve">CHQ 005063 ZENITH HARDWARE</t>
  </si>
  <si>
    <t xml:space="preserve">Cheque payment to Zenith Hardware - CHQ-005063</t>
  </si>
  <si>
    <t xml:space="preserve">M00891</t>
  </si>
  <si>
    <t xml:space="preserve">B00267</t>
  </si>
  <si>
    <t xml:space="preserve">L00232</t>
  </si>
  <si>
    <t xml:space="preserve">CHQ 005234 ORCHID CATERING</t>
  </si>
  <si>
    <t xml:space="preserve">Cheque payment to Orchid Catering - CHQ-005234</t>
  </si>
  <si>
    <t xml:space="preserve">M00892</t>
  </si>
  <si>
    <t xml:space="preserve">B00269</t>
  </si>
  <si>
    <t xml:space="preserve">L00233</t>
  </si>
  <si>
    <t xml:space="preserve">CHQ 005275 SUMMIT SECURITY</t>
  </si>
  <si>
    <t xml:space="preserve">Cheque payment to Summit Security - CHQ-005275</t>
  </si>
  <si>
    <t xml:space="preserve">M00893</t>
  </si>
  <si>
    <t xml:space="preserve">B00282</t>
  </si>
  <si>
    <t xml:space="preserve">L00246</t>
  </si>
  <si>
    <t xml:space="preserve">CHQ 005153 ZENITH HARDWARE</t>
  </si>
  <si>
    <t xml:space="preserve">Cheque payment to Zenith Hardware - CHQ-005153</t>
  </si>
  <si>
    <t xml:space="preserve">M00894</t>
  </si>
  <si>
    <t xml:space="preserve">B00288</t>
  </si>
  <si>
    <t xml:space="preserve">L00261</t>
  </si>
  <si>
    <t xml:space="preserve">CHQ 005029 ATLAS FREIGHT</t>
  </si>
  <si>
    <t xml:space="preserve">Cheque payment to Atlas Freight - CHQ-005029</t>
  </si>
  <si>
    <t xml:space="preserve">M00895</t>
  </si>
  <si>
    <t xml:space="preserve">B00289</t>
  </si>
  <si>
    <t xml:space="preserve">L00262</t>
  </si>
  <si>
    <t xml:space="preserve">CHQ 005125 SUMMIT SECURITY</t>
  </si>
  <si>
    <t xml:space="preserve">Cheque payment to Summit Security - CHQ-005125</t>
  </si>
  <si>
    <t xml:space="preserve">M00896</t>
  </si>
  <si>
    <t xml:space="preserve">B00293</t>
  </si>
  <si>
    <t xml:space="preserve">L00263</t>
  </si>
  <si>
    <t xml:space="preserve">CHQ 005223 ZENITH HARDWARE</t>
  </si>
  <si>
    <t xml:space="preserve">Cheque payment to Zenith Hardware - CHQ-005223</t>
  </si>
  <si>
    <t xml:space="preserve">M00897</t>
  </si>
  <si>
    <t xml:space="preserve">B00306</t>
  </si>
  <si>
    <t xml:space="preserve">L00283</t>
  </si>
  <si>
    <t xml:space="preserve">CHQ 005334 ORCHID CATERING</t>
  </si>
  <si>
    <t xml:space="preserve">Cheque payment to Orchid Catering - CHQ-005334</t>
  </si>
  <si>
    <t xml:space="preserve">M00898</t>
  </si>
  <si>
    <t xml:space="preserve">B00321</t>
  </si>
  <si>
    <t xml:space="preserve">L00302</t>
  </si>
  <si>
    <t xml:space="preserve">CHQ 005309 ATLAS FREIGHT</t>
  </si>
  <si>
    <t xml:space="preserve">Cheque payment to Atlas Freight - CHQ-005309</t>
  </si>
  <si>
    <t xml:space="preserve">M00899</t>
  </si>
  <si>
    <t xml:space="preserve">B00331</t>
  </si>
  <si>
    <t xml:space="preserve">L00311</t>
  </si>
  <si>
    <t xml:space="preserve">CHQ 005259 ATLAS FREIGHT</t>
  </si>
  <si>
    <t xml:space="preserve">Cheque payment to Atlas Freight - CHQ-005259</t>
  </si>
  <si>
    <t xml:space="preserve">M00900</t>
  </si>
  <si>
    <t xml:space="preserve">B00345</t>
  </si>
  <si>
    <t xml:space="preserve">L00320</t>
  </si>
  <si>
    <t xml:space="preserve">CHQ 005396 VERTEX CONSULTING</t>
  </si>
  <si>
    <t xml:space="preserve">Cheque payment to Vertex Consulting - CHQ-005396</t>
  </si>
  <si>
    <t xml:space="preserve">M00901</t>
  </si>
  <si>
    <t xml:space="preserve">B00372</t>
  </si>
  <si>
    <t xml:space="preserve">L00345</t>
  </si>
  <si>
    <t xml:space="preserve">CHQ 005190 BIRCH PACKAGING</t>
  </si>
  <si>
    <t xml:space="preserve">Cheque payment to Birch Packaging - CHQ-005190</t>
  </si>
  <si>
    <t xml:space="preserve">M00902</t>
  </si>
  <si>
    <t xml:space="preserve">B00373</t>
  </si>
  <si>
    <t xml:space="preserve">L00346</t>
  </si>
  <si>
    <t xml:space="preserve">CHQ 005201 KESTREL OFFICE SUPPLIES</t>
  </si>
  <si>
    <t xml:space="preserve">Cheque payment to Kestrel Office Supplies - CHQ-005201</t>
  </si>
  <si>
    <t xml:space="preserve">M00903</t>
  </si>
  <si>
    <t xml:space="preserve">B00385</t>
  </si>
  <si>
    <t xml:space="preserve">L00360</t>
  </si>
  <si>
    <t xml:space="preserve">CHQ 005188 YONDER TRAVEL</t>
  </si>
  <si>
    <t xml:space="preserve">Cheque payment to Yonder Travel - CHQ-005188</t>
  </si>
  <si>
    <t xml:space="preserve">M00904</t>
  </si>
  <si>
    <t xml:space="preserve">B00386</t>
  </si>
  <si>
    <t xml:space="preserve">L00361</t>
  </si>
  <si>
    <t xml:space="preserve">CHQ 005208 YONDER TRAVEL</t>
  </si>
  <si>
    <t xml:space="preserve">Cheque payment to Yonder Travel - CHQ-005208</t>
  </si>
  <si>
    <t xml:space="preserve">M00905</t>
  </si>
  <si>
    <t xml:space="preserve">B00398</t>
  </si>
  <si>
    <t xml:space="preserve">L00376</t>
  </si>
  <si>
    <t xml:space="preserve">CHQ 005018 YONDER TRAVEL</t>
  </si>
  <si>
    <t xml:space="preserve">Cheque payment to Yonder Travel - CHQ-005018</t>
  </si>
  <si>
    <t xml:space="preserve">M00906</t>
  </si>
  <si>
    <t xml:space="preserve">B00416</t>
  </si>
  <si>
    <t xml:space="preserve">L00391</t>
  </si>
  <si>
    <t xml:space="preserve">CHQ 005328 YONDER TRAVEL</t>
  </si>
  <si>
    <t xml:space="preserve">Cheque payment to Yonder Travel - CHQ-005328</t>
  </si>
  <si>
    <t xml:space="preserve">M00907</t>
  </si>
  <si>
    <t xml:space="preserve">B00418</t>
  </si>
  <si>
    <t xml:space="preserve">L00393</t>
  </si>
  <si>
    <t xml:space="preserve">CHQ 005429 ATLAS FREIGHT</t>
  </si>
  <si>
    <t xml:space="preserve">Cheque payment to Atlas Freight - CHQ-005429</t>
  </si>
  <si>
    <t xml:space="preserve">M00908</t>
  </si>
  <si>
    <t xml:space="preserve">B00431</t>
  </si>
  <si>
    <t xml:space="preserve">L00404</t>
  </si>
  <si>
    <t xml:space="preserve">CHQ 005192 PINNACLE PRINT</t>
  </si>
  <si>
    <t xml:space="preserve">Cheque payment to Pinnacle Print - CHQ-005192</t>
  </si>
  <si>
    <t xml:space="preserve">M00909</t>
  </si>
  <si>
    <t xml:space="preserve">B00447</t>
  </si>
  <si>
    <t xml:space="preserve">L00417</t>
  </si>
  <si>
    <t xml:space="preserve">CHQ 005096 VERTEX CONSULTING</t>
  </si>
  <si>
    <t xml:space="preserve">Cheque payment to Vertex Consulting - CHQ-005096</t>
  </si>
  <si>
    <t xml:space="preserve">M00910</t>
  </si>
  <si>
    <t xml:space="preserve">B00451</t>
  </si>
  <si>
    <t xml:space="preserve">L00421</t>
  </si>
  <si>
    <t xml:space="preserve">CHQ 005341 KESTREL OFFICE SUPPLIES</t>
  </si>
  <si>
    <t xml:space="preserve">Cheque payment to Kestrel Office Supplies - CHQ-005341</t>
  </si>
  <si>
    <t xml:space="preserve">M00911</t>
  </si>
  <si>
    <t xml:space="preserve">B00490</t>
  </si>
  <si>
    <t xml:space="preserve">L00472</t>
  </si>
  <si>
    <t xml:space="preserve">CHQ 005069 ATLAS FREIGHT</t>
  </si>
  <si>
    <t xml:space="preserve">Cheque payment to Atlas Freight - CHQ-005069</t>
  </si>
  <si>
    <t xml:space="preserve">M00912</t>
  </si>
  <si>
    <t xml:space="preserve">B00504</t>
  </si>
  <si>
    <t xml:space="preserve">L00486</t>
  </si>
  <si>
    <t xml:space="preserve">CHQ 005090 BIRCH PACKAGING</t>
  </si>
  <si>
    <t xml:space="preserve">Cheque payment to Birch Packaging - CHQ-005090</t>
  </si>
  <si>
    <t xml:space="preserve">M00913</t>
  </si>
  <si>
    <t xml:space="preserve">B00513</t>
  </si>
  <si>
    <t xml:space="preserve">L00497</t>
  </si>
  <si>
    <t xml:space="preserve">CHQ 005436 VERTEX CONSULTING</t>
  </si>
  <si>
    <t xml:space="preserve">Cheque payment to Vertex Consulting - CHQ-005436</t>
  </si>
  <si>
    <t xml:space="preserve">M00914</t>
  </si>
  <si>
    <t xml:space="preserve">B00521</t>
  </si>
  <si>
    <t xml:space="preserve">L00503</t>
  </si>
  <si>
    <t xml:space="preserve">CHQ 005273 ZENITH HARDWARE</t>
  </si>
  <si>
    <t xml:space="preserve">Cheque payment to Zenith Hardware - CHQ-005273</t>
  </si>
  <si>
    <t xml:space="preserve">M00915</t>
  </si>
  <si>
    <t xml:space="preserve">B00523</t>
  </si>
  <si>
    <t xml:space="preserve">L00505</t>
  </si>
  <si>
    <t xml:space="preserve">CHQ 005357 WILLOW FURNISHINGS</t>
  </si>
  <si>
    <t xml:space="preserve">M00916</t>
  </si>
  <si>
    <t xml:space="preserve">B00538</t>
  </si>
  <si>
    <t xml:space="preserve">L00519</t>
  </si>
  <si>
    <t xml:space="preserve">CHQ 005425 SUMMIT SECURITY</t>
  </si>
  <si>
    <t xml:space="preserve">Cheque payment to Summit Security - CHQ-005425</t>
  </si>
  <si>
    <t xml:space="preserve">M00917</t>
  </si>
  <si>
    <t xml:space="preserve">B00553</t>
  </si>
  <si>
    <t xml:space="preserve">L00531</t>
  </si>
  <si>
    <t xml:space="preserve">CHQ 005264 ORCHID CATERING</t>
  </si>
  <si>
    <t xml:space="preserve">Cheque payment to Orchid Catering - CHQ-005264</t>
  </si>
  <si>
    <t xml:space="preserve">M00918</t>
  </si>
  <si>
    <t xml:space="preserve">B00555</t>
  </si>
  <si>
    <t xml:space="preserve">L00533</t>
  </si>
  <si>
    <t xml:space="preserve">CHQ 005438 YONDER TRAVEL</t>
  </si>
  <si>
    <t xml:space="preserve">Cheque payment to Yonder Travel - CHQ-005438</t>
  </si>
  <si>
    <t xml:space="preserve">M00919</t>
  </si>
  <si>
    <t xml:space="preserve">B00581</t>
  </si>
  <si>
    <t xml:space="preserve">L00562</t>
  </si>
  <si>
    <t xml:space="preserve">CHQ 005173 ZENITH HARDWARE</t>
  </si>
  <si>
    <t xml:space="preserve">Cheque payment to Zenith Hardware - CHQ-005173</t>
  </si>
  <si>
    <t xml:space="preserve">M00920</t>
  </si>
  <si>
    <t xml:space="preserve">B00592</t>
  </si>
  <si>
    <t xml:space="preserve">L00577</t>
  </si>
  <si>
    <t xml:space="preserve">CHQ 005233 ZENITH HARDWARE</t>
  </si>
  <si>
    <t xml:space="preserve">Cheque payment to Zenith Hardware - CHQ-005233</t>
  </si>
  <si>
    <t xml:space="preserve">M00921</t>
  </si>
  <si>
    <t xml:space="preserve">B00593</t>
  </si>
  <si>
    <t xml:space="preserve">L00578</t>
  </si>
  <si>
    <t xml:space="preserve">CHQ 005238 YONDER TRAVEL</t>
  </si>
  <si>
    <t xml:space="preserve">Cheque payment to Yonder Travel - CHQ-005238</t>
  </si>
  <si>
    <t xml:space="preserve">M00922</t>
  </si>
  <si>
    <t xml:space="preserve">B00615</t>
  </si>
  <si>
    <t xml:space="preserve">L00596</t>
  </si>
  <si>
    <t xml:space="preserve">CHQ 005057 WILLOW FURNISHINGS</t>
  </si>
  <si>
    <t xml:space="preserve">Cheque payment to Willow Furnishings - CHQ-005057</t>
  </si>
  <si>
    <t xml:space="preserve">M00923</t>
  </si>
  <si>
    <t xml:space="preserve">B00640</t>
  </si>
  <si>
    <t xml:space="preserve">L00621</t>
  </si>
  <si>
    <t xml:space="preserve">CHQ 005079 ATLAS FREIGHT</t>
  </si>
  <si>
    <t xml:space="preserve">Cheque payment to Atlas Freight - CHQ-005079</t>
  </si>
  <si>
    <t xml:space="preserve">M00924</t>
  </si>
  <si>
    <t xml:space="preserve">B00649</t>
  </si>
  <si>
    <t xml:space="preserve">L00631</t>
  </si>
  <si>
    <t xml:space="preserve">CHQ 005007 WILLOW FURNISHINGS</t>
  </si>
  <si>
    <t xml:space="preserve">Cheque payment to Willow Furnishings - CHQ-005007</t>
  </si>
  <si>
    <t xml:space="preserve">M00925</t>
  </si>
  <si>
    <t xml:space="preserve">B00654</t>
  </si>
  <si>
    <t xml:space="preserve">L00632</t>
  </si>
  <si>
    <t xml:space="preserve">CHQ 005184 ORCHID CATERING</t>
  </si>
  <si>
    <t xml:space="preserve">Cheque payment to Orchid Catering - CHQ-005184</t>
  </si>
  <si>
    <t xml:space="preserve">M00926</t>
  </si>
  <si>
    <t xml:space="preserve">B00677</t>
  </si>
  <si>
    <t xml:space="preserve">L00657</t>
  </si>
  <si>
    <t xml:space="preserve">CHQ 005412 PINNACLE PRINT</t>
  </si>
  <si>
    <t xml:space="preserve">Cheque payment to Pinnacle Print - CHQ-005412</t>
  </si>
  <si>
    <t xml:space="preserve">M00927</t>
  </si>
  <si>
    <t xml:space="preserve">B00688</t>
  </si>
  <si>
    <t xml:space="preserve">L00669</t>
  </si>
  <si>
    <t xml:space="preserve">CHQ 005200 BIRCH PACKAGING</t>
  </si>
  <si>
    <t xml:space="preserve">Cheque payment to Birch Packaging - CHQ-005200</t>
  </si>
  <si>
    <t xml:space="preserve">M00928</t>
  </si>
  <si>
    <t xml:space="preserve">B00689</t>
  </si>
  <si>
    <t xml:space="preserve">L00670</t>
  </si>
  <si>
    <t xml:space="preserve">CHQ 005258 YONDER TRAVEL</t>
  </si>
  <si>
    <t xml:space="preserve">Cheque payment to Yonder Travel - CHQ-005258</t>
  </si>
  <si>
    <t xml:space="preserve">M00929</t>
  </si>
  <si>
    <t xml:space="preserve">B00691</t>
  </si>
  <si>
    <t xml:space="preserve">L00672</t>
  </si>
  <si>
    <t xml:space="preserve">CHQ 005376 VERTEX CONSULTING</t>
  </si>
  <si>
    <t xml:space="preserve">Cheque payment to Vertex Consulting - CHQ-005376</t>
  </si>
  <si>
    <t xml:space="preserve">M00930</t>
  </si>
  <si>
    <t xml:space="preserve">B00695</t>
  </si>
  <si>
    <t xml:space="preserve">L00681</t>
  </si>
  <si>
    <t xml:space="preserve">CHQ 005071 KESTREL OFFICE SUPPLIES</t>
  </si>
  <si>
    <t xml:space="preserve">Cheque payment to Kestrel Office Supplies - CHQ-005071</t>
  </si>
  <si>
    <t xml:space="preserve">M00931</t>
  </si>
  <si>
    <t xml:space="preserve">B00698</t>
  </si>
  <si>
    <t xml:space="preserve">L00686</t>
  </si>
  <si>
    <t xml:space="preserve">CHQ 005175 SUMMIT SECURITY</t>
  </si>
  <si>
    <t xml:space="preserve">Cheque payment to Summit Security - CHQ-005175</t>
  </si>
  <si>
    <t xml:space="preserve">M00932</t>
  </si>
  <si>
    <t xml:space="preserve">B00709</t>
  </si>
  <si>
    <t xml:space="preserve">L00697</t>
  </si>
  <si>
    <t xml:space="preserve">CHQ 005354 ORCHID CATERING</t>
  </si>
  <si>
    <t xml:space="preserve">Cheque payment to Orchid Catering - CHQ-005354</t>
  </si>
  <si>
    <t xml:space="preserve">M00933</t>
  </si>
  <si>
    <t xml:space="preserve">B00713</t>
  </si>
  <si>
    <t xml:space="preserve">L00700</t>
  </si>
  <si>
    <t xml:space="preserve">CHQ 005449 ATLAS FREIGHT</t>
  </si>
  <si>
    <t xml:space="preserve">Cheque payment to Atlas Freight - CHQ-005449</t>
  </si>
  <si>
    <t xml:space="preserve">M00934</t>
  </si>
  <si>
    <t xml:space="preserve">B00731</t>
  </si>
  <si>
    <t xml:space="preserve">L00712</t>
  </si>
  <si>
    <t xml:space="preserve">CHQ 005432 PINNACLE PRINT</t>
  </si>
  <si>
    <t xml:space="preserve">Cheque payment to Pinnacle Print - CHQ-005432</t>
  </si>
  <si>
    <t xml:space="preserve">M00935</t>
  </si>
  <si>
    <t xml:space="preserve">B00761</t>
  </si>
  <si>
    <t xml:space="preserve">L00733</t>
  </si>
  <si>
    <t xml:space="preserve">CHQ 005441 KESTREL OFFICE SUPPLIES</t>
  </si>
  <si>
    <t xml:space="preserve">Cheque payment to Kestrel Office Supplies - CHQ-005441</t>
  </si>
  <si>
    <t xml:space="preserve">M00936</t>
  </si>
  <si>
    <t xml:space="preserve">B00770</t>
  </si>
  <si>
    <t xml:space="preserve">L00742</t>
  </si>
  <si>
    <t xml:space="preserve">CHQ 005010 BIRCH PACKAGING</t>
  </si>
  <si>
    <t xml:space="preserve">Cheque payment to Birch Packaging - CHQ-005010</t>
  </si>
  <si>
    <t xml:space="preserve">M00937</t>
  </si>
  <si>
    <t xml:space="preserve">B00783</t>
  </si>
  <si>
    <t xml:space="preserve">L00758</t>
  </si>
  <si>
    <t xml:space="preserve">CHQ 005040 BIRCH PACKAGING</t>
  </si>
  <si>
    <t xml:space="preserve">Cheque payment to Birch Packaging - CHQ-005040</t>
  </si>
  <si>
    <t xml:space="preserve">M00938</t>
  </si>
  <si>
    <t xml:space="preserve">B00803</t>
  </si>
  <si>
    <t xml:space="preserve">L00776</t>
  </si>
  <si>
    <t xml:space="preserve">CHQ 005299 ATLAS FREIGHT</t>
  </si>
  <si>
    <t xml:space="preserve">Cheque payment to Atlas Freight - CHQ-005299</t>
  </si>
  <si>
    <t xml:space="preserve">M00939</t>
  </si>
  <si>
    <t xml:space="preserve">B00827</t>
  </si>
  <si>
    <t xml:space="preserve">L00797</t>
  </si>
  <si>
    <t xml:space="preserve">CHQ 005067 WILLOW FURNISHINGS</t>
  </si>
  <si>
    <t xml:space="preserve">Cheque payment to Willow Furnishings - CHQ-005067</t>
  </si>
  <si>
    <t xml:space="preserve">M00940</t>
  </si>
  <si>
    <t xml:space="preserve">B00862</t>
  </si>
  <si>
    <t xml:space="preserve">L00837</t>
  </si>
  <si>
    <t xml:space="preserve">CHQ 005027 WILLOW FURNISHINGS</t>
  </si>
  <si>
    <t xml:space="preserve">Cheque payment to Willow Furnishings - CHQ-005027</t>
  </si>
  <si>
    <t xml:space="preserve">M00941</t>
  </si>
  <si>
    <t xml:space="preserve">B00893</t>
  </si>
  <si>
    <t xml:space="preserve">L00871</t>
  </si>
  <si>
    <t xml:space="preserve">CHQ 005002 PINNACLE PRINT</t>
  </si>
  <si>
    <t xml:space="preserve">Cheque payment to Pinnacle Print - CHQ-005002</t>
  </si>
  <si>
    <t xml:space="preserve">M00942</t>
  </si>
  <si>
    <t xml:space="preserve">B00895</t>
  </si>
  <si>
    <t xml:space="preserve">L00872</t>
  </si>
  <si>
    <t xml:space="preserve">CHQ 005031 KESTREL OFFICE SUPPLIES</t>
  </si>
  <si>
    <t xml:space="preserve">Cheque payment to Kestrel Office Supplies - CHQ-005031</t>
  </si>
  <si>
    <t xml:space="preserve">M00943</t>
  </si>
  <si>
    <t xml:space="preserve">B00897</t>
  </si>
  <si>
    <t xml:space="preserve">L00875</t>
  </si>
  <si>
    <t xml:space="preserve">CHQ 005300 BIRCH PACKAGING</t>
  </si>
  <si>
    <t xml:space="preserve">Cheque payment to Birch Packaging - CHQ-005300</t>
  </si>
  <si>
    <t xml:space="preserve">M00944</t>
  </si>
  <si>
    <t xml:space="preserve">B00899</t>
  </si>
  <si>
    <t xml:space="preserve">L00876</t>
  </si>
  <si>
    <t xml:space="preserve">CHQ 005392 PINNACLE PRINT</t>
  </si>
  <si>
    <t xml:space="preserve">Cheque payment to Pinnacle Print - CHQ-005392</t>
  </si>
  <si>
    <t xml:space="preserve">M00945</t>
  </si>
  <si>
    <t xml:space="preserve">B00911</t>
  </si>
  <si>
    <t xml:space="preserve">L00887</t>
  </si>
  <si>
    <t xml:space="preserve">CHQ 005244 ORCHID CATERING</t>
  </si>
  <si>
    <t xml:space="preserve">Cheque payment to Orchid Catering - CHQ-005244</t>
  </si>
  <si>
    <t xml:space="preserve">M00946</t>
  </si>
  <si>
    <t xml:space="preserve">B00927</t>
  </si>
  <si>
    <t xml:space="preserve">L00900</t>
  </si>
  <si>
    <t xml:space="preserve">CHQ 005001 KESTREL OFFICE SUPPLIES</t>
  </si>
  <si>
    <t xml:space="preserve">Cheque payment to Kestrel Office Supplies - CHQ-005001</t>
  </si>
  <si>
    <t xml:space="preserve">M00947</t>
  </si>
  <si>
    <t xml:space="preserve">B00958</t>
  </si>
  <si>
    <t xml:space="preserve">L00924</t>
  </si>
  <si>
    <t xml:space="preserve">CHQ 005197 WILLOW FURNISHINGS</t>
  </si>
  <si>
    <t xml:space="preserve">Cheque payment to Willow Furnishings - CHQ-005197</t>
  </si>
  <si>
    <t xml:space="preserve">M00948</t>
  </si>
  <si>
    <t xml:space="preserve">B00965</t>
  </si>
  <si>
    <t xml:space="preserve">L00934</t>
  </si>
  <si>
    <t xml:space="preserve">CHQ 005008 YONDER TRAVEL</t>
  </si>
  <si>
    <t xml:space="preserve">Cheque payment to Yonder Travel - CHQ-005008</t>
  </si>
  <si>
    <t xml:space="preserve">M00949</t>
  </si>
  <si>
    <t xml:space="preserve">B00983</t>
  </si>
  <si>
    <t xml:space="preserve">L00950</t>
  </si>
  <si>
    <t xml:space="preserve">CHQ 005020 BIRCH PACKAGING</t>
  </si>
  <si>
    <t xml:space="preserve">Cheque payment to Birch Packaging - CHQ-005020</t>
  </si>
  <si>
    <t xml:space="preserve">M00950</t>
  </si>
  <si>
    <t xml:space="preserve">B01005</t>
  </si>
  <si>
    <t xml:space="preserve">L00968</t>
  </si>
  <si>
    <t xml:space="preserve">CHQ 005261 KESTREL OFFICE SUPPLIES</t>
  </si>
  <si>
    <t xml:space="preserve">Cheque payment to Kestrel Office Supplies - CHQ-005261</t>
  </si>
  <si>
    <t xml:space="preserve">M00951</t>
  </si>
  <si>
    <t xml:space="preserve">B01015</t>
  </si>
  <si>
    <t xml:space="preserve">L00979</t>
  </si>
  <si>
    <t xml:space="preserve">CHQ 005101 KESTREL OFFICE SUPPLIES</t>
  </si>
  <si>
    <t xml:space="preserve">Cheque payment to Kestrel Office Supplies - CHQ-005101</t>
  </si>
  <si>
    <t xml:space="preserve">M00952</t>
  </si>
  <si>
    <t xml:space="preserve">B01026</t>
  </si>
  <si>
    <t xml:space="preserve">L00994</t>
  </si>
  <si>
    <t xml:space="preserve">CHQ 005194 ORCHID CATERING</t>
  </si>
  <si>
    <t xml:space="preserve">Cheque payment to Orchid Catering - CHQ-005194</t>
  </si>
  <si>
    <t xml:space="preserve">M00953</t>
  </si>
  <si>
    <t xml:space="preserve">B01029</t>
  </si>
  <si>
    <t xml:space="preserve">L00995</t>
  </si>
  <si>
    <t xml:space="preserve">CHQ 005294 ORCHID CATERING</t>
  </si>
  <si>
    <t xml:space="preserve">Cheque payment to Orchid Catering - CHQ-005294</t>
  </si>
  <si>
    <t xml:space="preserve">M00954</t>
  </si>
  <si>
    <t xml:space="preserve">B01032</t>
  </si>
  <si>
    <t xml:space="preserve">L00996</t>
  </si>
  <si>
    <t xml:space="preserve">CHQ 005373 ZENITH HARDWARE</t>
  </si>
  <si>
    <t xml:space="preserve">Cheque payment to Zenith Hardware - CHQ-005373</t>
  </si>
  <si>
    <t xml:space="preserve">M00955</t>
  </si>
  <si>
    <t xml:space="preserve">B01060</t>
  </si>
  <si>
    <t xml:space="preserve">L01025</t>
  </si>
  <si>
    <t xml:space="preserve">CHQ 005295 SUMMIT SECURITY</t>
  </si>
  <si>
    <t xml:space="preserve">Cheque payment to Summit Security - CHQ-005295</t>
  </si>
  <si>
    <t xml:space="preserve">M00956</t>
  </si>
  <si>
    <t xml:space="preserve">B01063</t>
  </si>
  <si>
    <t xml:space="preserve">L01027</t>
  </si>
  <si>
    <t xml:space="preserve">CHQ 005363 ZENITH HARDWARE</t>
  </si>
  <si>
    <t xml:space="preserve">Cheque payment to Zenith Hardware - CHQ-005363</t>
  </si>
  <si>
    <t xml:space="preserve">M00957</t>
  </si>
  <si>
    <t xml:space="preserve">B01074</t>
  </si>
  <si>
    <t xml:space="preserve">L01039</t>
  </si>
  <si>
    <t xml:space="preserve">CHQ 005232 PINNACLE PRINT</t>
  </si>
  <si>
    <t xml:space="preserve">Cheque payment to Pinnacle Print - CHQ-005232</t>
  </si>
  <si>
    <t xml:space="preserve">M00958</t>
  </si>
  <si>
    <t xml:space="preserve">B01077</t>
  </si>
  <si>
    <t xml:space="preserve">L01041</t>
  </si>
  <si>
    <t xml:space="preserve">CHQ 005327 WILLOW FURNISHINGS</t>
  </si>
  <si>
    <t xml:space="preserve">Cheque payment to Willow Furnishings - CHQ-005327</t>
  </si>
  <si>
    <t xml:space="preserve">M00959</t>
  </si>
  <si>
    <t xml:space="preserve">B01096</t>
  </si>
  <si>
    <t xml:space="preserve">L01064</t>
  </si>
  <si>
    <t xml:space="preserve">CHQ 005066 VERTEX CONSULTING</t>
  </si>
  <si>
    <t xml:space="preserve">Cheque payment to Vertex Consulting - CHQ-005066</t>
  </si>
  <si>
    <t xml:space="preserve">M00960</t>
  </si>
  <si>
    <t xml:space="preserve">B01113</t>
  </si>
  <si>
    <t xml:space="preserve">L01081</t>
  </si>
  <si>
    <t xml:space="preserve">CHQ 005247 WILLOW FURNISHINGS</t>
  </si>
  <si>
    <t xml:space="preserve">Cheque payment to Willow Furnishings - CHQ-005247</t>
  </si>
  <si>
    <t xml:space="preserve">M00961</t>
  </si>
  <si>
    <t xml:space="preserve">B01117</t>
  </si>
  <si>
    <t xml:space="preserve">L01095</t>
  </si>
  <si>
    <t xml:space="preserve">CHQ 005028 YONDER TRAVEL</t>
  </si>
  <si>
    <t xml:space="preserve">Cheque payment to Yonder Travel - CHQ-005028</t>
  </si>
  <si>
    <t xml:space="preserve">M00962</t>
  </si>
  <si>
    <t xml:space="preserve">B00081</t>
  </si>
  <si>
    <t xml:space="preserve">L00026</t>
  </si>
  <si>
    <t xml:space="preserve">CHQ 005168 YONDER TRAVEL</t>
  </si>
  <si>
    <t xml:space="preserve">Cheque payment to Yonder Travel - CHQ-005168</t>
  </si>
  <si>
    <t xml:space="preserve">M00963</t>
  </si>
  <si>
    <t xml:space="preserve">B00083</t>
  </si>
  <si>
    <t xml:space="preserve">L00030</t>
  </si>
  <si>
    <t xml:space="preserve">CHQ 005423 ZENITH HARDWARE</t>
  </si>
  <si>
    <t xml:space="preserve">Cheque payment to Zenith Hardware - CHQ-005423</t>
  </si>
  <si>
    <t xml:space="preserve">M00964</t>
  </si>
  <si>
    <t xml:space="preserve">B00111</t>
  </si>
  <si>
    <t xml:space="preserve">L00054</t>
  </si>
  <si>
    <t xml:space="preserve">CHQ 005281 KESTREL OFFICE SUPPLIES</t>
  </si>
  <si>
    <t xml:space="preserve">Cheque payment to Kestrel Office Supplies - CHQ-005281</t>
  </si>
  <si>
    <t xml:space="preserve">M00965</t>
  </si>
  <si>
    <t xml:space="preserve">B00132</t>
  </si>
  <si>
    <t xml:space="preserve">L00082</t>
  </si>
  <si>
    <t xml:space="preserve">CHQ 005022 PINNACLE PRINT</t>
  </si>
  <si>
    <t xml:space="preserve">Cheque payment to Pinnacle Print - CHQ-005022</t>
  </si>
  <si>
    <t xml:space="preserve">M00966</t>
  </si>
  <si>
    <t xml:space="preserve">B00133</t>
  </si>
  <si>
    <t xml:space="preserve">L00086</t>
  </si>
  <si>
    <t xml:space="preserve">CHQ 005114 ORCHID CATERING</t>
  </si>
  <si>
    <t xml:space="preserve">Cheque payment to Orchid Catering - CHQ-005114</t>
  </si>
  <si>
    <t xml:space="preserve">M00967</t>
  </si>
  <si>
    <t xml:space="preserve">B00135</t>
  </si>
  <si>
    <t xml:space="preserve">L00090</t>
  </si>
  <si>
    <t xml:space="preserve">CHQ 005356 VERTEX CONSULTING</t>
  </si>
  <si>
    <t xml:space="preserve">Cheque payment to Vertex Consulting - CHQ-005356</t>
  </si>
  <si>
    <t xml:space="preserve">M00968</t>
  </si>
  <si>
    <t xml:space="preserve">B00139</t>
  </si>
  <si>
    <t xml:space="preserve">L00104</t>
  </si>
  <si>
    <t xml:space="preserve">CHQ 005111 KESTREL OFFICE SUPPLIES</t>
  </si>
  <si>
    <t xml:space="preserve">Cheque payment to Kestrel Office Supplies - CHQ-005111</t>
  </si>
  <si>
    <t xml:space="preserve">M00969</t>
  </si>
  <si>
    <t xml:space="preserve">B00153</t>
  </si>
  <si>
    <t xml:space="preserve">L00114</t>
  </si>
  <si>
    <t xml:space="preserve">CHQ 005035 SUMMIT SECURITY</t>
  </si>
  <si>
    <t xml:space="preserve">Cheque payment to Summit Security - CHQ-005035</t>
  </si>
  <si>
    <t xml:space="preserve">M00970</t>
  </si>
  <si>
    <t xml:space="preserve">B00157</t>
  </si>
  <si>
    <t xml:space="preserve">L00115</t>
  </si>
  <si>
    <t xml:space="preserve">CHQ 005176 VERTEX CONSULTING</t>
  </si>
  <si>
    <t xml:space="preserve">Cheque payment to Vertex Consulting - CHQ-005176</t>
  </si>
  <si>
    <t xml:space="preserve">M00971</t>
  </si>
  <si>
    <t xml:space="preserve">B00159</t>
  </si>
  <si>
    <t xml:space="preserve">L00116</t>
  </si>
  <si>
    <t xml:space="preserve">CHQ 005253 ZENITH HARDWARE</t>
  </si>
  <si>
    <t xml:space="preserve">Cheque payment to Zenith Hardware - CHQ-005253</t>
  </si>
  <si>
    <t xml:space="preserve">M00972</t>
  </si>
  <si>
    <t xml:space="preserve">B00190</t>
  </si>
  <si>
    <t xml:space="preserve">L00145</t>
  </si>
  <si>
    <t xml:space="preserve">CHQ 005378 YONDER TRAVEL</t>
  </si>
  <si>
    <t xml:space="preserve">Cheque payment to Yonder Travel - CHQ-005378</t>
  </si>
  <si>
    <t xml:space="preserve">M00973</t>
  </si>
  <si>
    <t xml:space="preserve">B00210</t>
  </si>
  <si>
    <t xml:space="preserve">L00166</t>
  </si>
  <si>
    <t xml:space="preserve">CHQ 005143 ZENITH HARDWARE</t>
  </si>
  <si>
    <t xml:space="preserve">Cheque payment to Zenith Hardware - CHQ-005143</t>
  </si>
  <si>
    <t xml:space="preserve">M00974</t>
  </si>
  <si>
    <t xml:space="preserve">B00234</t>
  </si>
  <si>
    <t xml:space="preserve">L00197</t>
  </si>
  <si>
    <t xml:space="preserve">CHQ 005140 BIRCH PACKAGING</t>
  </si>
  <si>
    <t xml:space="preserve">Cheque payment to Birch Packaging - CHQ-005140</t>
  </si>
  <si>
    <t xml:space="preserve">M00975</t>
  </si>
  <si>
    <t xml:space="preserve">B00236</t>
  </si>
  <si>
    <t xml:space="preserve">L00199</t>
  </si>
  <si>
    <t xml:space="preserve">CHQ 005342 PINNACLE PRINT</t>
  </si>
  <si>
    <t xml:space="preserve">Cheque payment to Pinnacle Print - CHQ-005342</t>
  </si>
  <si>
    <t xml:space="preserve">M00976</t>
  </si>
  <si>
    <t xml:space="preserve">B00250</t>
  </si>
  <si>
    <t xml:space="preserve">L00206</t>
  </si>
  <si>
    <t xml:space="preserve">CHQ 005193 ZENITH HARDWARE</t>
  </si>
  <si>
    <t xml:space="preserve">Cheque payment to Zenith Hardware - CHQ-005193</t>
  </si>
  <si>
    <t xml:space="preserve">M00977</t>
  </si>
  <si>
    <t xml:space="preserve">B00251</t>
  </si>
  <si>
    <t xml:space="preserve">L00207</t>
  </si>
  <si>
    <t xml:space="preserve">CHQ 005198 YONDER TRAVEL</t>
  </si>
  <si>
    <t xml:space="preserve">Cheque payment to Yonder Travel - CHQ-005198</t>
  </si>
  <si>
    <t xml:space="preserve">M00978</t>
  </si>
  <si>
    <t xml:space="preserve">B00266</t>
  </si>
  <si>
    <t xml:space="preserve">L00219</t>
  </si>
  <si>
    <t xml:space="preserve">CHQ 005206 VERTEX CONSULTING</t>
  </si>
  <si>
    <t xml:space="preserve">Cheque payment to Vertex Consulting - CHQ-005206</t>
  </si>
  <si>
    <t xml:space="preserve">M00979</t>
  </si>
  <si>
    <t xml:space="preserve">B00291</t>
  </si>
  <si>
    <t xml:space="preserve">L00245</t>
  </si>
  <si>
    <t xml:space="preserve">CHQ 005146 VERTEX CONSULTING</t>
  </si>
  <si>
    <t xml:space="preserve">Cheque payment to Vertex Consulting - CHQ-005146</t>
  </si>
  <si>
    <t xml:space="preserve">M00980</t>
  </si>
  <si>
    <t xml:space="preserve">B00305</t>
  </si>
  <si>
    <t xml:space="preserve">L00264</t>
  </si>
  <si>
    <t xml:space="preserve">CHQ 005249 ATLAS FREIGHT</t>
  </si>
  <si>
    <t xml:space="preserve">Cheque payment to Atlas Freight - CHQ-005249</t>
  </si>
  <si>
    <t xml:space="preserve">M00981</t>
  </si>
  <si>
    <t xml:space="preserve">B00307</t>
  </si>
  <si>
    <t xml:space="preserve">L00265</t>
  </si>
  <si>
    <t xml:space="preserve">CHQ 005362 PINNACLE PRINT</t>
  </si>
  <si>
    <t xml:space="preserve">M00982</t>
  </si>
  <si>
    <t xml:space="preserve">B00322</t>
  </si>
  <si>
    <t xml:space="preserve">L00284</t>
  </si>
  <si>
    <t xml:space="preserve">CHQ 005390 BIRCH PACKAGING</t>
  </si>
  <si>
    <t xml:space="preserve">Cheque payment to Birch Packaging - CHQ-005390</t>
  </si>
  <si>
    <t xml:space="preserve">M00983</t>
  </si>
  <si>
    <t xml:space="preserve">B00330</t>
  </si>
  <si>
    <t xml:space="preserve">L00299</t>
  </si>
  <si>
    <t xml:space="preserve">CHQ 005116 VERTEX CONSULTING</t>
  </si>
  <si>
    <t xml:space="preserve">Cheque payment to Vertex Consulting - CHQ-005116</t>
  </si>
  <si>
    <t xml:space="preserve">M00984</t>
  </si>
  <si>
    <t xml:space="preserve">B00342</t>
  </si>
  <si>
    <t xml:space="preserve">L00309</t>
  </si>
  <si>
    <t xml:space="preserve">CHQ 005128 YONDER TRAVEL</t>
  </si>
  <si>
    <t xml:space="preserve">Cheque payment to Yonder Travel - CHQ-005128</t>
  </si>
  <si>
    <t xml:space="preserve">M00985</t>
  </si>
  <si>
    <t xml:space="preserve">B00361</t>
  </si>
  <si>
    <t xml:space="preserve">L00317</t>
  </si>
  <si>
    <t xml:space="preserve">CHQ 005169 ATLAS FREIGHT</t>
  </si>
  <si>
    <t xml:space="preserve">Cheque payment to Atlas Freight - CHQ-005169</t>
  </si>
  <si>
    <t xml:space="preserve">M00986</t>
  </si>
  <si>
    <t xml:space="preserve">B00370</t>
  </si>
  <si>
    <t xml:space="preserve">L00332</t>
  </si>
  <si>
    <t xml:space="preserve">CHQ 005148 YONDER TRAVEL</t>
  </si>
  <si>
    <t xml:space="preserve">Cheque payment to Yonder Travel - CHQ-005148</t>
  </si>
  <si>
    <t xml:space="preserve">M00987</t>
  </si>
  <si>
    <t xml:space="preserve">B00402</t>
  </si>
  <si>
    <t xml:space="preserve">L00363</t>
  </si>
  <si>
    <t xml:space="preserve">CHQ 005339 ATLAS FREIGHT</t>
  </si>
  <si>
    <t xml:space="preserve">Cheque payment to Atlas Freight - CHQ-005339</t>
  </si>
  <si>
    <t xml:space="preserve">M00988</t>
  </si>
  <si>
    <t xml:space="preserve">B00403</t>
  </si>
  <si>
    <t xml:space="preserve">L00365</t>
  </si>
  <si>
    <t xml:space="preserve">CHQ 005430 BIRCH PACKAGING</t>
  </si>
  <si>
    <t xml:space="preserve">Cheque payment to Birch Packaging - CHQ-005430</t>
  </si>
  <si>
    <t xml:space="preserve">M00989</t>
  </si>
  <si>
    <t xml:space="preserve">B00417</t>
  </si>
  <si>
    <t xml:space="preserve">L00378</t>
  </si>
  <si>
    <t xml:space="preserve">CHQ 005329 ATLAS FREIGHT</t>
  </si>
  <si>
    <t xml:space="preserve">Cheque payment to Atlas Freight - CHQ-005329</t>
  </si>
  <si>
    <t xml:space="preserve">M00990</t>
  </si>
  <si>
    <t xml:space="preserve">B00429</t>
  </si>
  <si>
    <t xml:space="preserve">L00387</t>
  </si>
  <si>
    <t xml:space="preserve">CHQ 005065 SUMMIT SECURITY</t>
  </si>
  <si>
    <t xml:space="preserve">Cheque payment to Summit Security - CHQ-005065</t>
  </si>
  <si>
    <t xml:space="preserve">M00991</t>
  </si>
  <si>
    <t xml:space="preserve">B00430</t>
  </si>
  <si>
    <t xml:space="preserve">L00388</t>
  </si>
  <si>
    <t xml:space="preserve">CHQ 005163 ZENITH HARDWARE</t>
  </si>
  <si>
    <t xml:space="preserve">Cheque payment to Zenith Hardware - CHQ-005163</t>
  </si>
  <si>
    <t xml:space="preserve">M00992</t>
  </si>
  <si>
    <t xml:space="preserve">B00449</t>
  </si>
  <si>
    <t xml:space="preserve">L00402</t>
  </si>
  <si>
    <t xml:space="preserve">CHQ 005182 PINNACLE PRINT</t>
  </si>
  <si>
    <t xml:space="preserve">Cheque payment to Pinnacle Print - CHQ-005182</t>
  </si>
  <si>
    <t xml:space="preserve">M00993</t>
  </si>
  <si>
    <t xml:space="preserve">B00452</t>
  </si>
  <si>
    <t xml:space="preserve">L00405</t>
  </si>
  <si>
    <t xml:space="preserve">CHQ 005346 VERTEX CONSULTING</t>
  </si>
  <si>
    <t xml:space="preserve">Cheque payment to Vertex Consulting - CHQ-005346</t>
  </si>
  <si>
    <t xml:space="preserve">M00994</t>
  </si>
  <si>
    <t xml:space="preserve">B00473</t>
  </si>
  <si>
    <t xml:space="preserve">L00433</t>
  </si>
  <si>
    <t xml:space="preserve">CHQ 005374 ORCHID CATERING</t>
  </si>
  <si>
    <t xml:space="preserve">Cheque payment to Orchid Catering - CHQ-005374</t>
  </si>
  <si>
    <t xml:space="preserve">M00995</t>
  </si>
  <si>
    <t xml:space="preserve">B00475</t>
  </si>
  <si>
    <t xml:space="preserve">L00434</t>
  </si>
  <si>
    <t xml:space="preserve">CHQ 005386 VERTEX CONSULTING</t>
  </si>
  <si>
    <t xml:space="preserve">Cheque payment to Vertex Consulting - CHQ-005386</t>
  </si>
  <si>
    <t xml:space="preserve">M00996</t>
  </si>
  <si>
    <t xml:space="preserve">B00481</t>
  </si>
  <si>
    <t xml:space="preserve">L00446</t>
  </si>
  <si>
    <t xml:space="preserve">CHQ 005102 PINNACLE PRINT</t>
  </si>
  <si>
    <t xml:space="preserve">Cheque payment to Pinnacle Print - CHQ-005102</t>
  </si>
  <si>
    <t xml:space="preserve">M00997</t>
  </si>
  <si>
    <t xml:space="preserve">B00493</t>
  </si>
  <si>
    <t xml:space="preserve">L00457</t>
  </si>
  <si>
    <t xml:space="preserve">CHQ 005145 SUMMIT SECURITY</t>
  </si>
  <si>
    <t xml:space="preserve">Cheque payment to Summit Security - CHQ-005145</t>
  </si>
  <si>
    <t xml:space="preserve">M00998</t>
  </si>
  <si>
    <t xml:space="preserve">B00496</t>
  </si>
  <si>
    <t xml:space="preserve">L00460</t>
  </si>
  <si>
    <t xml:space="preserve">CHQ 005364 ORCHID CATERING</t>
  </si>
  <si>
    <t xml:space="preserve">Cheque payment to Orchid Catering - CHQ-005364</t>
  </si>
  <si>
    <t xml:space="preserve">M00999</t>
  </si>
  <si>
    <t xml:space="preserve">B00512</t>
  </si>
  <si>
    <t xml:space="preserve">L00490</t>
  </si>
  <si>
    <t xml:space="preserve">CHQ 005351 KESTREL OFFICE SUPPLIES</t>
  </si>
  <si>
    <t xml:space="preserve">Cheque payment to Kestrel Office Supplies - CHQ-005351</t>
  </si>
  <si>
    <t xml:space="preserve">M01000</t>
  </si>
  <si>
    <t xml:space="preserve">B00550</t>
  </si>
  <si>
    <t xml:space="preserve">L00512</t>
  </si>
  <si>
    <t xml:space="preserve">CHQ 005015 SUMMIT SECURITY</t>
  </si>
  <si>
    <t xml:space="preserve">Cheque payment to Summit Security - CHQ-005015</t>
  </si>
  <si>
    <t xml:space="preserve">M01001</t>
  </si>
  <si>
    <t xml:space="preserve">B00552</t>
  </si>
  <si>
    <t xml:space="preserve">L00516</t>
  </si>
  <si>
    <t xml:space="preserve">CHQ 005222 PINNACLE PRINT</t>
  </si>
  <si>
    <t xml:space="preserve">Cheque payment to Pinnacle Print - CHQ-005222</t>
  </si>
  <si>
    <t xml:space="preserve">M01002</t>
  </si>
  <si>
    <t xml:space="preserve">B00560</t>
  </si>
  <si>
    <t xml:space="preserve">L00530</t>
  </si>
  <si>
    <t xml:space="preserve">CHQ 005260 BIRCH PACKAGING</t>
  </si>
  <si>
    <t xml:space="preserve">Cheque payment to Birch Packaging - CHQ-005260</t>
  </si>
  <si>
    <t xml:space="preserve">M01003</t>
  </si>
  <si>
    <t xml:space="preserve">B00568</t>
  </si>
  <si>
    <t xml:space="preserve">L00541</t>
  </si>
  <si>
    <t xml:space="preserve">CHQ 005150 BIRCH PACKAGING</t>
  </si>
  <si>
    <t xml:space="preserve">Cheque payment to Birch Packaging - CHQ-005150</t>
  </si>
  <si>
    <t xml:space="preserve">M01004</t>
  </si>
  <si>
    <t xml:space="preserve">B00571</t>
  </si>
  <si>
    <t xml:space="preserve">L00542</t>
  </si>
  <si>
    <t xml:space="preserve">CHQ 005298 YONDER TRAVEL</t>
  </si>
  <si>
    <t xml:space="preserve">Cheque payment to Yonder Travel - CHQ-005298</t>
  </si>
  <si>
    <t xml:space="preserve">M01005</t>
  </si>
  <si>
    <t xml:space="preserve">B00594</t>
  </si>
  <si>
    <t xml:space="preserve">L00566</t>
  </si>
  <si>
    <t xml:space="preserve">CHQ 005369 ATLAS FREIGHT</t>
  </si>
  <si>
    <t xml:space="preserve">Cheque payment to Atlas Freight - CHQ-005369</t>
  </si>
  <si>
    <t xml:space="preserve">M01006</t>
  </si>
  <si>
    <t xml:space="preserve">B00601</t>
  </si>
  <si>
    <t xml:space="preserve">L00575</t>
  </si>
  <si>
    <t xml:space="preserve">CHQ 005126 VERTEX CONSULTING</t>
  </si>
  <si>
    <t xml:space="preserve">Cheque payment to Vertex Consulting - CHQ-005126</t>
  </si>
  <si>
    <t xml:space="preserve">M01007</t>
  </si>
  <si>
    <t xml:space="preserve">B00602</t>
  </si>
  <si>
    <t xml:space="preserve">L00576</t>
  </si>
  <si>
    <t xml:space="preserve">CHQ 005139 ATLAS FREIGHT</t>
  </si>
  <si>
    <t xml:space="preserve">Cheque payment to Atlas Freight - CHQ-005139</t>
  </si>
  <si>
    <t xml:space="preserve">M01008</t>
  </si>
  <si>
    <t xml:space="preserve">B00616</t>
  </si>
  <si>
    <t xml:space="preserve">L00587</t>
  </si>
  <si>
    <t xml:space="preserve">CHQ 005210 BIRCH PACKAGING</t>
  </si>
  <si>
    <t xml:space="preserve">Cheque payment to Birch Packaging - CHQ-005210</t>
  </si>
  <si>
    <t xml:space="preserve">M01009</t>
  </si>
  <si>
    <t xml:space="preserve">B00618</t>
  </si>
  <si>
    <t xml:space="preserve">L00589</t>
  </si>
  <si>
    <t xml:space="preserve">CHQ 005250 BIRCH PACKAGING</t>
  </si>
  <si>
    <t xml:space="preserve">Cheque payment to Birch Packaging - CHQ-005250</t>
  </si>
  <si>
    <t xml:space="preserve">M01010</t>
  </si>
  <si>
    <t xml:space="preserve">B00626</t>
  </si>
  <si>
    <t xml:space="preserve">L00598</t>
  </si>
  <si>
    <t xml:space="preserve">CHQ 005104 ORCHID CATERING</t>
  </si>
  <si>
    <t xml:space="preserve">Cheque payment to Orchid Catering - CHQ-005104</t>
  </si>
  <si>
    <t xml:space="preserve">M01011</t>
  </si>
  <si>
    <t xml:space="preserve">B00627</t>
  </si>
  <si>
    <t xml:space="preserve">L00599</t>
  </si>
  <si>
    <t xml:space="preserve">CHQ 005124 ORCHID CATERING</t>
  </si>
  <si>
    <t xml:space="preserve">Cheque payment to Orchid Catering - CHQ-005124</t>
  </si>
  <si>
    <t xml:space="preserve">M01012</t>
  </si>
  <si>
    <t xml:space="preserve">B00641</t>
  </si>
  <si>
    <t xml:space="preserve">L00612</t>
  </si>
  <si>
    <t xml:space="preserve">CHQ 005213 ZENITH HARDWARE</t>
  </si>
  <si>
    <t xml:space="preserve">Cheque payment to Zenith Hardware - CHQ-005213</t>
  </si>
  <si>
    <t xml:space="preserve">M01013</t>
  </si>
  <si>
    <t xml:space="preserve">B00651</t>
  </si>
  <si>
    <t xml:space="preserve">L00622</t>
  </si>
  <si>
    <t xml:space="preserve">CHQ 005085 SUMMIT SECURITY</t>
  </si>
  <si>
    <t xml:space="preserve">Cheque payment to Summit Security - CHQ-005085</t>
  </si>
  <si>
    <t xml:space="preserve">M01014</t>
  </si>
  <si>
    <t xml:space="preserve">B00687</t>
  </si>
  <si>
    <t xml:space="preserve">L00654</t>
  </si>
  <si>
    <t xml:space="preserve">CHQ 005076 VERTEX CONSULTING</t>
  </si>
  <si>
    <t xml:space="preserve">Cheque payment to Vertex Consulting - CHQ-005076</t>
  </si>
  <si>
    <t xml:space="preserve">M01015</t>
  </si>
  <si>
    <t xml:space="preserve">B00706</t>
  </si>
  <si>
    <t xml:space="preserve">L00680</t>
  </si>
  <si>
    <t xml:space="preserve">CHQ 005050 BIRCH PACKAGING</t>
  </si>
  <si>
    <t xml:space="preserve">Cheque payment to Birch Packaging - CHQ-005050</t>
  </si>
  <si>
    <t xml:space="preserve">M01016</t>
  </si>
  <si>
    <t xml:space="preserve">B00708</t>
  </si>
  <si>
    <t xml:space="preserve">L00688</t>
  </si>
  <si>
    <t xml:space="preserve">CHQ 005315 SUMMIT SECURITY</t>
  </si>
  <si>
    <t xml:space="preserve">Cheque payment to Summit Security - CHQ-005315</t>
  </si>
  <si>
    <t xml:space="preserve">M01017</t>
  </si>
  <si>
    <t xml:space="preserve">B00726</t>
  </si>
  <si>
    <t xml:space="preserve">L00695</t>
  </si>
  <si>
    <t xml:space="preserve">CHQ 005195 SUMMIT SECURITY</t>
  </si>
  <si>
    <t xml:space="preserve">Cheque payment to Summit Security - CHQ-005195</t>
  </si>
  <si>
    <t xml:space="preserve">M01018</t>
  </si>
  <si>
    <t xml:space="preserve">B00730</t>
  </si>
  <si>
    <t xml:space="preserve">L00698</t>
  </si>
  <si>
    <t xml:space="preserve">CHQ 005358 YONDER TRAVEL</t>
  </si>
  <si>
    <t xml:space="preserve">Cheque payment to Yonder Travel - CHQ-005358</t>
  </si>
  <si>
    <t xml:space="preserve">M01019</t>
  </si>
  <si>
    <t xml:space="preserve">B00742</t>
  </si>
  <si>
    <t xml:space="preserve">L00708</t>
  </si>
  <si>
    <t xml:space="preserve">CHQ 005105 SUMMIT SECURITY</t>
  </si>
  <si>
    <t xml:space="preserve">Cheque payment to Summit Security - CHQ-005105</t>
  </si>
  <si>
    <t xml:space="preserve">M01020</t>
  </si>
  <si>
    <t xml:space="preserve">B00746</t>
  </si>
  <si>
    <t xml:space="preserve">L00713</t>
  </si>
  <si>
    <t xml:space="preserve">CHQ 005439 ATLAS FREIGHT</t>
  </si>
  <si>
    <t xml:space="preserve">Cheque payment to Atlas Freight - CHQ-005439</t>
  </si>
  <si>
    <t xml:space="preserve">M01021</t>
  </si>
  <si>
    <t xml:space="preserve">B00759</t>
  </si>
  <si>
    <t xml:space="preserve">L00722</t>
  </si>
  <si>
    <t xml:space="preserve">CHQ 005112 PINNACLE PRINT</t>
  </si>
  <si>
    <t xml:space="preserve">Cheque payment to Pinnacle Print - CHQ-005112</t>
  </si>
  <si>
    <t xml:space="preserve">M01022</t>
  </si>
  <si>
    <t xml:space="preserve">B00760</t>
  </si>
  <si>
    <t xml:space="preserve">L00724</t>
  </si>
  <si>
    <t xml:space="preserve">CHQ 005266 VERTEX CONSULTING</t>
  </si>
  <si>
    <t xml:space="preserve">Cheque payment to Vertex Consulting - CHQ-005266</t>
  </si>
  <si>
    <t xml:space="preserve">M01023</t>
  </si>
  <si>
    <t xml:space="preserve">B00801</t>
  </si>
  <si>
    <t xml:space="preserve">L00759</t>
  </si>
  <si>
    <t xml:space="preserve">CHQ 005068 YONDER TRAVEL</t>
  </si>
  <si>
    <t xml:space="preserve">Cheque payment to Yonder Travel - CHQ-005068</t>
  </si>
  <si>
    <t xml:space="preserve">M01024</t>
  </si>
  <si>
    <t xml:space="preserve">B00804</t>
  </si>
  <si>
    <t xml:space="preserve">L00763</t>
  </si>
  <si>
    <t xml:space="preserve">CHQ 005395 SUMMIT SECURITY</t>
  </si>
  <si>
    <t xml:space="preserve">Cheque payment to Summit Security - CHQ-005395</t>
  </si>
  <si>
    <t xml:space="preserve">M01025</t>
  </si>
  <si>
    <t xml:space="preserve">B00828</t>
  </si>
  <si>
    <t xml:space="preserve">L00784</t>
  </si>
  <si>
    <t xml:space="preserve">CHQ 005083 ZENITH HARDWARE</t>
  </si>
  <si>
    <t xml:space="preserve">Cheque payment to Zenith Hardware - CHQ-005083</t>
  </si>
  <si>
    <t xml:space="preserve">M01026</t>
  </si>
  <si>
    <t xml:space="preserve">B00830</t>
  </si>
  <si>
    <t xml:space="preserve">L00789</t>
  </si>
  <si>
    <t xml:space="preserve">CHQ 005444 ORCHID CATERING</t>
  </si>
  <si>
    <t xml:space="preserve">Cheque payment to Orchid Catering - CHQ-005444</t>
  </si>
  <si>
    <t xml:space="preserve">M01027</t>
  </si>
  <si>
    <t xml:space="preserve">B00843</t>
  </si>
  <si>
    <t xml:space="preserve">L00800</t>
  </si>
  <si>
    <t xml:space="preserve">CHQ 005381 KESTREL OFFICE SUPPLIES</t>
  </si>
  <si>
    <t xml:space="preserve">Cheque payment to Kestrel Office Supplies - CHQ-005381</t>
  </si>
  <si>
    <t xml:space="preserve">M01028</t>
  </si>
  <si>
    <t xml:space="preserve">B00855</t>
  </si>
  <si>
    <t xml:space="preserve">L00815</t>
  </si>
  <si>
    <t xml:space="preserve">CHQ 005179 ATLAS FREIGHT</t>
  </si>
  <si>
    <t xml:space="preserve">Cheque payment to Atlas Freight - CHQ-005179</t>
  </si>
  <si>
    <t xml:space="preserve">M01029</t>
  </si>
  <si>
    <t xml:space="preserve">B00863</t>
  </si>
  <si>
    <t xml:space="preserve">L00824</t>
  </si>
  <si>
    <t xml:space="preserve">CHQ 005121 KESTREL OFFICE SUPPLIES</t>
  </si>
  <si>
    <t xml:space="preserve">Cheque payment to Kestrel Office Supplies - CHQ-005121</t>
  </si>
  <si>
    <t xml:space="preserve">M01030</t>
  </si>
  <si>
    <t xml:space="preserve">B00883</t>
  </si>
  <si>
    <t xml:space="preserve">L00851</t>
  </si>
  <si>
    <t xml:space="preserve">CHQ 005109 ATLAS FREIGHT</t>
  </si>
  <si>
    <t xml:space="preserve">Cheque payment to Atlas Freight - CHQ-005109</t>
  </si>
  <si>
    <t xml:space="preserve">M01031</t>
  </si>
  <si>
    <t xml:space="preserve">B00896</t>
  </si>
  <si>
    <t xml:space="preserve">L00864</t>
  </si>
  <si>
    <t xml:space="preserve">CHQ 005212 PINNACLE PRINT</t>
  </si>
  <si>
    <t xml:space="preserve">Cheque payment to Pinnacle Print - CHQ-005212</t>
  </si>
  <si>
    <t xml:space="preserve">M01032</t>
  </si>
  <si>
    <t xml:space="preserve">B00939</t>
  </si>
  <si>
    <t xml:space="preserve">L00901</t>
  </si>
  <si>
    <t xml:space="preserve">CHQ 005174 ORCHID CATERING</t>
  </si>
  <si>
    <t xml:space="preserve">Cheque payment to Orchid Catering - CHQ-005174</t>
  </si>
  <si>
    <t xml:space="preserve">M01033</t>
  </si>
  <si>
    <t xml:space="preserve">B00940</t>
  </si>
  <si>
    <t xml:space="preserve">L00902</t>
  </si>
  <si>
    <t xml:space="preserve">CHQ 005224 ORCHID CATERING</t>
  </si>
  <si>
    <t xml:space="preserve">Cheque payment to Orchid Catering - CHQ-005224</t>
  </si>
  <si>
    <t xml:space="preserve">M01034</t>
  </si>
  <si>
    <t xml:space="preserve">B00941</t>
  </si>
  <si>
    <t xml:space="preserve">L00903</t>
  </si>
  <si>
    <t xml:space="preserve">CHQ 005278 YONDER TRAVEL</t>
  </si>
  <si>
    <t xml:space="preserve">Cheque payment to Yonder Travel - CHQ-005278</t>
  </si>
  <si>
    <t xml:space="preserve">M01035</t>
  </si>
  <si>
    <t xml:space="preserve">B00944</t>
  </si>
  <si>
    <t xml:space="preserve">L00904</t>
  </si>
  <si>
    <t xml:space="preserve">CHQ 005443 ZENITH HARDWARE</t>
  </si>
  <si>
    <t xml:space="preserve">Cheque payment to Zenith Hardware - CHQ-005443</t>
  </si>
  <si>
    <t xml:space="preserve">M01036</t>
  </si>
  <si>
    <t xml:space="preserve">B00968</t>
  </si>
  <si>
    <t xml:space="preserve">L00926</t>
  </si>
  <si>
    <t xml:space="preserve">CHQ 005252 PINNACLE PRINT</t>
  </si>
  <si>
    <t xml:space="preserve">Cheque payment to Pinnacle Print - CHQ-005252</t>
  </si>
  <si>
    <t xml:space="preserve">M01037</t>
  </si>
  <si>
    <t xml:space="preserve">B00969</t>
  </si>
  <si>
    <t xml:space="preserve">L00927</t>
  </si>
  <si>
    <t xml:space="preserve">CHQ 005370 BIRCH PACKAGING</t>
  </si>
  <si>
    <t xml:space="preserve">Cheque payment to Birch Packaging - CHQ-005370</t>
  </si>
  <si>
    <t xml:space="preserve">M01038</t>
  </si>
  <si>
    <t xml:space="preserve">B00988</t>
  </si>
  <si>
    <t xml:space="preserve">L00938</t>
  </si>
  <si>
    <t xml:space="preserve">CHQ 005447 WILLOW FURNISHINGS</t>
  </si>
  <si>
    <t xml:space="preserve">Cheque payment to Willow Furnishings - CHQ-005447</t>
  </si>
  <si>
    <t xml:space="preserve">M01039</t>
  </si>
  <si>
    <t xml:space="preserve">B00998</t>
  </si>
  <si>
    <t xml:space="preserve">L00951</t>
  </si>
  <si>
    <t xml:space="preserve">CHQ 005021 KESTREL OFFICE SUPPLIES</t>
  </si>
  <si>
    <t xml:space="preserve">Cheque payment to Kestrel Office Supplies - CHQ-005021</t>
  </si>
  <si>
    <t xml:space="preserve">M01040</t>
  </si>
  <si>
    <t xml:space="preserve">B01001</t>
  </si>
  <si>
    <t xml:space="preserve">L00954</t>
  </si>
  <si>
    <t xml:space="preserve">CHQ 005171 KESTREL OFFICE SUPPLIES</t>
  </si>
  <si>
    <t xml:space="preserve">Cheque payment to Kestrel Office Supplies - CHQ-005171</t>
  </si>
  <si>
    <t xml:space="preserve">M01041</t>
  </si>
  <si>
    <t xml:space="preserve">B01006</t>
  </si>
  <si>
    <t xml:space="preserve">L00956</t>
  </si>
  <si>
    <t xml:space="preserve">CHQ 005288 YONDER TRAVEL</t>
  </si>
  <si>
    <t xml:space="preserve">Cheque payment to Yonder Travel - CHQ-005288</t>
  </si>
  <si>
    <t xml:space="preserve">M01042</t>
  </si>
  <si>
    <t xml:space="preserve">B01073</t>
  </si>
  <si>
    <t xml:space="preserve">L01022</t>
  </si>
  <si>
    <t xml:space="preserve">CHQ 005177 WILLOW FURNISHINGS</t>
  </si>
  <si>
    <t xml:space="preserve">Cheque payment to Willow Furnishings - CHQ-005177</t>
  </si>
  <si>
    <t xml:space="preserve">M01043</t>
  </si>
  <si>
    <t xml:space="preserve">B01087</t>
  </si>
  <si>
    <t xml:space="preserve">L01038</t>
  </si>
  <si>
    <t xml:space="preserve">CHQ 005144 ORCHID CATERING</t>
  </si>
  <si>
    <t xml:space="preserve">Cheque payment to Orchid Catering - CHQ-005144</t>
  </si>
  <si>
    <t xml:space="preserve">M01044</t>
  </si>
  <si>
    <t xml:space="preserve">B01089</t>
  </si>
  <si>
    <t xml:space="preserve">L01040</t>
  </si>
  <si>
    <t xml:space="preserve">CHQ 005282 PINNACLE PRINT</t>
  </si>
  <si>
    <t xml:space="preserve">Cheque payment to Pinnacle Print - CHQ-005282</t>
  </si>
  <si>
    <t xml:space="preserve">M01045</t>
  </si>
  <si>
    <t xml:space="preserve">B01112</t>
  </si>
  <si>
    <t xml:space="preserve">L01065</t>
  </si>
  <si>
    <t xml:space="preserve">CHQ 005110 BIRCH PACKAGING</t>
  </si>
  <si>
    <t xml:space="preserve">Cheque payment to Birch Packaging - CHQ-005110</t>
  </si>
  <si>
    <t xml:space="preserve">M01046</t>
  </si>
  <si>
    <t xml:space="preserve">B01119</t>
  </si>
  <si>
    <t xml:space="preserve">L01084</t>
  </si>
  <si>
    <t xml:space="preserve">CHQ 005347 WILLOW FURNISHINGS</t>
  </si>
  <si>
    <t xml:space="preserve">Cheque payment to Willow Furnishings - CHQ-005347</t>
  </si>
  <si>
    <t xml:space="preserve">M01047</t>
  </si>
  <si>
    <t xml:space="preserve">B01122</t>
  </si>
  <si>
    <t xml:space="preserve">L01096</t>
  </si>
  <si>
    <t xml:space="preserve">CHQ 005229 ATLAS FREIGHT</t>
  </si>
  <si>
    <t xml:space="preserve">Cheque payment to Atlas Freight - CHQ-005229</t>
  </si>
  <si>
    <t xml:space="preserve">M01048</t>
  </si>
  <si>
    <t xml:space="preserve">B01123</t>
  </si>
  <si>
    <t xml:space="preserve">L01097</t>
  </si>
  <si>
    <t xml:space="preserve">CHQ 005337 WILLOW FURNISHINGS</t>
  </si>
  <si>
    <t xml:space="preserve">Cheque payment to Willow Furnishings - CHQ-005337</t>
  </si>
  <si>
    <t xml:space="preserve">M01049</t>
  </si>
  <si>
    <t xml:space="preserve">B01126</t>
  </si>
  <si>
    <t xml:space="preserve">L01117</t>
  </si>
  <si>
    <t xml:space="preserve">CHQ 005377 WILLOW FURNISHINGS</t>
  </si>
  <si>
    <t xml:space="preserve">Cheque payment to Willow Furnishings - CHQ-005377</t>
  </si>
  <si>
    <t xml:space="preserve">M01050</t>
  </si>
  <si>
    <t xml:space="preserve">B01127</t>
  </si>
  <si>
    <t xml:space="preserve">L01127</t>
  </si>
  <si>
    <t xml:space="preserve">CHQ 005098 YONDER TRAVEL</t>
  </si>
  <si>
    <t xml:space="preserve">Cheque payment to Yonder Travel - CHQ-005098</t>
  </si>
  <si>
    <t xml:space="preserve">M01051</t>
  </si>
  <si>
    <t xml:space="preserve">R2 Amount + Date + Description</t>
  </si>
  <si>
    <t xml:space="preserve">B00308</t>
  </si>
  <si>
    <t xml:space="preserve">L00333</t>
  </si>
  <si>
    <t xml:space="preserve">ACH-ORION STATIONERS</t>
  </si>
  <si>
    <t xml:space="preserve">Orion Stationers - bill</t>
  </si>
  <si>
    <t xml:space="preserve">M01052</t>
  </si>
  <si>
    <t xml:space="preserve">B00497</t>
  </si>
  <si>
    <t xml:space="preserve">L00520</t>
  </si>
  <si>
    <t xml:space="preserve">ACH-NIMBUS CLOUD SERVICES</t>
  </si>
  <si>
    <t xml:space="preserve">Nimbus Cloud Services - bill</t>
  </si>
  <si>
    <t xml:space="preserve">M01053</t>
  </si>
  <si>
    <t xml:space="preserve">B00539</t>
  </si>
  <si>
    <t xml:space="preserve">L00567</t>
  </si>
  <si>
    <t xml:space="preserve">ACH-MERIDIAN COURIERS</t>
  </si>
  <si>
    <t xml:space="preserve">Meridian Couriers - bill</t>
  </si>
  <si>
    <t xml:space="preserve">M01054</t>
  </si>
  <si>
    <t xml:space="preserve">B00678</t>
  </si>
  <si>
    <t xml:space="preserve">L00714</t>
  </si>
  <si>
    <t xml:space="preserve">M01055</t>
  </si>
  <si>
    <t xml:space="preserve">B00913</t>
  </si>
  <si>
    <t xml:space="preserve">L00939</t>
  </si>
  <si>
    <t xml:space="preserve">M01056</t>
  </si>
  <si>
    <t xml:space="preserve">B00972</t>
  </si>
  <si>
    <t xml:space="preserve">L00999</t>
  </si>
  <si>
    <t xml:space="preserve">ACH-QUARTZ CLEANING</t>
  </si>
  <si>
    <t xml:space="preserve">Quartz Cleaning - bill</t>
  </si>
  <si>
    <t xml:space="preserve">M01057</t>
  </si>
  <si>
    <t xml:space="preserve">B01091</t>
  </si>
  <si>
    <t xml:space="preserve">L01106</t>
  </si>
  <si>
    <t xml:space="preserve">M01058</t>
  </si>
  <si>
    <t xml:space="preserve">B00056</t>
  </si>
  <si>
    <t xml:space="preserve">L00056</t>
  </si>
  <si>
    <t xml:space="preserve">ACH-LUMEN POWER UTILITY</t>
  </si>
  <si>
    <t xml:space="preserve">Lumen Power Utility - bill</t>
  </si>
  <si>
    <t xml:space="preserve">M01059</t>
  </si>
  <si>
    <t xml:space="preserve">B00211</t>
  </si>
  <si>
    <t xml:space="preserve">L00221</t>
  </si>
  <si>
    <t xml:space="preserve">M01060</t>
  </si>
  <si>
    <t xml:space="preserve">B00271</t>
  </si>
  <si>
    <t xml:space="preserve">L00285</t>
  </si>
  <si>
    <t xml:space="preserve">ACH-RAPID REPAIRS</t>
  </si>
  <si>
    <t xml:space="preserve">Rapid Repairs - bill</t>
  </si>
  <si>
    <t xml:space="preserve">M01061</t>
  </si>
  <si>
    <t xml:space="preserve">B00462</t>
  </si>
  <si>
    <t xml:space="preserve">L00478</t>
  </si>
  <si>
    <t xml:space="preserve">M01062</t>
  </si>
  <si>
    <t xml:space="preserve">B00595</t>
  </si>
  <si>
    <t xml:space="preserve">L00613</t>
  </si>
  <si>
    <t xml:space="preserve">M01063</t>
  </si>
  <si>
    <t xml:space="preserve">B00123</t>
  </si>
  <si>
    <t xml:space="preserve">L00121</t>
  </si>
  <si>
    <t xml:space="preserve">M01064</t>
  </si>
  <si>
    <t xml:space="preserve">B00183</t>
  </si>
  <si>
    <t xml:space="preserve">L00170</t>
  </si>
  <si>
    <t xml:space="preserve">M01065</t>
  </si>
  <si>
    <t xml:space="preserve">B00656</t>
  </si>
  <si>
    <t xml:space="preserve">L00659</t>
  </si>
  <si>
    <t xml:space="preserve">M01066</t>
  </si>
  <si>
    <t xml:space="preserve">B00844</t>
  </si>
  <si>
    <t xml:space="preserve">L00842</t>
  </si>
  <si>
    <t xml:space="preserve">M01067</t>
  </si>
  <si>
    <t xml:space="preserve">B00886</t>
  </si>
  <si>
    <t xml:space="preserve">L00892</t>
  </si>
  <si>
    <t xml:space="preserve">M01068</t>
  </si>
  <si>
    <t xml:space="preserve">B01064</t>
  </si>
  <si>
    <t xml:space="preserve">L01054</t>
  </si>
  <si>
    <t xml:space="preserve">M01069</t>
  </si>
  <si>
    <t xml:space="preserve">R3 Reference match, amount differs</t>
  </si>
  <si>
    <t xml:space="preserve">CHQ 009002 PINNACLE PRINT</t>
  </si>
  <si>
    <t xml:space="preserve">Cheque payment to Pinnacle Print - CHQ-009002</t>
  </si>
  <si>
    <t xml:space="preserve">M01070</t>
  </si>
  <si>
    <t xml:space="preserve">WIRE-ACME TRADERS-INV9200</t>
  </si>
  <si>
    <t xml:space="preserve">Receipt from Acme Traders - INV-9200</t>
  </si>
  <si>
    <t xml:space="preserve">M01071</t>
  </si>
  <si>
    <t xml:space="preserve">NEFT-ACME TRADERS-INV9300</t>
  </si>
  <si>
    <t xml:space="preserve">Receipt from Acme Traders - INV-9300</t>
  </si>
  <si>
    <t xml:space="preserve">M01072</t>
  </si>
  <si>
    <t xml:space="preserve">WIRE-CRESTVIEW RETAIL-INV9202</t>
  </si>
  <si>
    <t xml:space="preserve">Receipt from Crestview Retail - INV-9202</t>
  </si>
  <si>
    <t xml:space="preserve">M01073</t>
  </si>
  <si>
    <t xml:space="preserve">WIRE-HORIZON PHARMA-INV9207</t>
  </si>
  <si>
    <t xml:space="preserve">Receipt from Horizon Pharma - INV-9207</t>
  </si>
  <si>
    <t xml:space="preserve">M01074</t>
  </si>
  <si>
    <t xml:space="preserve">WIRE-GREENLEAF AGRO-INV9206</t>
  </si>
  <si>
    <t xml:space="preserve">Receipt from Greenleaf Agro - INV-9206</t>
  </si>
  <si>
    <t xml:space="preserve">M01075</t>
  </si>
  <si>
    <t xml:space="preserve">WIRE-EVEREST TEXTILES-INV9204</t>
  </si>
  <si>
    <t xml:space="preserve">Receipt from Everest Textiles - INV-9204</t>
  </si>
  <si>
    <t xml:space="preserve">M01076</t>
  </si>
  <si>
    <t xml:space="preserve">WIRE-FALCON AUTO PARTS-INV9205</t>
  </si>
  <si>
    <t xml:space="preserve">Receipt from Falcon Auto Parts - INV-9205</t>
  </si>
  <si>
    <t xml:space="preserve">M01077</t>
  </si>
  <si>
    <t xml:space="preserve">NEFT-CRESTVIEW RETAIL-INV9102</t>
  </si>
  <si>
    <t xml:space="preserve">Receipt from Crestview Retail - INV-9102</t>
  </si>
  <si>
    <t xml:space="preserve">M01078</t>
  </si>
  <si>
    <t xml:space="preserve">NEFT-ACME TRADERS-INV9100</t>
  </si>
  <si>
    <t xml:space="preserve">Receipt from Acme Traders - INV-9100</t>
  </si>
  <si>
    <t xml:space="preserve">M01079</t>
  </si>
  <si>
    <t xml:space="preserve">NEFT-CRESTVIEW RETAIL-INV9302</t>
  </si>
  <si>
    <t xml:space="preserve">Receipt from Crestview Retail - INV-9302</t>
  </si>
  <si>
    <t xml:space="preserve">M01080</t>
  </si>
  <si>
    <t xml:space="preserve">NEFT-DELTA FOODS-INV9303</t>
  </si>
  <si>
    <t xml:space="preserve">Receipt from Delta Foods - INV-9303</t>
  </si>
  <si>
    <t xml:space="preserve">M01081</t>
  </si>
  <si>
    <t xml:space="preserve">NEFT-EVEREST TEXTILES-INV9104</t>
  </si>
  <si>
    <t xml:space="preserve">Receipt from Everest Textiles - INV-9104</t>
  </si>
  <si>
    <t xml:space="preserve">M01082</t>
  </si>
  <si>
    <t xml:space="preserve">WIRE-BLUEFIN LOGISTICS-INV9201</t>
  </si>
  <si>
    <t xml:space="preserve">Receipt from Bluefin Logistics - INV-9201</t>
  </si>
  <si>
    <t xml:space="preserve">M01083</t>
  </si>
  <si>
    <t xml:space="preserve">WIRE-DELTA FOODS-INV9203</t>
  </si>
  <si>
    <t xml:space="preserve">Receipt from Delta Foods - INV-9203</t>
  </si>
  <si>
    <t xml:space="preserve">M01084</t>
  </si>
  <si>
    <t xml:space="preserve">NEFT-DELTA FOODS-INV9103</t>
  </si>
  <si>
    <t xml:space="preserve">Receipt from Delta Foods - INV-9103</t>
  </si>
  <si>
    <t xml:space="preserve">M01085</t>
  </si>
  <si>
    <t xml:space="preserve">NEFT-FALCON AUTO PARTS-INV9105</t>
  </si>
  <si>
    <t xml:space="preserve">Receipt from Falcon Auto Parts - INV-9105</t>
  </si>
  <si>
    <t xml:space="preserve">M01086</t>
  </si>
  <si>
    <t xml:space="preserve">NEFT-BLUEFIN LOGISTICS-INV9301</t>
  </si>
  <si>
    <t xml:space="preserve">Receipt from Bluefin Logistics - INV-9301</t>
  </si>
  <si>
    <t xml:space="preserve">M01087</t>
  </si>
  <si>
    <t xml:space="preserve">NEFT-EVEREST TEXTILES-INV9304</t>
  </si>
  <si>
    <t xml:space="preserve">Receipt from Everest Textiles - INV-9304</t>
  </si>
  <si>
    <t xml:space="preserve">M01088</t>
  </si>
  <si>
    <t xml:space="preserve">NEFT-BLUEFIN LOGISTICS-INV9101</t>
  </si>
  <si>
    <t xml:space="preserve">Receipt from Bluefin Logistics - INV-9101</t>
  </si>
  <si>
    <t xml:space="preserve">M01089</t>
  </si>
  <si>
    <t xml:space="preserve">CHQ 009003 ZENITH HARDWARE</t>
  </si>
  <si>
    <t xml:space="preserve">Cheque payment to Zenith Hardware - CHQ-009003</t>
  </si>
  <si>
    <t xml:space="preserve">M01090</t>
  </si>
  <si>
    <t xml:space="preserve">CHQ 009004 ORCHID CATERING</t>
  </si>
  <si>
    <t xml:space="preserve">Cheque payment to Orchid Catering - CHQ-009004</t>
  </si>
  <si>
    <t xml:space="preserve">M01091</t>
  </si>
  <si>
    <t xml:space="preserve">CHQ 009001 KESTREL OFFICE SUPPLIES</t>
  </si>
  <si>
    <t xml:space="preserve">Cheque payment to Kestrel Office Supplies - CHQ-009001</t>
  </si>
  <si>
    <t xml:space="preserve">M01092</t>
  </si>
  <si>
    <t xml:space="preserve">R4 Amount + Date only</t>
  </si>
  <si>
    <t xml:space="preserve">POS 90111 MERCHANT</t>
  </si>
  <si>
    <t xml:space="preserve">Travel expense</t>
  </si>
  <si>
    <t xml:space="preserve">M01093</t>
  </si>
  <si>
    <t xml:space="preserve">POS 90074 MERCHANT</t>
  </si>
  <si>
    <t xml:space="preserve">Printing expense</t>
  </si>
  <si>
    <t xml:space="preserve">M01094</t>
  </si>
  <si>
    <t xml:space="preserve">POS 90000 MERCHANT</t>
  </si>
  <si>
    <t xml:space="preserve">Office supplies purchase</t>
  </si>
  <si>
    <t xml:space="preserve">M01095</t>
  </si>
  <si>
    <t xml:space="preserve">POS 90148 MERCHANT</t>
  </si>
  <si>
    <t xml:space="preserve">Staff welfare expense</t>
  </si>
  <si>
    <t xml:space="preserve">M01096</t>
  </si>
  <si>
    <t xml:space="preserve">POS 90037 MERCHANT</t>
  </si>
  <si>
    <t xml:space="preserve">Courier charges</t>
  </si>
  <si>
    <t xml:space="preserve">M01097</t>
  </si>
  <si>
    <t xml:space="preserve">R5 Split / batch (1:N)</t>
  </si>
  <si>
    <t xml:space="preserve">CASH DEPOSIT BATCH 003</t>
  </si>
  <si>
    <t xml:space="preserve">Cash receipt counter 2 - batch 3</t>
  </si>
  <si>
    <t xml:space="preserve">M01098</t>
  </si>
  <si>
    <t xml:space="preserve">CASH DEPOSIT BATCH 004</t>
  </si>
  <si>
    <t xml:space="preserve">Cash receipt counter 2 - batch 4</t>
  </si>
  <si>
    <t xml:space="preserve">M01099</t>
  </si>
  <si>
    <t xml:space="preserve">CASH DEPOSIT BATCH 001</t>
  </si>
  <si>
    <t xml:space="preserve">Cash receipt counter 2 - batch 1</t>
  </si>
  <si>
    <t xml:space="preserve">M01100</t>
  </si>
  <si>
    <t xml:space="preserve">CASH DEPOSIT BATCH 005</t>
  </si>
  <si>
    <t xml:space="preserve">Cash receipt counter 2 - batch 5</t>
  </si>
  <si>
    <t xml:space="preserve">M01101</t>
  </si>
  <si>
    <t xml:space="preserve">CASH DEPOSIT BATCH 002</t>
  </si>
  <si>
    <t xml:space="preserve">Cash receipt counter 2 - batch 2</t>
  </si>
  <si>
    <t xml:space="preserve">M01102</t>
  </si>
  <si>
    <t xml:space="preserve">CASH DEPOSIT BATCH 006</t>
  </si>
  <si>
    <t xml:space="preserve">Cash receipt counter 2 - batch 6</t>
  </si>
  <si>
    <t xml:space="preserve">Bank Transactions - full population with reconciliation status</t>
  </si>
  <si>
    <t xml:space="preserve">Status: MATCHED = clean, MATCHED-REVIEW = paired but flagged, UNMATCHED = exception raised.</t>
  </si>
  <si>
    <t xml:space="preserve">Txn ID</t>
  </si>
  <si>
    <t xml:space="preserve">Source Row</t>
  </si>
  <si>
    <t xml:space="preserve">Amount</t>
  </si>
  <si>
    <t xml:space="preserve">Status</t>
  </si>
  <si>
    <t xml:space="preserve">MATCHED</t>
  </si>
  <si>
    <t xml:space="preserve">INV-1333</t>
  </si>
  <si>
    <t xml:space="preserve">INV-1380</t>
  </si>
  <si>
    <t xml:space="preserve">INV-1422</t>
  </si>
  <si>
    <t xml:space="preserve">INV-1504</t>
  </si>
  <si>
    <t xml:space="preserve">005099</t>
  </si>
  <si>
    <t xml:space="preserve">INV-1157</t>
  </si>
  <si>
    <t xml:space="preserve">INV-1201</t>
  </si>
  <si>
    <t xml:space="preserve">INV-1260</t>
  </si>
  <si>
    <t xml:space="preserve">INV-1310</t>
  </si>
  <si>
    <t xml:space="preserve">INV-1355</t>
  </si>
  <si>
    <t xml:space="preserve">INV-1470</t>
  </si>
  <si>
    <t xml:space="preserve">INV-1473</t>
  </si>
  <si>
    <t xml:space="preserve">005287</t>
  </si>
  <si>
    <t xml:space="preserve">005314</t>
  </si>
  <si>
    <t xml:space="preserve">005428</t>
  </si>
  <si>
    <t xml:space="preserve">005435</t>
  </si>
  <si>
    <t xml:space="preserve">INV-1100</t>
  </si>
  <si>
    <t xml:space="preserve">INV-1102</t>
  </si>
  <si>
    <t xml:space="preserve">INV-1379</t>
  </si>
  <si>
    <t xml:space="preserve">INV-1388</t>
  </si>
  <si>
    <t xml:space="preserve">INV-1480</t>
  </si>
  <si>
    <t xml:space="preserve">INV-1512</t>
  </si>
  <si>
    <t xml:space="preserve">INV-1526</t>
  </si>
  <si>
    <t xml:space="preserve">INV-1544</t>
  </si>
  <si>
    <t xml:space="preserve">005023</t>
  </si>
  <si>
    <t xml:space="preserve">005333</t>
  </si>
  <si>
    <t xml:space="preserve">INV-1053</t>
  </si>
  <si>
    <t xml:space="preserve">INV-1073</t>
  </si>
  <si>
    <t xml:space="preserve">INV-1093</t>
  </si>
  <si>
    <t xml:space="preserve">INV-1178</t>
  </si>
  <si>
    <t xml:space="preserve">INV-1194</t>
  </si>
  <si>
    <t xml:space="preserve">INV-1392</t>
  </si>
  <si>
    <t xml:space="preserve">INV-1426</t>
  </si>
  <si>
    <t xml:space="preserve">INV-1554</t>
  </si>
  <si>
    <t xml:space="preserve">005271</t>
  </si>
  <si>
    <t xml:space="preserve">MATCHED-REVIEW</t>
  </si>
  <si>
    <t xml:space="preserve">INV-1132</t>
  </si>
  <si>
    <t xml:space="preserve">INV-1343</t>
  </si>
  <si>
    <t xml:space="preserve">INV-1377</t>
  </si>
  <si>
    <t xml:space="preserve">INV-1489</t>
  </si>
  <si>
    <t xml:space="preserve">INV-1509</t>
  </si>
  <si>
    <t xml:space="preserve">INV-1517</t>
  </si>
  <si>
    <t xml:space="preserve">005228</t>
  </si>
  <si>
    <t xml:space="preserve">005319</t>
  </si>
  <si>
    <t xml:space="preserve">005401</t>
  </si>
  <si>
    <t xml:space="preserve">INV-1047</t>
  </si>
  <si>
    <t xml:space="preserve">INV-1339</t>
  </si>
  <si>
    <t xml:space="preserve">INV-1444</t>
  </si>
  <si>
    <t xml:space="preserve">INV-1565</t>
  </si>
  <si>
    <t xml:space="preserve">005220</t>
  </si>
  <si>
    <t xml:space="preserve">005284</t>
  </si>
  <si>
    <t xml:space="preserve">005340</t>
  </si>
  <si>
    <t xml:space="preserve">INV-1305</t>
  </si>
  <si>
    <t xml:space="preserve">INV-1437</t>
  </si>
  <si>
    <t xml:space="preserve">INV-1474</t>
  </si>
  <si>
    <t xml:space="preserve">005038</t>
  </si>
  <si>
    <t xml:space="preserve">005044</t>
  </si>
  <si>
    <t xml:space="preserve">005168</t>
  </si>
  <si>
    <t xml:space="preserve">005353</t>
  </si>
  <si>
    <t xml:space="preserve">005423</t>
  </si>
  <si>
    <t xml:space="preserve">005450</t>
  </si>
  <si>
    <t xml:space="preserve">INV-1025</t>
  </si>
  <si>
    <t xml:space="preserve">INV-1035</t>
  </si>
  <si>
    <t xml:space="preserve">INV-1099</t>
  </si>
  <si>
    <t xml:space="preserve">INV-1301</t>
  </si>
  <si>
    <t xml:space="preserve">INV-1348</t>
  </si>
  <si>
    <t xml:space="preserve">INV-1458</t>
  </si>
  <si>
    <t xml:space="preserve">INV-1502</t>
  </si>
  <si>
    <t xml:space="preserve">INV-1556</t>
  </si>
  <si>
    <t xml:space="preserve">005041</t>
  </si>
  <si>
    <t xml:space="preserve">005305</t>
  </si>
  <si>
    <t xml:space="preserve">INV-1220</t>
  </si>
  <si>
    <t xml:space="preserve">INV-1281</t>
  </si>
  <si>
    <t xml:space="preserve">INV-1311</t>
  </si>
  <si>
    <t xml:space="preserve">INV-1400</t>
  </si>
  <si>
    <t xml:space="preserve">INV-1451</t>
  </si>
  <si>
    <t xml:space="preserve">005056</t>
  </si>
  <si>
    <t xml:space="preserve">005091</t>
  </si>
  <si>
    <t xml:space="preserve">005162</t>
  </si>
  <si>
    <t xml:space="preserve">005164</t>
  </si>
  <si>
    <t xml:space="preserve">005204</t>
  </si>
  <si>
    <t xml:space="preserve">005245</t>
  </si>
  <si>
    <t xml:space="preserve">005281</t>
  </si>
  <si>
    <t xml:space="preserve">005316</t>
  </si>
  <si>
    <t xml:space="preserve">INV-1079</t>
  </si>
  <si>
    <t xml:space="preserve">INV-1173</t>
  </si>
  <si>
    <t xml:space="preserve">INV-1540</t>
  </si>
  <si>
    <t xml:space="preserve">005004</t>
  </si>
  <si>
    <t xml:space="preserve">005048</t>
  </si>
  <si>
    <t xml:space="preserve">005094</t>
  </si>
  <si>
    <t xml:space="preserve">005368</t>
  </si>
  <si>
    <t xml:space="preserve">UNMATCHED</t>
  </si>
  <si>
    <t xml:space="preserve">INV-1027</t>
  </si>
  <si>
    <t xml:space="preserve">INV-1137</t>
  </si>
  <si>
    <t xml:space="preserve">INV-1192</t>
  </si>
  <si>
    <t xml:space="preserve">INV-1412</t>
  </si>
  <si>
    <t xml:space="preserve">INV-1496</t>
  </si>
  <si>
    <t xml:space="preserve">005022</t>
  </si>
  <si>
    <t xml:space="preserve">005114</t>
  </si>
  <si>
    <t xml:space="preserve">005289</t>
  </si>
  <si>
    <t xml:space="preserve">005356</t>
  </si>
  <si>
    <t xml:space="preserve">INV-1018</t>
  </si>
  <si>
    <t xml:space="preserve">INV-1176</t>
  </si>
  <si>
    <t xml:space="preserve">005111</t>
  </si>
  <si>
    <t xml:space="preserve">005183</t>
  </si>
  <si>
    <t xml:space="preserve">005267</t>
  </si>
  <si>
    <t xml:space="preserve">005306</t>
  </si>
  <si>
    <t xml:space="preserve">005431</t>
  </si>
  <si>
    <t xml:space="preserve">INV-1048</t>
  </si>
  <si>
    <t xml:space="preserve">INV-1126</t>
  </si>
  <si>
    <t xml:space="preserve">INV-1145</t>
  </si>
  <si>
    <t xml:space="preserve">INV-1261</t>
  </si>
  <si>
    <t xml:space="preserve">INV-1497</t>
  </si>
  <si>
    <t xml:space="preserve">005012</t>
  </si>
  <si>
    <t xml:space="preserve">005032</t>
  </si>
  <si>
    <t xml:space="preserve">005035</t>
  </si>
  <si>
    <t xml:space="preserve">005062</t>
  </si>
  <si>
    <t xml:space="preserve">005081</t>
  </si>
  <si>
    <t xml:space="preserve">005119</t>
  </si>
  <si>
    <t xml:space="preserve">005176</t>
  </si>
  <si>
    <t xml:space="preserve">005202</t>
  </si>
  <si>
    <t xml:space="preserve">005253</t>
  </si>
  <si>
    <t xml:space="preserve">INV-1040</t>
  </si>
  <si>
    <t xml:space="preserve">INV-1233</t>
  </si>
  <si>
    <t xml:space="preserve">INV-1234</t>
  </si>
  <si>
    <t xml:space="preserve">INV-1243</t>
  </si>
  <si>
    <t xml:space="preserve">INV-1317</t>
  </si>
  <si>
    <t xml:space="preserve">INV-1351</t>
  </si>
  <si>
    <t xml:space="preserve">INV-1373</t>
  </si>
  <si>
    <t xml:space="preserve">INV-1389</t>
  </si>
  <si>
    <t xml:space="preserve">INV-1416</t>
  </si>
  <si>
    <t xml:space="preserve">INV-1453</t>
  </si>
  <si>
    <t xml:space="preserve">INV-1498</t>
  </si>
  <si>
    <t xml:space="preserve">INV-1523</t>
  </si>
  <si>
    <t xml:space="preserve">INV-1573</t>
  </si>
  <si>
    <t xml:space="preserve">005089</t>
  </si>
  <si>
    <t xml:space="preserve">005107</t>
  </si>
  <si>
    <t xml:space="preserve">005246</t>
  </si>
  <si>
    <t xml:space="preserve">005276</t>
  </si>
  <si>
    <t xml:space="preserve">005292</t>
  </si>
  <si>
    <t xml:space="preserve">005335</t>
  </si>
  <si>
    <t xml:space="preserve">005416</t>
  </si>
  <si>
    <t xml:space="preserve">INV-1078</t>
  </si>
  <si>
    <t xml:space="preserve">INV-1297</t>
  </si>
  <si>
    <t xml:space="preserve">INV-1549</t>
  </si>
  <si>
    <t xml:space="preserve">005216</t>
  </si>
  <si>
    <t xml:space="preserve">005378</t>
  </si>
  <si>
    <t xml:space="preserve">INV-1158</t>
  </si>
  <si>
    <t xml:space="preserve">INV-1466</t>
  </si>
  <si>
    <t xml:space="preserve">INV-1569</t>
  </si>
  <si>
    <t xml:space="preserve">005073</t>
  </si>
  <si>
    <t xml:space="preserve">005187</t>
  </si>
  <si>
    <t xml:space="preserve">005207</t>
  </si>
  <si>
    <t xml:space="preserve">005332</t>
  </si>
  <si>
    <t xml:space="preserve">005391</t>
  </si>
  <si>
    <t xml:space="preserve">INV-1070</t>
  </si>
  <si>
    <t xml:space="preserve">INV-1169</t>
  </si>
  <si>
    <t xml:space="preserve">INV-1325</t>
  </si>
  <si>
    <t xml:space="preserve">INV-1521</t>
  </si>
  <si>
    <t xml:space="preserve">005054</t>
  </si>
  <si>
    <t xml:space="preserve">005072</t>
  </si>
  <si>
    <t xml:space="preserve">005143</t>
  </si>
  <si>
    <t xml:space="preserve">INV-1016</t>
  </si>
  <si>
    <t xml:space="preserve">INV-1214</t>
  </si>
  <si>
    <t xml:space="preserve">INV-1528</t>
  </si>
  <si>
    <t xml:space="preserve">INV-1588</t>
  </si>
  <si>
    <t xml:space="preserve">005155</t>
  </si>
  <si>
    <t xml:space="preserve">005277</t>
  </si>
  <si>
    <t xml:space="preserve">INV-1028</t>
  </si>
  <si>
    <t xml:space="preserve">INV-1034</t>
  </si>
  <si>
    <t xml:space="preserve">INV-1044</t>
  </si>
  <si>
    <t xml:space="preserve">INV-1129</t>
  </si>
  <si>
    <t xml:space="preserve">INV-1436</t>
  </si>
  <si>
    <t xml:space="preserve">INV-1459</t>
  </si>
  <si>
    <t xml:space="preserve">INV-1508</t>
  </si>
  <si>
    <t xml:space="preserve">005084</t>
  </si>
  <si>
    <t xml:space="preserve">005120</t>
  </si>
  <si>
    <t xml:space="preserve">005140</t>
  </si>
  <si>
    <t xml:space="preserve">005301</t>
  </si>
  <si>
    <t xml:space="preserve">005342</t>
  </si>
  <si>
    <t xml:space="preserve">005344</t>
  </si>
  <si>
    <t xml:space="preserve">005348</t>
  </si>
  <si>
    <t xml:space="preserve">005383</t>
  </si>
  <si>
    <t xml:space="preserve">005397</t>
  </si>
  <si>
    <t xml:space="preserve">INV-1131</t>
  </si>
  <si>
    <t xml:space="preserve">INV-1273</t>
  </si>
  <si>
    <t xml:space="preserve">INV-1414</t>
  </si>
  <si>
    <t xml:space="preserve">INV-1454</t>
  </si>
  <si>
    <t xml:space="preserve">INV-1531</t>
  </si>
  <si>
    <t xml:space="preserve">INV-1552</t>
  </si>
  <si>
    <t xml:space="preserve">005113</t>
  </si>
  <si>
    <t xml:space="preserve">005193</t>
  </si>
  <si>
    <t xml:space="preserve">005198</t>
  </si>
  <si>
    <t xml:space="preserve">005331</t>
  </si>
  <si>
    <t xml:space="preserve">INV-1001</t>
  </si>
  <si>
    <t xml:space="preserve">INV-1017</t>
  </si>
  <si>
    <t xml:space="preserve">INV-1062</t>
  </si>
  <si>
    <t xml:space="preserve">INV-1270</t>
  </si>
  <si>
    <t xml:space="preserve">INV-1516</t>
  </si>
  <si>
    <t xml:space="preserve">INV-1553</t>
  </si>
  <si>
    <t xml:space="preserve">INV-1584</t>
  </si>
  <si>
    <t xml:space="preserve">005061</t>
  </si>
  <si>
    <t xml:space="preserve">005063</t>
  </si>
  <si>
    <t xml:space="preserve">005206</t>
  </si>
  <si>
    <t xml:space="preserve">005234</t>
  </si>
  <si>
    <t xml:space="preserve">005256</t>
  </si>
  <si>
    <t xml:space="preserve">005275</t>
  </si>
  <si>
    <t xml:space="preserve">005291</t>
  </si>
  <si>
    <t xml:space="preserve">INV-1090</t>
  </si>
  <si>
    <t xml:space="preserve">INV-1127</t>
  </si>
  <si>
    <t xml:space="preserve">INV-1256</t>
  </si>
  <si>
    <t xml:space="preserve">INV-1337</t>
  </si>
  <si>
    <t xml:space="preserve">INV-1499</t>
  </si>
  <si>
    <t xml:space="preserve">INV-1538</t>
  </si>
  <si>
    <t xml:space="preserve">005149</t>
  </si>
  <si>
    <t xml:space="preserve">005153</t>
  </si>
  <si>
    <t xml:space="preserve">INV-1518</t>
  </si>
  <si>
    <t xml:space="preserve">INV-1529</t>
  </si>
  <si>
    <t xml:space="preserve">005029</t>
  </si>
  <si>
    <t xml:space="preserve">005125</t>
  </si>
  <si>
    <t xml:space="preserve">005135</t>
  </si>
  <si>
    <t xml:space="preserve">005146</t>
  </si>
  <si>
    <t xml:space="preserve">005158</t>
  </si>
  <si>
    <t xml:space="preserve">005223</t>
  </si>
  <si>
    <t xml:space="preserve">005283</t>
  </si>
  <si>
    <t xml:space="preserve">005421</t>
  </si>
  <si>
    <t xml:space="preserve">INV-1105</t>
  </si>
  <si>
    <t xml:space="preserve">INV-1107</t>
  </si>
  <si>
    <t xml:space="preserve">INV-1205</t>
  </si>
  <si>
    <t xml:space="preserve">INV-1415</t>
  </si>
  <si>
    <t xml:space="preserve">005077</t>
  </si>
  <si>
    <t xml:space="preserve">005092</t>
  </si>
  <si>
    <t xml:space="preserve">005118</t>
  </si>
  <si>
    <t xml:space="preserve">005249</t>
  </si>
  <si>
    <t xml:space="preserve">005334</t>
  </si>
  <si>
    <t xml:space="preserve">005362</t>
  </si>
  <si>
    <t xml:space="preserve">INV-1032</t>
  </si>
  <si>
    <t xml:space="preserve">INV-1051</t>
  </si>
  <si>
    <t xml:space="preserve">INV-1096</t>
  </si>
  <si>
    <t xml:space="preserve">INV-1203</t>
  </si>
  <si>
    <t xml:space="preserve">INV-1274</t>
  </si>
  <si>
    <t xml:space="preserve">INV-1356</t>
  </si>
  <si>
    <t xml:space="preserve">005045</t>
  </si>
  <si>
    <t xml:space="preserve">005080</t>
  </si>
  <si>
    <t xml:space="preserve">005268</t>
  </si>
  <si>
    <t xml:space="preserve">005309</t>
  </si>
  <si>
    <t xml:space="preserve">005390</t>
  </si>
  <si>
    <t xml:space="preserve">INV-1123</t>
  </si>
  <si>
    <t xml:space="preserve">INV-1318</t>
  </si>
  <si>
    <t xml:space="preserve">INV-1537</t>
  </si>
  <si>
    <t xml:space="preserve">005116</t>
  </si>
  <si>
    <t xml:space="preserve">005259</t>
  </si>
  <si>
    <t xml:space="preserve">INV-1054</t>
  </si>
  <si>
    <t xml:space="preserve">INV-1150</t>
  </si>
  <si>
    <t xml:space="preserve">INV-1253</t>
  </si>
  <si>
    <t xml:space="preserve">INV-1354</t>
  </si>
  <si>
    <t xml:space="preserve">INV-1417</t>
  </si>
  <si>
    <t xml:space="preserve">INV-1532</t>
  </si>
  <si>
    <t xml:space="preserve">005128</t>
  </si>
  <si>
    <t xml:space="preserve">005132</t>
  </si>
  <si>
    <t xml:space="preserve">005274</t>
  </si>
  <si>
    <t xml:space="preserve">005396</t>
  </si>
  <si>
    <t xml:space="preserve">005442</t>
  </si>
  <si>
    <t xml:space="preserve">INV-1179</t>
  </si>
  <si>
    <t xml:space="preserve">INV-1182</t>
  </si>
  <si>
    <t xml:space="preserve">INV-1202</t>
  </si>
  <si>
    <t xml:space="preserve">INV-1328</t>
  </si>
  <si>
    <t xml:space="preserve">INV-1358</t>
  </si>
  <si>
    <t xml:space="preserve">INV-1390</t>
  </si>
  <si>
    <t xml:space="preserve">INV-1431</t>
  </si>
  <si>
    <t xml:space="preserve">INV-1562</t>
  </si>
  <si>
    <t xml:space="preserve">INV-1585</t>
  </si>
  <si>
    <t xml:space="preserve">005009</t>
  </si>
  <si>
    <t xml:space="preserve">005058</t>
  </si>
  <si>
    <t xml:space="preserve">005169</t>
  </si>
  <si>
    <t xml:space="preserve">INV-1007</t>
  </si>
  <si>
    <t xml:space="preserve">INV-1041</t>
  </si>
  <si>
    <t xml:space="preserve">INV-1086</t>
  </si>
  <si>
    <t xml:space="preserve">INV-1101</t>
  </si>
  <si>
    <t xml:space="preserve">INV-1324</t>
  </si>
  <si>
    <t xml:space="preserve">INV-1401</t>
  </si>
  <si>
    <t xml:space="preserve">005148</t>
  </si>
  <si>
    <t xml:space="preserve">005172</t>
  </si>
  <si>
    <t xml:space="preserve">005190</t>
  </si>
  <si>
    <t xml:space="preserve">005201</t>
  </si>
  <si>
    <t xml:space="preserve">005235</t>
  </si>
  <si>
    <t xml:space="preserve">005350</t>
  </si>
  <si>
    <t xml:space="preserve">005415</t>
  </si>
  <si>
    <t xml:space="preserve">005424</t>
  </si>
  <si>
    <t xml:space="preserve">005427</t>
  </si>
  <si>
    <t xml:space="preserve">INV-1399</t>
  </si>
  <si>
    <t xml:space="preserve">INV-1419</t>
  </si>
  <si>
    <t xml:space="preserve">INV-1597</t>
  </si>
  <si>
    <t xml:space="preserve">005188</t>
  </si>
  <si>
    <t xml:space="preserve">005208</t>
  </si>
  <si>
    <t xml:space="preserve">005239</t>
  </si>
  <si>
    <t xml:space="preserve">005280</t>
  </si>
  <si>
    <t xml:space="preserve">INV-1104</t>
  </si>
  <si>
    <t xml:space="preserve">INV-1140</t>
  </si>
  <si>
    <t xml:space="preserve">INV-1240</t>
  </si>
  <si>
    <t xml:space="preserve">INV-1378</t>
  </si>
  <si>
    <t xml:space="preserve">INV-1404</t>
  </si>
  <si>
    <t xml:space="preserve">INV-1478</t>
  </si>
  <si>
    <t xml:space="preserve">005018</t>
  </si>
  <si>
    <t xml:space="preserve">005122</t>
  </si>
  <si>
    <t xml:space="preserve">005160</t>
  </si>
  <si>
    <t xml:space="preserve">005189</t>
  </si>
  <si>
    <t xml:space="preserve">005339</t>
  </si>
  <si>
    <t xml:space="preserve">005430</t>
  </si>
  <si>
    <t xml:space="preserve">INV-1014</t>
  </si>
  <si>
    <t xml:space="preserve">INV-1177</t>
  </si>
  <si>
    <t xml:space="preserve">INV-1196</t>
  </si>
  <si>
    <t xml:space="preserve">INV-1292</t>
  </si>
  <si>
    <t xml:space="preserve">INV-1382</t>
  </si>
  <si>
    <t xml:space="preserve">INV-1579</t>
  </si>
  <si>
    <t xml:space="preserve">005051</t>
  </si>
  <si>
    <t xml:space="preserve">005064</t>
  </si>
  <si>
    <t xml:space="preserve">005320</t>
  </si>
  <si>
    <t xml:space="preserve">005328</t>
  </si>
  <si>
    <t xml:space="preserve">005329</t>
  </si>
  <si>
    <t xml:space="preserve">005429</t>
  </si>
  <si>
    <t xml:space="preserve">INV-1026</t>
  </si>
  <si>
    <t xml:space="preserve">INV-1068</t>
  </si>
  <si>
    <t xml:space="preserve">INV-1277</t>
  </si>
  <si>
    <t xml:space="preserve">INV-1289</t>
  </si>
  <si>
    <t xml:space="preserve">INV-1560</t>
  </si>
  <si>
    <t xml:space="preserve">005037</t>
  </si>
  <si>
    <t xml:space="preserve">005065</t>
  </si>
  <si>
    <t xml:space="preserve">005163</t>
  </si>
  <si>
    <t xml:space="preserve">005192</t>
  </si>
  <si>
    <t xml:space="preserve">005211</t>
  </si>
  <si>
    <t xml:space="preserve">005255</t>
  </si>
  <si>
    <t xml:space="preserve">005304</t>
  </si>
  <si>
    <t xml:space="preserve">005400</t>
  </si>
  <si>
    <t xml:space="preserve">INV-1082</t>
  </si>
  <si>
    <t xml:space="preserve">INV-1143</t>
  </si>
  <si>
    <t xml:space="preserve">INV-1226</t>
  </si>
  <si>
    <t xml:space="preserve">INV-1239</t>
  </si>
  <si>
    <t xml:space="preserve">INV-1242</t>
  </si>
  <si>
    <t xml:space="preserve">INV-1326</t>
  </si>
  <si>
    <t xml:space="preserve">INV-1329</t>
  </si>
  <si>
    <t xml:space="preserve">INV-1347</t>
  </si>
  <si>
    <t xml:space="preserve">005059</t>
  </si>
  <si>
    <t xml:space="preserve">005096</t>
  </si>
  <si>
    <t xml:space="preserve">005154</t>
  </si>
  <si>
    <t xml:space="preserve">005182</t>
  </si>
  <si>
    <t xml:space="preserve">005217</t>
  </si>
  <si>
    <t xml:space="preserve">005341</t>
  </si>
  <si>
    <t xml:space="preserve">005346</t>
  </si>
  <si>
    <t xml:space="preserve">005404</t>
  </si>
  <si>
    <t xml:space="preserve">INV-1171</t>
  </si>
  <si>
    <t xml:space="preserve">005117</t>
  </si>
  <si>
    <t xml:space="preserve">005221</t>
  </si>
  <si>
    <t xml:space="preserve">005242</t>
  </si>
  <si>
    <t xml:space="preserve">005310</t>
  </si>
  <si>
    <t xml:space="preserve">005355</t>
  </si>
  <si>
    <t xml:space="preserve">INV-1021</t>
  </si>
  <si>
    <t xml:space="preserve">INV-1083</t>
  </si>
  <si>
    <t xml:space="preserve">INV-1161</t>
  </si>
  <si>
    <t xml:space="preserve">INV-1163</t>
  </si>
  <si>
    <t xml:space="preserve">INV-1482</t>
  </si>
  <si>
    <t xml:space="preserve">005047</t>
  </si>
  <si>
    <t xml:space="preserve">005243</t>
  </si>
  <si>
    <t xml:space="preserve">005324</t>
  </si>
  <si>
    <t xml:space="preserve">005352</t>
  </si>
  <si>
    <t xml:space="preserve">005374</t>
  </si>
  <si>
    <t xml:space="preserve">005380</t>
  </si>
  <si>
    <t xml:space="preserve">005386</t>
  </si>
  <si>
    <t xml:space="preserve">INV-1468</t>
  </si>
  <si>
    <t xml:space="preserve">INV-1580</t>
  </si>
  <si>
    <t xml:space="preserve">005102</t>
  </si>
  <si>
    <t xml:space="preserve">005325</t>
  </si>
  <si>
    <t xml:space="preserve">INV-1023</t>
  </si>
  <si>
    <t xml:space="preserve">INV-1204</t>
  </si>
  <si>
    <t xml:space="preserve">INV-1238</t>
  </si>
  <si>
    <t xml:space="preserve">INV-1257</t>
  </si>
  <si>
    <t xml:space="preserve">INV-1542</t>
  </si>
  <si>
    <t xml:space="preserve">005069</t>
  </si>
  <si>
    <t xml:space="preserve">005131</t>
  </si>
  <si>
    <t xml:space="preserve">005133</t>
  </si>
  <si>
    <t xml:space="preserve">005145</t>
  </si>
  <si>
    <t xml:space="preserve">005170</t>
  </si>
  <si>
    <t xml:space="preserve">005225</t>
  </si>
  <si>
    <t xml:space="preserve">005364</t>
  </si>
  <si>
    <t xml:space="preserve">INV-1159</t>
  </si>
  <si>
    <t xml:space="preserve">INV-1228</t>
  </si>
  <si>
    <t xml:space="preserve">INV-1307</t>
  </si>
  <si>
    <t xml:space="preserve">INV-1484</t>
  </si>
  <si>
    <t xml:space="preserve">INV-1572</t>
  </si>
  <si>
    <t xml:space="preserve">INV-1596</t>
  </si>
  <si>
    <t xml:space="preserve">005090</t>
  </si>
  <si>
    <t xml:space="preserve">INV-1121</t>
  </si>
  <si>
    <t xml:space="preserve">INV-1170</t>
  </si>
  <si>
    <t xml:space="preserve">INV-1375</t>
  </si>
  <si>
    <t xml:space="preserve">INV-1398</t>
  </si>
  <si>
    <t xml:space="preserve">005093</t>
  </si>
  <si>
    <t xml:space="preserve">005351</t>
  </si>
  <si>
    <t xml:space="preserve">005436</t>
  </si>
  <si>
    <t xml:space="preserve">005440</t>
  </si>
  <si>
    <t xml:space="preserve">INV-1085</t>
  </si>
  <si>
    <t xml:space="preserve">INV-1195</t>
  </si>
  <si>
    <t xml:space="preserve">INV-1209</t>
  </si>
  <si>
    <t xml:space="preserve">005053</t>
  </si>
  <si>
    <t xml:space="preserve">005180</t>
  </si>
  <si>
    <t xml:space="preserve">005273</t>
  </si>
  <si>
    <t xml:space="preserve">005343</t>
  </si>
  <si>
    <t xml:space="preserve">005357</t>
  </si>
  <si>
    <t xml:space="preserve">005394</t>
  </si>
  <si>
    <t xml:space="preserve">005410</t>
  </si>
  <si>
    <t xml:space="preserve">005448</t>
  </si>
  <si>
    <t xml:space="preserve">INV-1019</t>
  </si>
  <si>
    <t xml:space="preserve">INV-1022</t>
  </si>
  <si>
    <t xml:space="preserve">INV-1223</t>
  </si>
  <si>
    <t xml:space="preserve">INV-1229</t>
  </si>
  <si>
    <t xml:space="preserve">INV-1372</t>
  </si>
  <si>
    <t xml:space="preserve">INV-1410</t>
  </si>
  <si>
    <t xml:space="preserve">INV-1446</t>
  </si>
  <si>
    <t xml:space="preserve">INV-1594</t>
  </si>
  <si>
    <t xml:space="preserve">005103</t>
  </si>
  <si>
    <t xml:space="preserve">005313</t>
  </si>
  <si>
    <t xml:space="preserve">005322</t>
  </si>
  <si>
    <t xml:space="preserve">005425</t>
  </si>
  <si>
    <t xml:space="preserve">INV-1050</t>
  </si>
  <si>
    <t xml:space="preserve">INV-1060</t>
  </si>
  <si>
    <t xml:space="preserve">INV-1427</t>
  </si>
  <si>
    <t xml:space="preserve">INV-1506</t>
  </si>
  <si>
    <t xml:space="preserve">INV-1514</t>
  </si>
  <si>
    <t xml:space="preserve">INV-1541</t>
  </si>
  <si>
    <t xml:space="preserve">INV-1558</t>
  </si>
  <si>
    <t xml:space="preserve">005015</t>
  </si>
  <si>
    <t xml:space="preserve">005134</t>
  </si>
  <si>
    <t xml:space="preserve">005222</t>
  </si>
  <si>
    <t xml:space="preserve">005264</t>
  </si>
  <si>
    <t xml:space="preserve">005338</t>
  </si>
  <si>
    <t xml:space="preserve">005438</t>
  </si>
  <si>
    <t xml:space="preserve">INV-1113</t>
  </si>
  <si>
    <t xml:space="preserve">INV-1371</t>
  </si>
  <si>
    <t xml:space="preserve">INV-1557</t>
  </si>
  <si>
    <t xml:space="preserve">005260</t>
  </si>
  <si>
    <t xml:space="preserve">005262</t>
  </si>
  <si>
    <t xml:space="preserve">005290</t>
  </si>
  <si>
    <t xml:space="preserve">005434</t>
  </si>
  <si>
    <t xml:space="preserve">005437</t>
  </si>
  <si>
    <t xml:space="preserve">INV-1015</t>
  </si>
  <si>
    <t xml:space="preserve">INV-1200</t>
  </si>
  <si>
    <t xml:space="preserve">INV-1430</t>
  </si>
  <si>
    <t xml:space="preserve">005150</t>
  </si>
  <si>
    <t xml:space="preserve">005226</t>
  </si>
  <si>
    <t xml:space="preserve">005254</t>
  </si>
  <si>
    <t xml:space="preserve">005298</t>
  </si>
  <si>
    <t xml:space="preserve">005321</t>
  </si>
  <si>
    <t xml:space="preserve">005446</t>
  </si>
  <si>
    <t xml:space="preserve">INV-1049</t>
  </si>
  <si>
    <t xml:space="preserve">INV-1156</t>
  </si>
  <si>
    <t xml:space="preserve">INV-1488</t>
  </si>
  <si>
    <t xml:space="preserve">INV-1501</t>
  </si>
  <si>
    <t xml:space="preserve">INV-1583</t>
  </si>
  <si>
    <t xml:space="preserve">005173</t>
  </si>
  <si>
    <t xml:space="preserve">005285</t>
  </si>
  <si>
    <t xml:space="preserve">INV-1042</t>
  </si>
  <si>
    <t xml:space="preserve">INV-1092</t>
  </si>
  <si>
    <t xml:space="preserve">INV-1153</t>
  </si>
  <si>
    <t xml:space="preserve">INV-1215</t>
  </si>
  <si>
    <t xml:space="preserve">INV-1259</t>
  </si>
  <si>
    <t xml:space="preserve">005013</t>
  </si>
  <si>
    <t xml:space="preserve">005209</t>
  </si>
  <si>
    <t xml:space="preserve">005233</t>
  </si>
  <si>
    <t xml:space="preserve">005238</t>
  </si>
  <si>
    <t xml:space="preserve">005369</t>
  </si>
  <si>
    <t xml:space="preserve">INV-1539</t>
  </si>
  <si>
    <t xml:space="preserve">INV-1575</t>
  </si>
  <si>
    <t xml:space="preserve">005086</t>
  </si>
  <si>
    <t xml:space="preserve">005126</t>
  </si>
  <si>
    <t xml:space="preserve">005139</t>
  </si>
  <si>
    <t xml:space="preserve">005152</t>
  </si>
  <si>
    <t xml:space="preserve">005303</t>
  </si>
  <si>
    <t xml:space="preserve">005312</t>
  </si>
  <si>
    <t xml:space="preserve">005408</t>
  </si>
  <si>
    <t xml:space="preserve">INV-1122</t>
  </si>
  <si>
    <t xml:space="preserve">INV-1164</t>
  </si>
  <si>
    <t xml:space="preserve">INV-1212</t>
  </si>
  <si>
    <t xml:space="preserve">INV-1309</t>
  </si>
  <si>
    <t xml:space="preserve">INV-1424</t>
  </si>
  <si>
    <t xml:space="preserve">005052</t>
  </si>
  <si>
    <t xml:space="preserve">005057</t>
  </si>
  <si>
    <t xml:space="preserve">005210</t>
  </si>
  <si>
    <t xml:space="preserve">005248</t>
  </si>
  <si>
    <t xml:space="preserve">005250</t>
  </si>
  <si>
    <t xml:space="preserve">INV-1059</t>
  </si>
  <si>
    <t xml:space="preserve">INV-1269</t>
  </si>
  <si>
    <t xml:space="preserve">INV-1374</t>
  </si>
  <si>
    <t xml:space="preserve">005074</t>
  </si>
  <si>
    <t xml:space="preserve">005104</t>
  </si>
  <si>
    <t xml:space="preserve">005124</t>
  </si>
  <si>
    <t xml:space="preserve">005151</t>
  </si>
  <si>
    <t xml:space="preserve">005365</t>
  </si>
  <si>
    <t xml:space="preserve">005389</t>
  </si>
  <si>
    <t xml:space="preserve">INV-1117</t>
  </si>
  <si>
    <t xml:space="preserve">INV-1125</t>
  </si>
  <si>
    <t xml:space="preserve">INV-1266</t>
  </si>
  <si>
    <t xml:space="preserve">005025</t>
  </si>
  <si>
    <t xml:space="preserve">005079</t>
  </si>
  <si>
    <t xml:space="preserve">005213</t>
  </si>
  <si>
    <t xml:space="preserve">005336</t>
  </si>
  <si>
    <t xml:space="preserve">005375</t>
  </si>
  <si>
    <t xml:space="preserve">005409</t>
  </si>
  <si>
    <t xml:space="preserve">INV-1061</t>
  </si>
  <si>
    <t xml:space="preserve">INV-1293</t>
  </si>
  <si>
    <t xml:space="preserve">INV-1298</t>
  </si>
  <si>
    <t xml:space="preserve">INV-1385</t>
  </si>
  <si>
    <t xml:space="preserve">005007</t>
  </si>
  <si>
    <t xml:space="preserve">005055</t>
  </si>
  <si>
    <t xml:space="preserve">005085</t>
  </si>
  <si>
    <t xml:space="preserve">005147</t>
  </si>
  <si>
    <t xml:space="preserve">005156</t>
  </si>
  <si>
    <t xml:space="preserve">005184</t>
  </si>
  <si>
    <t xml:space="preserve">005237</t>
  </si>
  <si>
    <t xml:space="preserve">INV-1183</t>
  </si>
  <si>
    <t xml:space="preserve">INV-1312</t>
  </si>
  <si>
    <t xml:space="preserve">INV-1361</t>
  </si>
  <si>
    <t xml:space="preserve">INV-1593</t>
  </si>
  <si>
    <t xml:space="preserve">005130</t>
  </si>
  <si>
    <t xml:space="preserve">005361</t>
  </si>
  <si>
    <t xml:space="preserve">005426</t>
  </si>
  <si>
    <t xml:space="preserve">005433</t>
  </si>
  <si>
    <t xml:space="preserve">INV-1008</t>
  </si>
  <si>
    <t xml:space="preserve">INV-1091</t>
  </si>
  <si>
    <t xml:space="preserve">INV-1167</t>
  </si>
  <si>
    <t xml:space="preserve">INV-1402</t>
  </si>
  <si>
    <t xml:space="preserve">005019</t>
  </si>
  <si>
    <t xml:space="preserve">005082</t>
  </si>
  <si>
    <t xml:space="preserve">005088</t>
  </si>
  <si>
    <t xml:space="preserve">005286</t>
  </si>
  <si>
    <t xml:space="preserve">005412</t>
  </si>
  <si>
    <t xml:space="preserve">INV-1029</t>
  </si>
  <si>
    <t xml:space="preserve">INV-1308</t>
  </si>
  <si>
    <t xml:space="preserve">INV-1362</t>
  </si>
  <si>
    <t xml:space="preserve">INV-1405</t>
  </si>
  <si>
    <t xml:space="preserve">INV-1467</t>
  </si>
  <si>
    <t xml:space="preserve">INV-1471</t>
  </si>
  <si>
    <t xml:space="preserve">INV-1563</t>
  </si>
  <si>
    <t xml:space="preserve">005076</t>
  </si>
  <si>
    <t xml:space="preserve">005200</t>
  </si>
  <si>
    <t xml:space="preserve">005258</t>
  </si>
  <si>
    <t xml:space="preserve">005359</t>
  </si>
  <si>
    <t xml:space="preserve">005376</t>
  </si>
  <si>
    <t xml:space="preserve">INV-1067</t>
  </si>
  <si>
    <t xml:space="preserve">INV-1450</t>
  </si>
  <si>
    <t xml:space="preserve">005071</t>
  </si>
  <si>
    <t xml:space="preserve">005165</t>
  </si>
  <si>
    <t xml:space="preserve">005167</t>
  </si>
  <si>
    <t xml:space="preserve">005175</t>
  </si>
  <si>
    <t xml:space="preserve">005185</t>
  </si>
  <si>
    <t xml:space="preserve">005317</t>
  </si>
  <si>
    <t xml:space="preserve">INV-1363</t>
  </si>
  <si>
    <t xml:space="preserve">INV-1418</t>
  </si>
  <si>
    <t xml:space="preserve">INV-1522</t>
  </si>
  <si>
    <t xml:space="preserve">INV-1582</t>
  </si>
  <si>
    <t xml:space="preserve">005050</t>
  </si>
  <si>
    <t xml:space="preserve">005293</t>
  </si>
  <si>
    <t xml:space="preserve">005315</t>
  </si>
  <si>
    <t xml:space="preserve">005354</t>
  </si>
  <si>
    <t xml:space="preserve">005360</t>
  </si>
  <si>
    <t xml:space="preserve">005405</t>
  </si>
  <si>
    <t xml:space="preserve">005407</t>
  </si>
  <si>
    <t xml:space="preserve">005449</t>
  </si>
  <si>
    <t xml:space="preserve">INV-1084</t>
  </si>
  <si>
    <t xml:space="preserve">INV-1110</t>
  </si>
  <si>
    <t xml:space="preserve">INV-1217</t>
  </si>
  <si>
    <t xml:space="preserve">INV-1327</t>
  </si>
  <si>
    <t xml:space="preserve">INV-1368</t>
  </si>
  <si>
    <t xml:space="preserve">INV-1465</t>
  </si>
  <si>
    <t xml:space="preserve">INV-1511</t>
  </si>
  <si>
    <t xml:space="preserve">005005</t>
  </si>
  <si>
    <t xml:space="preserve">005108</t>
  </si>
  <si>
    <t xml:space="preserve">005123</t>
  </si>
  <si>
    <t xml:space="preserve">005195</t>
  </si>
  <si>
    <t xml:space="preserve">005196</t>
  </si>
  <si>
    <t xml:space="preserve">005218</t>
  </si>
  <si>
    <t xml:space="preserve">005330</t>
  </si>
  <si>
    <t xml:space="preserve">005358</t>
  </si>
  <si>
    <t xml:space="preserve">005432</t>
  </si>
  <si>
    <t xml:space="preserve">INV-1155</t>
  </si>
  <si>
    <t xml:space="preserve">INV-1280</t>
  </si>
  <si>
    <t xml:space="preserve">INV-1282</t>
  </si>
  <si>
    <t xml:space="preserve">INV-1290</t>
  </si>
  <si>
    <t xml:space="preserve">INV-1386</t>
  </si>
  <si>
    <t xml:space="preserve">INV-1393</t>
  </si>
  <si>
    <t xml:space="preserve">INV-1525</t>
  </si>
  <si>
    <t xml:space="preserve">005003</t>
  </si>
  <si>
    <t xml:space="preserve">005105</t>
  </si>
  <si>
    <t xml:space="preserve">005141</t>
  </si>
  <si>
    <t xml:space="preserve">005272</t>
  </si>
  <si>
    <t xml:space="preserve">005420</t>
  </si>
  <si>
    <t xml:space="preserve">005439</t>
  </si>
  <si>
    <t xml:space="preserve">INV-1013</t>
  </si>
  <si>
    <t xml:space="preserve">INV-1088</t>
  </si>
  <si>
    <t xml:space="preserve">INV-1211</t>
  </si>
  <si>
    <t xml:space="preserve">INV-1296</t>
  </si>
  <si>
    <t xml:space="preserve">INV-1323</t>
  </si>
  <si>
    <t xml:space="preserve">INV-1369</t>
  </si>
  <si>
    <t xml:space="preserve">INV-1479</t>
  </si>
  <si>
    <t xml:space="preserve">INV-1495</t>
  </si>
  <si>
    <t xml:space="preserve">INV-1515</t>
  </si>
  <si>
    <t xml:space="preserve">INV-1592</t>
  </si>
  <si>
    <t xml:space="preserve">005112</t>
  </si>
  <si>
    <t xml:space="preserve">005266</t>
  </si>
  <si>
    <t xml:space="preserve">005441</t>
  </si>
  <si>
    <t xml:space="preserve">INV-1056</t>
  </si>
  <si>
    <t xml:space="preserve">INV-1071</t>
  </si>
  <si>
    <t xml:space="preserve">INV-1148</t>
  </si>
  <si>
    <t xml:space="preserve">INV-1218</t>
  </si>
  <si>
    <t xml:space="preserve">INV-1244</t>
  </si>
  <si>
    <t xml:space="preserve">005010</t>
  </si>
  <si>
    <t xml:space="preserve">005046</t>
  </si>
  <si>
    <t xml:space="preserve">005087</t>
  </si>
  <si>
    <t xml:space="preserve">005231</t>
  </si>
  <si>
    <t xml:space="preserve">005302</t>
  </si>
  <si>
    <t xml:space="preserve">INV-1045</t>
  </si>
  <si>
    <t xml:space="preserve">INV-1144</t>
  </si>
  <si>
    <t xml:space="preserve">INV-1225</t>
  </si>
  <si>
    <t xml:space="preserve">INV-1291</t>
  </si>
  <si>
    <t xml:space="preserve">INV-1536</t>
  </si>
  <si>
    <t xml:space="preserve">INV-1587</t>
  </si>
  <si>
    <t xml:space="preserve">005040</t>
  </si>
  <si>
    <t xml:space="preserve">005227</t>
  </si>
  <si>
    <t xml:space="preserve">005230</t>
  </si>
  <si>
    <t xml:space="preserve">005236</t>
  </si>
  <si>
    <t xml:space="preserve">005265</t>
  </si>
  <si>
    <t xml:space="preserve">005297</t>
  </si>
  <si>
    <t xml:space="preserve">INV-1089</t>
  </si>
  <si>
    <t xml:space="preserve">INV-1141</t>
  </si>
  <si>
    <t xml:space="preserve">INV-1185</t>
  </si>
  <si>
    <t xml:space="preserve">INV-1407</t>
  </si>
  <si>
    <t xml:space="preserve">INV-1420</t>
  </si>
  <si>
    <t xml:space="preserve">INV-1576</t>
  </si>
  <si>
    <t xml:space="preserve">005068</t>
  </si>
  <si>
    <t xml:space="preserve">005138</t>
  </si>
  <si>
    <t xml:space="preserve">005299</t>
  </si>
  <si>
    <t xml:space="preserve">005395</t>
  </si>
  <si>
    <t xml:space="preserve">INV-1043</t>
  </si>
  <si>
    <t xml:space="preserve">INV-1128</t>
  </si>
  <si>
    <t xml:space="preserve">INV-1287</t>
  </si>
  <si>
    <t xml:space="preserve">005191</t>
  </si>
  <si>
    <t xml:space="preserve">005326</t>
  </si>
  <si>
    <t xml:space="preserve">005349</t>
  </si>
  <si>
    <t xml:space="preserve">005406</t>
  </si>
  <si>
    <t xml:space="preserve">005422</t>
  </si>
  <si>
    <t xml:space="preserve">INV-1072</t>
  </si>
  <si>
    <t xml:space="preserve">INV-1180</t>
  </si>
  <si>
    <t xml:space="preserve">INV-1433</t>
  </si>
  <si>
    <t xml:space="preserve">INV-1460</t>
  </si>
  <si>
    <t xml:space="preserve">INV-1486</t>
  </si>
  <si>
    <t xml:space="preserve">INV-1490</t>
  </si>
  <si>
    <t xml:space="preserve">INV-1595</t>
  </si>
  <si>
    <t xml:space="preserve">INV-1600</t>
  </si>
  <si>
    <t xml:space="preserve">005067</t>
  </si>
  <si>
    <t xml:space="preserve">005083</t>
  </si>
  <si>
    <t xml:space="preserve">005311</t>
  </si>
  <si>
    <t xml:space="preserve">005444</t>
  </si>
  <si>
    <t xml:space="preserve">INV-1112</t>
  </si>
  <si>
    <t xml:space="preserve">INV-1149</t>
  </si>
  <si>
    <t xml:space="preserve">INV-1247</t>
  </si>
  <si>
    <t xml:space="preserve">INV-1394</t>
  </si>
  <si>
    <t xml:space="preserve">INV-1434</t>
  </si>
  <si>
    <t xml:space="preserve">INV-1543</t>
  </si>
  <si>
    <t xml:space="preserve">005199</t>
  </si>
  <si>
    <t xml:space="preserve">005381</t>
  </si>
  <si>
    <t xml:space="preserve">INV-1130</t>
  </si>
  <si>
    <t xml:space="preserve">INV-1181</t>
  </si>
  <si>
    <t xml:space="preserve">INV-1357</t>
  </si>
  <si>
    <t xml:space="preserve">INV-1559</t>
  </si>
  <si>
    <t xml:space="preserve">INV-1586</t>
  </si>
  <si>
    <t xml:space="preserve">005014</t>
  </si>
  <si>
    <t xml:space="preserve">005157</t>
  </si>
  <si>
    <t xml:space="preserve">005179</t>
  </si>
  <si>
    <t xml:space="preserve">INV-1081</t>
  </si>
  <si>
    <t xml:space="preserve">INV-1106</t>
  </si>
  <si>
    <t xml:space="preserve">INV-1138</t>
  </si>
  <si>
    <t xml:space="preserve">INV-1146</t>
  </si>
  <si>
    <t xml:space="preserve">INV-1533</t>
  </si>
  <si>
    <t xml:space="preserve">INV-1534</t>
  </si>
  <si>
    <t xml:space="preserve">005027</t>
  </si>
  <si>
    <t xml:space="preserve">005121</t>
  </si>
  <si>
    <t xml:space="preserve">INV-1002</t>
  </si>
  <si>
    <t xml:space="preserve">INV-1136</t>
  </si>
  <si>
    <t xml:space="preserve">INV-1151</t>
  </si>
  <si>
    <t xml:space="preserve">INV-1186</t>
  </si>
  <si>
    <t xml:space="preserve">INV-1191</t>
  </si>
  <si>
    <t xml:space="preserve">INV-1341</t>
  </si>
  <si>
    <t xml:space="preserve">005006</t>
  </si>
  <si>
    <t xml:space="preserve">005016</t>
  </si>
  <si>
    <t xml:space="preserve">005097</t>
  </si>
  <si>
    <t xml:space="preserve">005385</t>
  </si>
  <si>
    <t xml:space="preserve">005399</t>
  </si>
  <si>
    <t xml:space="preserve">INV-1012</t>
  </si>
  <si>
    <t xml:space="preserve">INV-1033</t>
  </si>
  <si>
    <t xml:space="preserve">INV-1076</t>
  </si>
  <si>
    <t xml:space="preserve">005017</t>
  </si>
  <si>
    <t xml:space="preserve">005033</t>
  </si>
  <si>
    <t xml:space="preserve">005109</t>
  </si>
  <si>
    <t xml:space="preserve">005269</t>
  </si>
  <si>
    <t xml:space="preserve">005384</t>
  </si>
  <si>
    <t xml:space="preserve">INV-1109</t>
  </si>
  <si>
    <t xml:space="preserve">INV-1166</t>
  </si>
  <si>
    <t xml:space="preserve">INV-1174</t>
  </si>
  <si>
    <t xml:space="preserve">INV-1255</t>
  </si>
  <si>
    <t xml:space="preserve">INV-1432</t>
  </si>
  <si>
    <t xml:space="preserve">005002</t>
  </si>
  <si>
    <t xml:space="preserve">005024</t>
  </si>
  <si>
    <t xml:space="preserve">005031</t>
  </si>
  <si>
    <t xml:space="preserve">005212</t>
  </si>
  <si>
    <t xml:space="preserve">005300</t>
  </si>
  <si>
    <t xml:space="preserve">005345</t>
  </si>
  <si>
    <t xml:space="preserve">005392</t>
  </si>
  <si>
    <t xml:space="preserve">005417</t>
  </si>
  <si>
    <t xml:space="preserve">INV-1276</t>
  </si>
  <si>
    <t xml:space="preserve">INV-1360</t>
  </si>
  <si>
    <t xml:space="preserve">INV-1476</t>
  </si>
  <si>
    <t xml:space="preserve">005137</t>
  </si>
  <si>
    <t xml:space="preserve">005142</t>
  </si>
  <si>
    <t xml:space="preserve">005244</t>
  </si>
  <si>
    <t xml:space="preserve">005403</t>
  </si>
  <si>
    <t xml:space="preserve">INV-1005</t>
  </si>
  <si>
    <t xml:space="preserve">INV-1011</t>
  </si>
  <si>
    <t xml:space="preserve">INV-1036</t>
  </si>
  <si>
    <t xml:space="preserve">INV-1232</t>
  </si>
  <si>
    <t xml:space="preserve">INV-1313</t>
  </si>
  <si>
    <t xml:space="preserve">INV-1352</t>
  </si>
  <si>
    <t xml:space="preserve">INV-1457</t>
  </si>
  <si>
    <t xml:space="preserve">INV-1574</t>
  </si>
  <si>
    <t xml:space="preserve">005001</t>
  </si>
  <si>
    <t xml:space="preserve">005215</t>
  </si>
  <si>
    <t xml:space="preserve">005307</t>
  </si>
  <si>
    <t xml:space="preserve">INV-1258</t>
  </si>
  <si>
    <t xml:space="preserve">INV-1299</t>
  </si>
  <si>
    <t xml:space="preserve">INV-1423</t>
  </si>
  <si>
    <t xml:space="preserve">INV-1475</t>
  </si>
  <si>
    <t xml:space="preserve">INV-1590</t>
  </si>
  <si>
    <t xml:space="preserve">005075</t>
  </si>
  <si>
    <t xml:space="preserve">005115</t>
  </si>
  <si>
    <t xml:space="preserve">005127</t>
  </si>
  <si>
    <t xml:space="preserve">005174</t>
  </si>
  <si>
    <t xml:space="preserve">005224</t>
  </si>
  <si>
    <t xml:space="preserve">005278</t>
  </si>
  <si>
    <t xml:space="preserve">005323</t>
  </si>
  <si>
    <t xml:space="preserve">005371</t>
  </si>
  <si>
    <t xml:space="preserve">005443</t>
  </si>
  <si>
    <t xml:space="preserve">INV-1006</t>
  </si>
  <si>
    <t xml:space="preserve">INV-1334</t>
  </si>
  <si>
    <t xml:space="preserve">INV-1335</t>
  </si>
  <si>
    <t xml:space="preserve">INV-1411</t>
  </si>
  <si>
    <t xml:space="preserve">INV-1448</t>
  </si>
  <si>
    <t xml:space="preserve">INV-1548</t>
  </si>
  <si>
    <t xml:space="preserve">005039</t>
  </si>
  <si>
    <t xml:space="preserve">005042</t>
  </si>
  <si>
    <t xml:space="preserve">005136</t>
  </si>
  <si>
    <t xml:space="preserve">005197</t>
  </si>
  <si>
    <t xml:space="preserve">005263</t>
  </si>
  <si>
    <t xml:space="preserve">INV-1160</t>
  </si>
  <si>
    <t xml:space="preserve">INV-1381</t>
  </si>
  <si>
    <t xml:space="preserve">005008</t>
  </si>
  <si>
    <t xml:space="preserve">005049</t>
  </si>
  <si>
    <t xml:space="preserve">005186</t>
  </si>
  <si>
    <t xml:space="preserve">005252</t>
  </si>
  <si>
    <t xml:space="preserve">005370</t>
  </si>
  <si>
    <t xml:space="preserve">005419</t>
  </si>
  <si>
    <t xml:space="preserve">005445</t>
  </si>
  <si>
    <t xml:space="preserve">INV-1063</t>
  </si>
  <si>
    <t xml:space="preserve">INV-1069</t>
  </si>
  <si>
    <t xml:space="preserve">INV-1251</t>
  </si>
  <si>
    <t xml:space="preserve">INV-1331</t>
  </si>
  <si>
    <t xml:space="preserve">INV-1463</t>
  </si>
  <si>
    <t xml:space="preserve">INV-1505</t>
  </si>
  <si>
    <t xml:space="preserve">005020</t>
  </si>
  <si>
    <t xml:space="preserve">005036</t>
  </si>
  <si>
    <t xml:space="preserve">005178</t>
  </si>
  <si>
    <t xml:space="preserve">005402</t>
  </si>
  <si>
    <t xml:space="preserve">005414</t>
  </si>
  <si>
    <t xml:space="preserve">005447</t>
  </si>
  <si>
    <t xml:space="preserve">INV-1064</t>
  </si>
  <si>
    <t xml:space="preserve">INV-1440</t>
  </si>
  <si>
    <t xml:space="preserve">INV-1464</t>
  </si>
  <si>
    <t xml:space="preserve">INV-1472</t>
  </si>
  <si>
    <t xml:space="preserve">INV-1492</t>
  </si>
  <si>
    <t xml:space="preserve">INV-1598</t>
  </si>
  <si>
    <t xml:space="preserve">005011</t>
  </si>
  <si>
    <t xml:space="preserve">005021</t>
  </si>
  <si>
    <t xml:space="preserve">005030</t>
  </si>
  <si>
    <t xml:space="preserve">005070</t>
  </si>
  <si>
    <t xml:space="preserve">005171</t>
  </si>
  <si>
    <t xml:space="preserve">005205</t>
  </si>
  <si>
    <t xml:space="preserve">005219</t>
  </si>
  <si>
    <t xml:space="preserve">005240</t>
  </si>
  <si>
    <t xml:space="preserve">005261</t>
  </si>
  <si>
    <t xml:space="preserve">005288</t>
  </si>
  <si>
    <t xml:space="preserve">INV-1057</t>
  </si>
  <si>
    <t xml:space="preserve">INV-1221</t>
  </si>
  <si>
    <t xml:space="preserve">INV-1222</t>
  </si>
  <si>
    <t xml:space="preserve">INV-1320</t>
  </si>
  <si>
    <t xml:space="preserve">INV-1365</t>
  </si>
  <si>
    <t xml:space="preserve">INV-1530</t>
  </si>
  <si>
    <t xml:space="preserve">005101</t>
  </si>
  <si>
    <t xml:space="preserve">005382</t>
  </si>
  <si>
    <t xml:space="preserve">INV-1236</t>
  </si>
  <si>
    <t xml:space="preserve">INV-1314</t>
  </si>
  <si>
    <t xml:space="preserve">INV-1349</t>
  </si>
  <si>
    <t xml:space="preserve">INV-1370</t>
  </si>
  <si>
    <t xml:space="preserve">INV-1441</t>
  </si>
  <si>
    <t xml:space="preserve">005106</t>
  </si>
  <si>
    <t xml:space="preserve">005129</t>
  </si>
  <si>
    <t xml:space="preserve">005194</t>
  </si>
  <si>
    <t xml:space="preserve">005203</t>
  </si>
  <si>
    <t xml:space="preserve">005214</t>
  </si>
  <si>
    <t xml:space="preserve">005294</t>
  </si>
  <si>
    <t xml:space="preserve">005308</t>
  </si>
  <si>
    <t xml:space="preserve">005367</t>
  </si>
  <si>
    <t xml:space="preserve">005373</t>
  </si>
  <si>
    <t xml:space="preserve">005411</t>
  </si>
  <si>
    <t xml:space="preserve">INV-1321</t>
  </si>
  <si>
    <t xml:space="preserve">INV-1364</t>
  </si>
  <si>
    <t xml:space="preserve">INV-1384</t>
  </si>
  <si>
    <t xml:space="preserve">INV-1510</t>
  </si>
  <si>
    <t xml:space="preserve">INV-1520</t>
  </si>
  <si>
    <t xml:space="preserve">INV-1566</t>
  </si>
  <si>
    <t xml:space="preserve">005043</t>
  </si>
  <si>
    <t xml:space="preserve">005159</t>
  </si>
  <si>
    <t xml:space="preserve">005413</t>
  </si>
  <si>
    <t xml:space="preserve">INV-1114</t>
  </si>
  <si>
    <t xml:space="preserve">INV-1165</t>
  </si>
  <si>
    <t xml:space="preserve">INV-1304</t>
  </si>
  <si>
    <t xml:space="preserve">INV-1344</t>
  </si>
  <si>
    <t xml:space="preserve">INV-1359</t>
  </si>
  <si>
    <t xml:space="preserve">INV-1395</t>
  </si>
  <si>
    <t xml:space="preserve">INV-1397</t>
  </si>
  <si>
    <t xml:space="preserve">INV-1469</t>
  </si>
  <si>
    <t xml:space="preserve">INV-1564</t>
  </si>
  <si>
    <t xml:space="preserve">005034</t>
  </si>
  <si>
    <t xml:space="preserve">005181</t>
  </si>
  <si>
    <t xml:space="preserve">005295</t>
  </si>
  <si>
    <t xml:space="preserve">005296</t>
  </si>
  <si>
    <t xml:space="preserve">005318</t>
  </si>
  <si>
    <t xml:space="preserve">005363</t>
  </si>
  <si>
    <t xml:space="preserve">INV-1058</t>
  </si>
  <si>
    <t xml:space="preserve">INV-1134</t>
  </si>
  <si>
    <t xml:space="preserve">INV-1152</t>
  </si>
  <si>
    <t xml:space="preserve">INV-1346</t>
  </si>
  <si>
    <t xml:space="preserve">INV-1383</t>
  </si>
  <si>
    <t xml:space="preserve">005095</t>
  </si>
  <si>
    <t xml:space="preserve">005177</t>
  </si>
  <si>
    <t xml:space="preserve">005232</t>
  </si>
  <si>
    <t xml:space="preserve">005251</t>
  </si>
  <si>
    <t xml:space="preserve">005270</t>
  </si>
  <si>
    <t xml:space="preserve">005327</t>
  </si>
  <si>
    <t xml:space="preserve">005418</t>
  </si>
  <si>
    <t xml:space="preserve">INV-1066</t>
  </si>
  <si>
    <t xml:space="preserve">INV-1190</t>
  </si>
  <si>
    <t xml:space="preserve">INV-1302</t>
  </si>
  <si>
    <t xml:space="preserve">INV-1403</t>
  </si>
  <si>
    <t xml:space="preserve">INV-1445</t>
  </si>
  <si>
    <t xml:space="preserve">005144</t>
  </si>
  <si>
    <t xml:space="preserve">005279</t>
  </si>
  <si>
    <t xml:space="preserve">005282</t>
  </si>
  <si>
    <t xml:space="preserve">005388</t>
  </si>
  <si>
    <t xml:space="preserve">INV-1319</t>
  </si>
  <si>
    <t xml:space="preserve">INV-1387</t>
  </si>
  <si>
    <t xml:space="preserve">INV-1452</t>
  </si>
  <si>
    <t xml:space="preserve">005066</t>
  </si>
  <si>
    <t xml:space="preserve">005078</t>
  </si>
  <si>
    <t xml:space="preserve">005161</t>
  </si>
  <si>
    <t xml:space="preserve">005166</t>
  </si>
  <si>
    <t xml:space="preserve">005366</t>
  </si>
  <si>
    <t xml:space="preserve">005393</t>
  </si>
  <si>
    <t xml:space="preserve">INV-1111</t>
  </si>
  <si>
    <t xml:space="preserve">INV-1162</t>
  </si>
  <si>
    <t xml:space="preserve">INV-1237</t>
  </si>
  <si>
    <t xml:space="preserve">INV-1455</t>
  </si>
  <si>
    <t xml:space="preserve">005026</t>
  </si>
  <si>
    <t xml:space="preserve">005060</t>
  </si>
  <si>
    <t xml:space="preserve">005100</t>
  </si>
  <si>
    <t xml:space="preserve">005110</t>
  </si>
  <si>
    <t xml:space="preserve">005247</t>
  </si>
  <si>
    <t xml:space="preserve">005372</t>
  </si>
  <si>
    <t xml:space="preserve">005398</t>
  </si>
  <si>
    <t xml:space="preserve">INV-1367</t>
  </si>
  <si>
    <t xml:space="preserve">005028</t>
  </si>
  <si>
    <t xml:space="preserve">005241</t>
  </si>
  <si>
    <t xml:space="preserve">005347</t>
  </si>
  <si>
    <t xml:space="preserve">005379</t>
  </si>
  <si>
    <t xml:space="preserve">INV-1332</t>
  </si>
  <si>
    <t xml:space="preserve">005229</t>
  </si>
  <si>
    <t xml:space="preserve">005337</t>
  </si>
  <si>
    <t xml:space="preserve">005387</t>
  </si>
  <si>
    <t xml:space="preserve">005257</t>
  </si>
  <si>
    <t xml:space="preserve">005377</t>
  </si>
  <si>
    <t xml:space="preserve">005098</t>
  </si>
  <si>
    <t xml:space="preserve">Ledger Transactions - full population with reconciliation status</t>
  </si>
  <si>
    <t xml:space="preserve">INV-1189</t>
  </si>
  <si>
    <t xml:space="preserve">INV-1303</t>
  </si>
  <si>
    <t xml:space="preserve">INV-1315</t>
  </si>
  <si>
    <t xml:space="preserve">INV-1439</t>
  </si>
  <si>
    <t xml:space="preserve">CHQ-005023</t>
  </si>
  <si>
    <t xml:space="preserve">CHQ-005099</t>
  </si>
  <si>
    <t xml:space="preserve">CHQ-005401</t>
  </si>
  <si>
    <t xml:space="preserve">CHQ-005435</t>
  </si>
  <si>
    <t xml:space="preserve">INV-1568</t>
  </si>
  <si>
    <t xml:space="preserve">CHQ-005168</t>
  </si>
  <si>
    <t xml:space="preserve">CHQ-005287</t>
  </si>
  <si>
    <t xml:space="preserve">CHQ-005314</t>
  </si>
  <si>
    <t xml:space="preserve">CHQ-005333</t>
  </si>
  <si>
    <t xml:space="preserve">CHQ-005423</t>
  </si>
  <si>
    <t xml:space="preserve">CHQ-005428</t>
  </si>
  <si>
    <t xml:space="preserve">INV-1184</t>
  </si>
  <si>
    <t xml:space="preserve">CHQ-005220</t>
  </si>
  <si>
    <t xml:space="preserve">CHQ-005271</t>
  </si>
  <si>
    <t xml:space="preserve">CHQ-005319</t>
  </si>
  <si>
    <t xml:space="preserve">INV-1338</t>
  </si>
  <si>
    <t xml:space="preserve">INV-1350</t>
  </si>
  <si>
    <t xml:space="preserve">INV-1546</t>
  </si>
  <si>
    <t xml:space="preserve">CHQ-005281</t>
  </si>
  <si>
    <t xml:space="preserve">CHQ-005305</t>
  </si>
  <si>
    <t xml:space="preserve">INV-1275</t>
  </si>
  <si>
    <t xml:space="preserve">INV-1336</t>
  </si>
  <si>
    <t xml:space="preserve">INV-1493</t>
  </si>
  <si>
    <t xml:space="preserve">INV-1567</t>
  </si>
  <si>
    <t xml:space="preserve">CHQ-005038</t>
  </si>
  <si>
    <t xml:space="preserve">CHQ-005164</t>
  </si>
  <si>
    <t xml:space="preserve">CHQ-005228</t>
  </si>
  <si>
    <t xml:space="preserve">CHQ-005245</t>
  </si>
  <si>
    <t xml:space="preserve">CHQ-005340</t>
  </si>
  <si>
    <t xml:space="preserve">CHQ-005450</t>
  </si>
  <si>
    <t xml:space="preserve">CHQ-009002</t>
  </si>
  <si>
    <t xml:space="preserve">INV-1245</t>
  </si>
  <si>
    <t xml:space="preserve">INV-1306</t>
  </si>
  <si>
    <t xml:space="preserve">INV-1527</t>
  </si>
  <si>
    <t xml:space="preserve">INV-1550</t>
  </si>
  <si>
    <t xml:space="preserve">CHQ-005004</t>
  </si>
  <si>
    <t xml:space="preserve">CHQ-005022</t>
  </si>
  <si>
    <t xml:space="preserve">CHQ-005044</t>
  </si>
  <si>
    <t xml:space="preserve">CHQ-005091</t>
  </si>
  <si>
    <t xml:space="preserve">CHQ-005094</t>
  </si>
  <si>
    <t xml:space="preserve">CHQ-005114</t>
  </si>
  <si>
    <t xml:space="preserve">CHQ-005162</t>
  </si>
  <si>
    <t xml:space="preserve">CHQ-005284</t>
  </si>
  <si>
    <t xml:space="preserve">CHQ-005353</t>
  </si>
  <si>
    <t xml:space="preserve">CHQ-005356</t>
  </si>
  <si>
    <t xml:space="preserve">INV-1039</t>
  </si>
  <si>
    <t xml:space="preserve">INV-1115</t>
  </si>
  <si>
    <t xml:space="preserve">INV-1208</t>
  </si>
  <si>
    <t xml:space="preserve">INV-1216</t>
  </si>
  <si>
    <t xml:space="preserve">INV-1461</t>
  </si>
  <si>
    <t xml:space="preserve">CHQ-005041</t>
  </si>
  <si>
    <t xml:space="preserve">CHQ-005111</t>
  </si>
  <si>
    <t xml:space="preserve">CHQ-005204</t>
  </si>
  <si>
    <t xml:space="preserve">CHQ-005368</t>
  </si>
  <si>
    <t xml:space="preserve">L00108</t>
  </si>
  <si>
    <t xml:space="preserve">Cash receipt counter 1 - batch 3</t>
  </si>
  <si>
    <t xml:space="preserve">INV-1206</t>
  </si>
  <si>
    <t xml:space="preserve">INV-1396</t>
  </si>
  <si>
    <t xml:space="preserve">INV-1524</t>
  </si>
  <si>
    <t xml:space="preserve">CHQ-005035</t>
  </si>
  <si>
    <t xml:space="preserve">CHQ-005176</t>
  </si>
  <si>
    <t xml:space="preserve">CHQ-005253</t>
  </si>
  <si>
    <t xml:space="preserve">CHQ-005289</t>
  </si>
  <si>
    <t xml:space="preserve">CHQ-005306</t>
  </si>
  <si>
    <t xml:space="preserve">CHQ-005316</t>
  </si>
  <si>
    <t xml:space="preserve">CHQ-005431</t>
  </si>
  <si>
    <t xml:space="preserve">L00122</t>
  </si>
  <si>
    <t xml:space="preserve">L00123</t>
  </si>
  <si>
    <t xml:space="preserve">Cash receipt counter 3 - batch 3</t>
  </si>
  <si>
    <t xml:space="preserve">INV-1004</t>
  </si>
  <si>
    <t xml:space="preserve">INV-1254</t>
  </si>
  <si>
    <t xml:space="preserve">CHQ-005048</t>
  </si>
  <si>
    <t xml:space="preserve">CHQ-005056</t>
  </si>
  <si>
    <t xml:space="preserve">CHQ-005267</t>
  </si>
  <si>
    <t xml:space="preserve">INV-1139</t>
  </si>
  <si>
    <t xml:space="preserve">CHQ-005276</t>
  </si>
  <si>
    <t xml:space="preserve">CHQ-005378</t>
  </si>
  <si>
    <t xml:space="preserve">INV-1213</t>
  </si>
  <si>
    <t xml:space="preserve">INV-1230</t>
  </si>
  <si>
    <t xml:space="preserve">INV-1494</t>
  </si>
  <si>
    <t xml:space="preserve">CHQ-005183</t>
  </si>
  <si>
    <t xml:space="preserve">CHQ-005416</t>
  </si>
  <si>
    <t xml:space="preserve">CHQ-005012</t>
  </si>
  <si>
    <t xml:space="preserve">CHQ-005062</t>
  </si>
  <si>
    <t xml:space="preserve">CHQ-005073</t>
  </si>
  <si>
    <t xml:space="preserve">CHQ-005081</t>
  </si>
  <si>
    <t xml:space="preserve">CHQ-005107</t>
  </si>
  <si>
    <t xml:space="preserve">CHQ-005119</t>
  </si>
  <si>
    <t xml:space="preserve">CHQ-005143</t>
  </si>
  <si>
    <t xml:space="preserve">CHQ-005202</t>
  </si>
  <si>
    <t xml:space="preserve">CHQ-005207</t>
  </si>
  <si>
    <t xml:space="preserve">CHQ-005292</t>
  </si>
  <si>
    <t xml:space="preserve">CHQ-005032</t>
  </si>
  <si>
    <t xml:space="preserve">CHQ-005089</t>
  </si>
  <si>
    <t xml:space="preserve">CHQ-005246</t>
  </si>
  <si>
    <t xml:space="preserve">CHQ-005335</t>
  </si>
  <si>
    <t xml:space="preserve">CHQ-009003</t>
  </si>
  <si>
    <t xml:space="preserve">INV-1187</t>
  </si>
  <si>
    <t xml:space="preserve">INV-1188</t>
  </si>
  <si>
    <t xml:space="preserve">INV-1376</t>
  </si>
  <si>
    <t xml:space="preserve">INV-1561</t>
  </si>
  <si>
    <t xml:space="preserve">CHQ-005140</t>
  </si>
  <si>
    <t xml:space="preserve">CHQ-005155</t>
  </si>
  <si>
    <t xml:space="preserve">CHQ-005342</t>
  </si>
  <si>
    <t xml:space="preserve">CHQ-005391</t>
  </si>
  <si>
    <t xml:space="preserve">INV-1295</t>
  </si>
  <si>
    <t xml:space="preserve">CHQ-005054</t>
  </si>
  <si>
    <t xml:space="preserve">CHQ-005187</t>
  </si>
  <si>
    <t xml:space="preserve">CHQ-005193</t>
  </si>
  <si>
    <t xml:space="preserve">CHQ-005198</t>
  </si>
  <si>
    <t xml:space="preserve">CHQ-005216</t>
  </si>
  <si>
    <t xml:space="preserve">CHQ-005332</t>
  </si>
  <si>
    <t xml:space="preserve">CHQ-005348</t>
  </si>
  <si>
    <t xml:space="preserve">INV-1075</t>
  </si>
  <si>
    <t xml:space="preserve">INV-1147</t>
  </si>
  <si>
    <t xml:space="preserve">INV-1435</t>
  </si>
  <si>
    <t xml:space="preserve">CHQ-005206</t>
  </si>
  <si>
    <t xml:space="preserve">CHQ-005344</t>
  </si>
  <si>
    <t xml:space="preserve">INV-1429</t>
  </si>
  <si>
    <t xml:space="preserve">CHQ-005063</t>
  </si>
  <si>
    <t xml:space="preserve">CHQ-005072</t>
  </si>
  <si>
    <t xml:space="preserve">CHQ-005084</t>
  </si>
  <si>
    <t xml:space="preserve">CHQ-005113</t>
  </si>
  <si>
    <t xml:space="preserve">CHQ-005234</t>
  </si>
  <si>
    <t xml:space="preserve">CHQ-005275</t>
  </si>
  <si>
    <t xml:space="preserve">CHQ-005301</t>
  </si>
  <si>
    <t xml:space="preserve">CHQ-005397</t>
  </si>
  <si>
    <t xml:space="preserve">CHQ-009004</t>
  </si>
  <si>
    <t xml:space="preserve">L00238</t>
  </si>
  <si>
    <t xml:space="preserve">Cash receipt counter 1 - batch 4</t>
  </si>
  <si>
    <t xml:space="preserve">CHQ-005120</t>
  </si>
  <si>
    <t xml:space="preserve">CHQ-005146</t>
  </si>
  <si>
    <t xml:space="preserve">CHQ-005153</t>
  </si>
  <si>
    <t xml:space="preserve">CHQ-005277</t>
  </si>
  <si>
    <t xml:space="preserve">CHQ-005331</t>
  </si>
  <si>
    <t xml:space="preserve">L00249</t>
  </si>
  <si>
    <t xml:space="preserve">Cash receipt counter 1 - batch 1</t>
  </si>
  <si>
    <t xml:space="preserve">L00250</t>
  </si>
  <si>
    <t xml:space="preserve">L00251</t>
  </si>
  <si>
    <t xml:space="preserve">Cash receipt counter 3 - batch 4</t>
  </si>
  <si>
    <t xml:space="preserve">INV-1250</t>
  </si>
  <si>
    <t xml:space="preserve">INV-1413</t>
  </si>
  <si>
    <t xml:space="preserve">INV-1428</t>
  </si>
  <si>
    <t xml:space="preserve">INV-1571</t>
  </si>
  <si>
    <t xml:space="preserve">CHQ-005029</t>
  </si>
  <si>
    <t xml:space="preserve">CHQ-005125</t>
  </si>
  <si>
    <t xml:space="preserve">CHQ-005223</t>
  </si>
  <si>
    <t xml:space="preserve">CHQ-005249</t>
  </si>
  <si>
    <t xml:space="preserve">CHQ-005383</t>
  </si>
  <si>
    <t xml:space="preserve">L00268</t>
  </si>
  <si>
    <t xml:space="preserve">L00269</t>
  </si>
  <si>
    <t xml:space="preserve">Cash receipt counter 3 - batch 1</t>
  </si>
  <si>
    <t xml:space="preserve">INV-1074</t>
  </si>
  <si>
    <t xml:space="preserve">INV-1087</t>
  </si>
  <si>
    <t xml:space="preserve">CHQ-005061</t>
  </si>
  <si>
    <t xml:space="preserve">CHQ-005256</t>
  </si>
  <si>
    <t xml:space="preserve">CHQ-005291</t>
  </si>
  <si>
    <t xml:space="preserve">CHQ-005334</t>
  </si>
  <si>
    <t xml:space="preserve">CHQ-005390</t>
  </si>
  <si>
    <t xml:space="preserve">INV-1262</t>
  </si>
  <si>
    <t xml:space="preserve">INV-1265</t>
  </si>
  <si>
    <t xml:space="preserve">INV-1330</t>
  </si>
  <si>
    <t xml:space="preserve">INV-1581</t>
  </si>
  <si>
    <t xml:space="preserve">CHQ-005092</t>
  </si>
  <si>
    <t xml:space="preserve">CHQ-005116</t>
  </si>
  <si>
    <t xml:space="preserve">CHQ-005135</t>
  </si>
  <si>
    <t xml:space="preserve">CHQ-005158</t>
  </si>
  <si>
    <t xml:space="preserve">CHQ-005309</t>
  </si>
  <si>
    <t xml:space="preserve">CHQ-009001</t>
  </si>
  <si>
    <t xml:space="preserve">INV-1288</t>
  </si>
  <si>
    <t xml:space="preserve">CHQ-005118</t>
  </si>
  <si>
    <t xml:space="preserve">CHQ-005128</t>
  </si>
  <si>
    <t xml:space="preserve">CHQ-005149</t>
  </si>
  <si>
    <t xml:space="preserve">CHQ-005259</t>
  </si>
  <si>
    <t xml:space="preserve">CHQ-005045</t>
  </si>
  <si>
    <t xml:space="preserve">CHQ-005077</t>
  </si>
  <si>
    <t xml:space="preserve">CHQ-005169</t>
  </si>
  <si>
    <t xml:space="preserve">CHQ-005268</t>
  </si>
  <si>
    <t xml:space="preserve">CHQ-005283</t>
  </si>
  <si>
    <t xml:space="preserve">CHQ-005396</t>
  </si>
  <si>
    <t xml:space="preserve">CHQ-005421</t>
  </si>
  <si>
    <t xml:space="preserve">INV-1316</t>
  </si>
  <si>
    <t xml:space="preserve">INV-1447</t>
  </si>
  <si>
    <t xml:space="preserve">INV-1545</t>
  </si>
  <si>
    <t xml:space="preserve">CHQ-005148</t>
  </si>
  <si>
    <t xml:space="preserve">INV-1010</t>
  </si>
  <si>
    <t xml:space="preserve">INV-1241</t>
  </si>
  <si>
    <t xml:space="preserve">INV-1547</t>
  </si>
  <si>
    <t xml:space="preserve">CHQ-005009</t>
  </si>
  <si>
    <t xml:space="preserve">CHQ-005058</t>
  </si>
  <si>
    <t xml:space="preserve">CHQ-005190</t>
  </si>
  <si>
    <t xml:space="preserve">CHQ-005201</t>
  </si>
  <si>
    <t xml:space="preserve">L00348</t>
  </si>
  <si>
    <t xml:space="preserve">Cash receipt counter 1 - batch 5</t>
  </si>
  <si>
    <t xml:space="preserve">INV-1267</t>
  </si>
  <si>
    <t xml:space="preserve">INV-1271</t>
  </si>
  <si>
    <t xml:space="preserve">INV-1483</t>
  </si>
  <si>
    <t xml:space="preserve">CHQ-005172</t>
  </si>
  <si>
    <t xml:space="preserve">CHQ-005188</t>
  </si>
  <si>
    <t xml:space="preserve">CHQ-005208</t>
  </si>
  <si>
    <t xml:space="preserve">CHQ-005274</t>
  </si>
  <si>
    <t xml:space="preserve">CHQ-005339</t>
  </si>
  <si>
    <t xml:space="preserve">CHQ-005424</t>
  </si>
  <si>
    <t xml:space="preserve">CHQ-005430</t>
  </si>
  <si>
    <t xml:space="preserve">CHQ-005442</t>
  </si>
  <si>
    <t xml:space="preserve">L00367</t>
  </si>
  <si>
    <t xml:space="preserve">L00368</t>
  </si>
  <si>
    <t xml:space="preserve">Cash receipt counter 3 - batch 5</t>
  </si>
  <si>
    <t xml:space="preserve">INV-1038</t>
  </si>
  <si>
    <t xml:space="preserve">CHQ-005018</t>
  </si>
  <si>
    <t xml:space="preserve">CHQ-005132</t>
  </si>
  <si>
    <t xml:space="preserve">CHQ-005329</t>
  </si>
  <si>
    <t xml:space="preserve">CHQ-005415</t>
  </si>
  <si>
    <t xml:space="preserve">INV-1456</t>
  </si>
  <si>
    <t xml:space="preserve">CHQ-005065</t>
  </si>
  <si>
    <t xml:space="preserve">CHQ-005163</t>
  </si>
  <si>
    <t xml:space="preserve">CHQ-005235</t>
  </si>
  <si>
    <t xml:space="preserve">CHQ-005280</t>
  </si>
  <si>
    <t xml:space="preserve">CHQ-005328</t>
  </si>
  <si>
    <t xml:space="preserve">CHQ-005350</t>
  </si>
  <si>
    <t xml:space="preserve">CHQ-005429</t>
  </si>
  <si>
    <t xml:space="preserve">INV-1500</t>
  </si>
  <si>
    <t xml:space="preserve">CHQ-005182</t>
  </si>
  <si>
    <t xml:space="preserve">CHQ-005189</t>
  </si>
  <si>
    <t xml:space="preserve">CHQ-005192</t>
  </si>
  <si>
    <t xml:space="preserve">CHQ-005346</t>
  </si>
  <si>
    <t xml:space="preserve">CHQ-005427</t>
  </si>
  <si>
    <t xml:space="preserve">INV-1030</t>
  </si>
  <si>
    <t xml:space="preserve">INV-1095</t>
  </si>
  <si>
    <t xml:space="preserve">INV-1513</t>
  </si>
  <si>
    <t xml:space="preserve">CHQ-005096</t>
  </si>
  <si>
    <t xml:space="preserve">CHQ-005160</t>
  </si>
  <si>
    <t xml:space="preserve">CHQ-005239</t>
  </si>
  <si>
    <t xml:space="preserve">CHQ-005304</t>
  </si>
  <si>
    <t xml:space="preserve">CHQ-005341</t>
  </si>
  <si>
    <t xml:space="preserve">CHQ-005037</t>
  </si>
  <si>
    <t xml:space="preserve">CHQ-005059</t>
  </si>
  <si>
    <t xml:space="preserve">CHQ-005064</t>
  </si>
  <si>
    <t xml:space="preserve">CHQ-005122</t>
  </si>
  <si>
    <t xml:space="preserve">CHQ-005320</t>
  </si>
  <si>
    <t xml:space="preserve">CHQ-005374</t>
  </si>
  <si>
    <t xml:space="preserve">CHQ-005386</t>
  </si>
  <si>
    <t xml:space="preserve">INV-1118</t>
  </si>
  <si>
    <t xml:space="preserve">INV-1231</t>
  </si>
  <si>
    <t xml:space="preserve">INV-1421</t>
  </si>
  <si>
    <t xml:space="preserve">CHQ-005051</t>
  </si>
  <si>
    <t xml:space="preserve">CHQ-005102</t>
  </si>
  <si>
    <t xml:space="preserve">CHQ-005217</t>
  </si>
  <si>
    <t xml:space="preserve">CHQ-005255</t>
  </si>
  <si>
    <t xml:space="preserve">CHQ-005310</t>
  </si>
  <si>
    <t xml:space="preserve">INV-1108</t>
  </si>
  <si>
    <t xml:space="preserve">INV-1116</t>
  </si>
  <si>
    <t xml:space="preserve">CHQ-005047</t>
  </si>
  <si>
    <t xml:space="preserve">CHQ-005145</t>
  </si>
  <si>
    <t xml:space="preserve">CHQ-005154</t>
  </si>
  <si>
    <t xml:space="preserve">CHQ-005211</t>
  </si>
  <si>
    <t xml:space="preserve">CHQ-005364</t>
  </si>
  <si>
    <t xml:space="preserve">CHQ-005400</t>
  </si>
  <si>
    <t xml:space="preserve">CHQ-005404</t>
  </si>
  <si>
    <t xml:space="preserve">INV-1097</t>
  </si>
  <si>
    <t xml:space="preserve">INV-1124</t>
  </si>
  <si>
    <t xml:space="preserve">CHQ-005069</t>
  </si>
  <si>
    <t xml:space="preserve">CHQ-005117</t>
  </si>
  <si>
    <t xml:space="preserve">CHQ-005221</t>
  </si>
  <si>
    <t xml:space="preserve">CHQ-005243</t>
  </si>
  <si>
    <t xml:space="preserve">CHQ-005380</t>
  </si>
  <si>
    <t xml:space="preserve">INV-1103</t>
  </si>
  <si>
    <t xml:space="preserve">INV-1119</t>
  </si>
  <si>
    <t xml:space="preserve">CHQ-005090</t>
  </si>
  <si>
    <t xml:space="preserve">CHQ-005225</t>
  </si>
  <si>
    <t xml:space="preserve">CHQ-005242</t>
  </si>
  <si>
    <t xml:space="preserve">CHQ-005324</t>
  </si>
  <si>
    <t xml:space="preserve">CHQ-005351</t>
  </si>
  <si>
    <t xml:space="preserve">CHQ-005355</t>
  </si>
  <si>
    <t xml:space="preserve">INV-1406</t>
  </si>
  <si>
    <t xml:space="preserve">INV-1491</t>
  </si>
  <si>
    <t xml:space="preserve">CHQ-005133</t>
  </si>
  <si>
    <t xml:space="preserve">CHQ-005436</t>
  </si>
  <si>
    <t xml:space="preserve">INV-1168</t>
  </si>
  <si>
    <t xml:space="preserve">INV-1345</t>
  </si>
  <si>
    <t xml:space="preserve">CHQ-005273</t>
  </si>
  <si>
    <t xml:space="preserve">CHQ-005325</t>
  </si>
  <si>
    <t xml:space="preserve">CHQ-005015</t>
  </si>
  <si>
    <t xml:space="preserve">CHQ-005053</t>
  </si>
  <si>
    <t xml:space="preserve">CHQ-005131</t>
  </si>
  <si>
    <t xml:space="preserve">CHQ-005170</t>
  </si>
  <si>
    <t xml:space="preserve">CHQ-005222</t>
  </si>
  <si>
    <t xml:space="preserve">CHQ-005394</t>
  </si>
  <si>
    <t xml:space="preserve">CHQ-005410</t>
  </si>
  <si>
    <t xml:space="preserve">CHQ-005425</t>
  </si>
  <si>
    <t xml:space="preserve">CHQ-005093</t>
  </si>
  <si>
    <t xml:space="preserve">CHQ-005180</t>
  </si>
  <si>
    <t xml:space="preserve">CHQ-005260</t>
  </si>
  <si>
    <t xml:space="preserve">CHQ-005264</t>
  </si>
  <si>
    <t xml:space="preserve">CHQ-005322</t>
  </si>
  <si>
    <t xml:space="preserve">CHQ-005438</t>
  </si>
  <si>
    <t xml:space="preserve">CHQ-005440</t>
  </si>
  <si>
    <t xml:space="preserve">INV-1197</t>
  </si>
  <si>
    <t xml:space="preserve">CHQ-005134</t>
  </si>
  <si>
    <t xml:space="preserve">CHQ-005150</t>
  </si>
  <si>
    <t xml:space="preserve">CHQ-005298</t>
  </si>
  <si>
    <t xml:space="preserve">CHQ-005103</t>
  </si>
  <si>
    <t xml:space="preserve">CHQ-005343</t>
  </si>
  <si>
    <t xml:space="preserve">CHQ-005437</t>
  </si>
  <si>
    <t xml:space="preserve">CHQ-005448</t>
  </si>
  <si>
    <t xml:space="preserve">INV-1294</t>
  </si>
  <si>
    <t xml:space="preserve">INV-1366</t>
  </si>
  <si>
    <t xml:space="preserve">CHQ-005173</t>
  </si>
  <si>
    <t xml:space="preserve">CHQ-005254</t>
  </si>
  <si>
    <t xml:space="preserve">CHQ-005313</t>
  </si>
  <si>
    <t xml:space="preserve">CHQ-005321</t>
  </si>
  <si>
    <t xml:space="preserve">CHQ-005369</t>
  </si>
  <si>
    <t xml:space="preserve">INV-1210</t>
  </si>
  <si>
    <t xml:space="preserve">INV-1577</t>
  </si>
  <si>
    <t xml:space="preserve">CHQ-005126</t>
  </si>
  <si>
    <t xml:space="preserve">CHQ-005139</t>
  </si>
  <si>
    <t xml:space="preserve">CHQ-005233</t>
  </si>
  <si>
    <t xml:space="preserve">CHQ-005238</t>
  </si>
  <si>
    <t xml:space="preserve">CHQ-005285</t>
  </si>
  <si>
    <t xml:space="preserve">CHQ-005290</t>
  </si>
  <si>
    <t xml:space="preserve">CHQ-005338</t>
  </si>
  <si>
    <t xml:space="preserve">CHQ-005434</t>
  </si>
  <si>
    <t xml:space="preserve">CHQ-005210</t>
  </si>
  <si>
    <t xml:space="preserve">CHQ-005226</t>
  </si>
  <si>
    <t xml:space="preserve">CHQ-005250</t>
  </si>
  <si>
    <t xml:space="preserve">CHQ-005262</t>
  </si>
  <si>
    <t xml:space="preserve">CHQ-005446</t>
  </si>
  <si>
    <t xml:space="preserve">INV-1055</t>
  </si>
  <si>
    <t xml:space="preserve">CHQ-005057</t>
  </si>
  <si>
    <t xml:space="preserve">CHQ-005086</t>
  </si>
  <si>
    <t xml:space="preserve">CHQ-005104</t>
  </si>
  <si>
    <t xml:space="preserve">CHQ-005124</t>
  </si>
  <si>
    <t xml:space="preserve">CHQ-005312</t>
  </si>
  <si>
    <t xml:space="preserve">INV-1481</t>
  </si>
  <si>
    <t xml:space="preserve">CHQ-005052</t>
  </si>
  <si>
    <t xml:space="preserve">CHQ-005152</t>
  </si>
  <si>
    <t xml:space="preserve">CHQ-005209</t>
  </si>
  <si>
    <t xml:space="preserve">CHQ-005213</t>
  </si>
  <si>
    <t xml:space="preserve">CHQ-005013</t>
  </si>
  <si>
    <t xml:space="preserve">CHQ-005079</t>
  </si>
  <si>
    <t xml:space="preserve">CHQ-005085</t>
  </si>
  <si>
    <t xml:space="preserve">CHQ-005248</t>
  </si>
  <si>
    <t xml:space="preserve">CHQ-005303</t>
  </si>
  <si>
    <t xml:space="preserve">CHQ-005389</t>
  </si>
  <si>
    <t xml:space="preserve">INV-1264</t>
  </si>
  <si>
    <t xml:space="preserve">CHQ-005007</t>
  </si>
  <si>
    <t xml:space="preserve">CHQ-005184</t>
  </si>
  <si>
    <t xml:space="preserve">CHQ-005408</t>
  </si>
  <si>
    <t xml:space="preserve">L00634</t>
  </si>
  <si>
    <t xml:space="preserve">Cash receipt counter 1 - batch 6</t>
  </si>
  <si>
    <t xml:space="preserve">INV-1285</t>
  </si>
  <si>
    <t xml:space="preserve">CHQ-005151</t>
  </si>
  <si>
    <t xml:space="preserve">CHQ-005365</t>
  </si>
  <si>
    <t xml:space="preserve">CHQ-005375</t>
  </si>
  <si>
    <t xml:space="preserve">CHQ-005409</t>
  </si>
  <si>
    <t xml:space="preserve">L00642</t>
  </si>
  <si>
    <t xml:space="preserve">Cash receipt counter 1 - batch 2</t>
  </si>
  <si>
    <t xml:space="preserve">L00643</t>
  </si>
  <si>
    <t xml:space="preserve">L00644</t>
  </si>
  <si>
    <t xml:space="preserve">Cash receipt counter 3 - batch 6</t>
  </si>
  <si>
    <t xml:space="preserve">INV-1193</t>
  </si>
  <si>
    <t xml:space="preserve">INV-1342</t>
  </si>
  <si>
    <t xml:space="preserve">INV-1409</t>
  </si>
  <si>
    <t xml:space="preserve">CHQ-005055</t>
  </si>
  <si>
    <t xml:space="preserve">CHQ-005074</t>
  </si>
  <si>
    <t xml:space="preserve">CHQ-005076</t>
  </si>
  <si>
    <t xml:space="preserve">CHQ-005237</t>
  </si>
  <si>
    <t xml:space="preserve">CHQ-005361</t>
  </si>
  <si>
    <t xml:space="preserve">CHQ-005412</t>
  </si>
  <si>
    <t xml:space="preserve">CHQ-005426</t>
  </si>
  <si>
    <t xml:space="preserve">L00660</t>
  </si>
  <si>
    <t xml:space="preserve">L00661</t>
  </si>
  <si>
    <t xml:space="preserve">Cash receipt counter 3 - batch 2</t>
  </si>
  <si>
    <t xml:space="preserve">INV-1154</t>
  </si>
  <si>
    <t xml:space="preserve">CHQ-005025</t>
  </si>
  <si>
    <t xml:space="preserve">CHQ-005147</t>
  </si>
  <si>
    <t xml:space="preserve">CHQ-005200</t>
  </si>
  <si>
    <t xml:space="preserve">CHQ-005258</t>
  </si>
  <si>
    <t xml:space="preserve">CHQ-005336</t>
  </si>
  <si>
    <t xml:space="preserve">CHQ-005376</t>
  </si>
  <si>
    <t xml:space="preserve">INV-1272</t>
  </si>
  <si>
    <t xml:space="preserve">CHQ-005050</t>
  </si>
  <si>
    <t xml:space="preserve">CHQ-005071</t>
  </si>
  <si>
    <t xml:space="preserve">CHQ-005082</t>
  </si>
  <si>
    <t xml:space="preserve">CHQ-005088</t>
  </si>
  <si>
    <t xml:space="preserve">CHQ-005130</t>
  </si>
  <si>
    <t xml:space="preserve">CHQ-005156</t>
  </si>
  <si>
    <t xml:space="preserve">CHQ-005175</t>
  </si>
  <si>
    <t xml:space="preserve">CHQ-005286</t>
  </si>
  <si>
    <t xml:space="preserve">CHQ-005315</t>
  </si>
  <si>
    <t xml:space="preserve">CHQ-005359</t>
  </si>
  <si>
    <t xml:space="preserve">INV-1252</t>
  </si>
  <si>
    <t xml:space="preserve">CHQ-005019</t>
  </si>
  <si>
    <t xml:space="preserve">CHQ-005195</t>
  </si>
  <si>
    <t xml:space="preserve">CHQ-005317</t>
  </si>
  <si>
    <t xml:space="preserve">CHQ-005354</t>
  </si>
  <si>
    <t xml:space="preserve">CHQ-005358</t>
  </si>
  <si>
    <t xml:space="preserve">CHQ-005433</t>
  </si>
  <si>
    <t xml:space="preserve">CHQ-005449</t>
  </si>
  <si>
    <t xml:space="preserve">CHQ-005105</t>
  </si>
  <si>
    <t xml:space="preserve">CHQ-005167</t>
  </si>
  <si>
    <t xml:space="preserve">CHQ-005185</t>
  </si>
  <si>
    <t xml:space="preserve">CHQ-005360</t>
  </si>
  <si>
    <t xml:space="preserve">CHQ-005432</t>
  </si>
  <si>
    <t xml:space="preserve">CHQ-005439</t>
  </si>
  <si>
    <t xml:space="preserve">INV-1199</t>
  </si>
  <si>
    <t xml:space="preserve">INV-1599</t>
  </si>
  <si>
    <t xml:space="preserve">CHQ-005108</t>
  </si>
  <si>
    <t xml:space="preserve">CHQ-005112</t>
  </si>
  <si>
    <t xml:space="preserve">CHQ-005165</t>
  </si>
  <si>
    <t xml:space="preserve">CHQ-005266</t>
  </si>
  <si>
    <t xml:space="preserve">CHQ-005293</t>
  </si>
  <si>
    <t xml:space="preserve">CHQ-005407</t>
  </si>
  <si>
    <t xml:space="preserve">CHQ-005003</t>
  </si>
  <si>
    <t xml:space="preserve">CHQ-005141</t>
  </si>
  <si>
    <t xml:space="preserve">CHQ-005420</t>
  </si>
  <si>
    <t xml:space="preserve">CHQ-005441</t>
  </si>
  <si>
    <t xml:space="preserve">INV-1300</t>
  </si>
  <si>
    <t xml:space="preserve">CHQ-005010</t>
  </si>
  <si>
    <t xml:space="preserve">CHQ-005123</t>
  </si>
  <si>
    <t xml:space="preserve">CHQ-005196</t>
  </si>
  <si>
    <t xml:space="preserve">CHQ-005330</t>
  </si>
  <si>
    <t xml:space="preserve">CHQ-005405</t>
  </si>
  <si>
    <t xml:space="preserve">INV-1135</t>
  </si>
  <si>
    <t xml:space="preserve">INV-1175</t>
  </si>
  <si>
    <t xml:space="preserve">INV-1235</t>
  </si>
  <si>
    <t xml:space="preserve">CHQ-005005</t>
  </si>
  <si>
    <t xml:space="preserve">CHQ-005040</t>
  </si>
  <si>
    <t xml:space="preserve">CHQ-005068</t>
  </si>
  <si>
    <t xml:space="preserve">CHQ-005231</t>
  </si>
  <si>
    <t xml:space="preserve">CHQ-005272</t>
  </si>
  <si>
    <t xml:space="preserve">CHQ-005395</t>
  </si>
  <si>
    <t xml:space="preserve">INV-1391</t>
  </si>
  <si>
    <t xml:space="preserve">INV-1443</t>
  </si>
  <si>
    <t xml:space="preserve">CHQ-005046</t>
  </si>
  <si>
    <t xml:space="preserve">CHQ-005299</t>
  </si>
  <si>
    <t xml:space="preserve">INV-1024</t>
  </si>
  <si>
    <t xml:space="preserve">INV-1487</t>
  </si>
  <si>
    <t xml:space="preserve">CHQ-005083</t>
  </si>
  <si>
    <t xml:space="preserve">CHQ-005087</t>
  </si>
  <si>
    <t xml:space="preserve">CHQ-005138</t>
  </si>
  <si>
    <t xml:space="preserve">CHQ-005236</t>
  </si>
  <si>
    <t xml:space="preserve">CHQ-005265</t>
  </si>
  <si>
    <t xml:space="preserve">CHQ-005444</t>
  </si>
  <si>
    <t xml:space="preserve">CHQ-005067</t>
  </si>
  <si>
    <t xml:space="preserve">CHQ-005230</t>
  </si>
  <si>
    <t xml:space="preserve">CHQ-005302</t>
  </si>
  <si>
    <t xml:space="preserve">CHQ-005381</t>
  </si>
  <si>
    <t xml:space="preserve">INV-1037</t>
  </si>
  <si>
    <t xml:space="preserve">INV-1268</t>
  </si>
  <si>
    <t xml:space="preserve">INV-1322</t>
  </si>
  <si>
    <t xml:space="preserve">INV-1507</t>
  </si>
  <si>
    <t xml:space="preserve">INV-1519</t>
  </si>
  <si>
    <t xml:space="preserve">CHQ-005179</t>
  </si>
  <si>
    <t xml:space="preserve">CHQ-005297</t>
  </si>
  <si>
    <t xml:space="preserve">INV-1279</t>
  </si>
  <si>
    <t xml:space="preserve">CHQ-005121</t>
  </si>
  <si>
    <t xml:space="preserve">CHQ-005191</t>
  </si>
  <si>
    <t xml:space="preserve">CHQ-005326</t>
  </si>
  <si>
    <t xml:space="preserve">CHQ-005422</t>
  </si>
  <si>
    <t xml:space="preserve">INV-1227</t>
  </si>
  <si>
    <t xml:space="preserve">INV-1535</t>
  </si>
  <si>
    <t xml:space="preserve">CHQ-005027</t>
  </si>
  <si>
    <t xml:space="preserve">CHQ-005157</t>
  </si>
  <si>
    <t xml:space="preserve">CHQ-005311</t>
  </si>
  <si>
    <t xml:space="preserve">CHQ-005349</t>
  </si>
  <si>
    <t xml:space="preserve">CHQ-005406</t>
  </si>
  <si>
    <t xml:space="preserve">INV-1003</t>
  </si>
  <si>
    <t xml:space="preserve">INV-1278</t>
  </si>
  <si>
    <t xml:space="preserve">INV-1551</t>
  </si>
  <si>
    <t xml:space="preserve">CHQ-005109</t>
  </si>
  <si>
    <t xml:space="preserve">INV-1094</t>
  </si>
  <si>
    <t xml:space="preserve">INV-1284</t>
  </si>
  <si>
    <t xml:space="preserve">INV-1570</t>
  </si>
  <si>
    <t xml:space="preserve">CHQ-005014</t>
  </si>
  <si>
    <t xml:space="preserve">CHQ-005016</t>
  </si>
  <si>
    <t xml:space="preserve">CHQ-005199</t>
  </si>
  <si>
    <t xml:space="preserve">CHQ-005212</t>
  </si>
  <si>
    <t xml:space="preserve">INV-1485</t>
  </si>
  <si>
    <t xml:space="preserve">CHQ-005002</t>
  </si>
  <si>
    <t xml:space="preserve">CHQ-005031</t>
  </si>
  <si>
    <t xml:space="preserve">CHQ-005033</t>
  </si>
  <si>
    <t xml:space="preserve">CHQ-005097</t>
  </si>
  <si>
    <t xml:space="preserve">CHQ-005300</t>
  </si>
  <si>
    <t xml:space="preserve">CHQ-005392</t>
  </si>
  <si>
    <t xml:space="preserve">CHQ-005399</t>
  </si>
  <si>
    <t xml:space="preserve">INV-1046</t>
  </si>
  <si>
    <t xml:space="preserve">CHQ-005006</t>
  </si>
  <si>
    <t xml:space="preserve">CHQ-005017</t>
  </si>
  <si>
    <t xml:space="preserve">CHQ-005244</t>
  </si>
  <si>
    <t xml:space="preserve">CHQ-005345</t>
  </si>
  <si>
    <t xml:space="preserve">CHQ-005384</t>
  </si>
  <si>
    <t xml:space="preserve">CHQ-005385</t>
  </si>
  <si>
    <t xml:space="preserve">CHQ-005417</t>
  </si>
  <si>
    <t xml:space="preserve">CHQ-005001</t>
  </si>
  <si>
    <t xml:space="preserve">CHQ-005174</t>
  </si>
  <si>
    <t xml:space="preserve">CHQ-005224</t>
  </si>
  <si>
    <t xml:space="preserve">CHQ-005278</t>
  </si>
  <si>
    <t xml:space="preserve">CHQ-005443</t>
  </si>
  <si>
    <t xml:space="preserve">INV-1438</t>
  </si>
  <si>
    <t xml:space="preserve">CHQ-005142</t>
  </si>
  <si>
    <t xml:space="preserve">CHQ-005269</t>
  </si>
  <si>
    <t xml:space="preserve">CHQ-005403</t>
  </si>
  <si>
    <t xml:space="preserve">INV-1065</t>
  </si>
  <si>
    <t xml:space="preserve">INV-1120</t>
  </si>
  <si>
    <t xml:space="preserve">INV-1589</t>
  </si>
  <si>
    <t xml:space="preserve">CHQ-005024</t>
  </si>
  <si>
    <t xml:space="preserve">CHQ-005127</t>
  </si>
  <si>
    <t xml:space="preserve">CHQ-005197</t>
  </si>
  <si>
    <t xml:space="preserve">CHQ-005215</t>
  </si>
  <si>
    <t xml:space="preserve">CHQ-005252</t>
  </si>
  <si>
    <t xml:space="preserve">CHQ-005370</t>
  </si>
  <si>
    <t xml:space="preserve">INV-1009</t>
  </si>
  <si>
    <t xml:space="preserve">INV-1077</t>
  </si>
  <si>
    <t xml:space="preserve">INV-1172</t>
  </si>
  <si>
    <t xml:space="preserve">CHQ-005008</t>
  </si>
  <si>
    <t xml:space="preserve">CHQ-005115</t>
  </si>
  <si>
    <t xml:space="preserve">CHQ-005137</t>
  </si>
  <si>
    <t xml:space="preserve">CHQ-005307</t>
  </si>
  <si>
    <t xml:space="preserve">CHQ-005447</t>
  </si>
  <si>
    <t xml:space="preserve">INV-1449</t>
  </si>
  <si>
    <t xml:space="preserve">CHQ-005020</t>
  </si>
  <si>
    <t xml:space="preserve">CHQ-005021</t>
  </si>
  <si>
    <t xml:space="preserve">CHQ-005075</t>
  </si>
  <si>
    <t xml:space="preserve">CHQ-005136</t>
  </si>
  <si>
    <t xml:space="preserve">CHQ-005171</t>
  </si>
  <si>
    <t xml:space="preserve">CHQ-005186</t>
  </si>
  <si>
    <t xml:space="preserve">CHQ-005288</t>
  </si>
  <si>
    <t xml:space="preserve">CHQ-005323</t>
  </si>
  <si>
    <t xml:space="preserve">CHQ-005419</t>
  </si>
  <si>
    <t xml:space="preserve">INV-1353</t>
  </si>
  <si>
    <t xml:space="preserve">CHQ-005178</t>
  </si>
  <si>
    <t xml:space="preserve">CHQ-005261</t>
  </si>
  <si>
    <t xml:space="preserve">CHQ-005371</t>
  </si>
  <si>
    <t xml:space="preserve">INV-1020</t>
  </si>
  <si>
    <t xml:space="preserve">INV-1578</t>
  </si>
  <si>
    <t xml:space="preserve">CHQ-005036</t>
  </si>
  <si>
    <t xml:space="preserve">CHQ-005039</t>
  </si>
  <si>
    <t xml:space="preserve">CHQ-005042</t>
  </si>
  <si>
    <t xml:space="preserve">CHQ-005049</t>
  </si>
  <si>
    <t xml:space="preserve">CHQ-005101</t>
  </si>
  <si>
    <t xml:space="preserve">CHQ-005219</t>
  </si>
  <si>
    <t xml:space="preserve">CHQ-005263</t>
  </si>
  <si>
    <t xml:space="preserve">CHQ-005414</t>
  </si>
  <si>
    <t xml:space="preserve">INV-1340</t>
  </si>
  <si>
    <t xml:space="preserve">CHQ-005011</t>
  </si>
  <si>
    <t xml:space="preserve">CHQ-005070</t>
  </si>
  <si>
    <t xml:space="preserve">CHQ-005194</t>
  </si>
  <si>
    <t xml:space="preserve">CHQ-005294</t>
  </si>
  <si>
    <t xml:space="preserve">CHQ-005373</t>
  </si>
  <si>
    <t xml:space="preserve">CHQ-005382</t>
  </si>
  <si>
    <t xml:space="preserve">CHQ-005402</t>
  </si>
  <si>
    <t xml:space="preserve">INV-1224</t>
  </si>
  <si>
    <t xml:space="preserve">INV-1246</t>
  </si>
  <si>
    <t xml:space="preserve">INV-1442</t>
  </si>
  <si>
    <t xml:space="preserve">CHQ-005129</t>
  </si>
  <si>
    <t xml:space="preserve">CHQ-005205</t>
  </si>
  <si>
    <t xml:space="preserve">INV-1080</t>
  </si>
  <si>
    <t xml:space="preserve">INV-1555</t>
  </si>
  <si>
    <t xml:space="preserve">CHQ-005177</t>
  </si>
  <si>
    <t xml:space="preserve">CHQ-005214</t>
  </si>
  <si>
    <t xml:space="preserve">CHQ-005240</t>
  </si>
  <si>
    <t xml:space="preserve">CHQ-005295</t>
  </si>
  <si>
    <t xml:space="preserve">CHQ-005308</t>
  </si>
  <si>
    <t xml:space="preserve">CHQ-005363</t>
  </si>
  <si>
    <t xml:space="preserve">CHQ-005411</t>
  </si>
  <si>
    <t xml:space="preserve">INV-1286</t>
  </si>
  <si>
    <t xml:space="preserve">CHQ-005034</t>
  </si>
  <si>
    <t xml:space="preserve">CHQ-005106</t>
  </si>
  <si>
    <t xml:space="preserve">CHQ-005144</t>
  </si>
  <si>
    <t xml:space="preserve">CHQ-005232</t>
  </si>
  <si>
    <t xml:space="preserve">CHQ-005282</t>
  </si>
  <si>
    <t xml:space="preserve">CHQ-005327</t>
  </si>
  <si>
    <t xml:space="preserve">INV-1249</t>
  </si>
  <si>
    <t xml:space="preserve">INV-1591</t>
  </si>
  <si>
    <t xml:space="preserve">CHQ-005043</t>
  </si>
  <si>
    <t xml:space="preserve">CHQ-005203</t>
  </si>
  <si>
    <t xml:space="preserve">CHQ-005296</t>
  </si>
  <si>
    <t xml:space="preserve">CHQ-005367</t>
  </si>
  <si>
    <t xml:space="preserve">CHQ-005413</t>
  </si>
  <si>
    <t xml:space="preserve">INV-1219</t>
  </si>
  <si>
    <t xml:space="preserve">CHQ-005066</t>
  </si>
  <si>
    <t xml:space="preserve">CHQ-005110</t>
  </si>
  <si>
    <t xml:space="preserve">CHQ-005159</t>
  </si>
  <si>
    <t xml:space="preserve">CHQ-005270</t>
  </si>
  <si>
    <t xml:space="preserve">CHQ-005318</t>
  </si>
  <si>
    <t xml:space="preserve">INV-1283</t>
  </si>
  <si>
    <t xml:space="preserve">CHQ-005095</t>
  </si>
  <si>
    <t xml:space="preserve">CHQ-005161</t>
  </si>
  <si>
    <t xml:space="preserve">CHQ-005181</t>
  </si>
  <si>
    <t xml:space="preserve">CHQ-005247</t>
  </si>
  <si>
    <t xml:space="preserve">CHQ-005251</t>
  </si>
  <si>
    <t xml:space="preserve">CHQ-005279</t>
  </si>
  <si>
    <t xml:space="preserve">CHQ-005347</t>
  </si>
  <si>
    <t xml:space="preserve">INV-1133</t>
  </si>
  <si>
    <t xml:space="preserve">INV-1142</t>
  </si>
  <si>
    <t xml:space="preserve">INV-1198</t>
  </si>
  <si>
    <t xml:space="preserve">INV-1263</t>
  </si>
  <si>
    <t xml:space="preserve">INV-1503</t>
  </si>
  <si>
    <t xml:space="preserve">CHQ-005028</t>
  </si>
  <si>
    <t xml:space="preserve">CHQ-005229</t>
  </si>
  <si>
    <t xml:space="preserve">CHQ-005337</t>
  </si>
  <si>
    <t xml:space="preserve">CHQ-005372</t>
  </si>
  <si>
    <t xml:space="preserve">CHQ-005418</t>
  </si>
  <si>
    <t xml:space="preserve">INV-1462</t>
  </si>
  <si>
    <t xml:space="preserve">CHQ-005100</t>
  </si>
  <si>
    <t xml:space="preserve">CHQ-005388</t>
  </si>
  <si>
    <t xml:space="preserve">INV-1031</t>
  </si>
  <si>
    <t xml:space="preserve">INV-1408</t>
  </si>
  <si>
    <t xml:space="preserve">CHQ-005078</t>
  </si>
  <si>
    <t xml:space="preserve">CHQ-005166</t>
  </si>
  <si>
    <t xml:space="preserve">CHQ-005366</t>
  </si>
  <si>
    <t xml:space="preserve">CHQ-005377</t>
  </si>
  <si>
    <t xml:space="preserve">CHQ-005387</t>
  </si>
  <si>
    <t xml:space="preserve">CHQ-005393</t>
  </si>
  <si>
    <t xml:space="preserve">CHQ-005398</t>
  </si>
  <si>
    <t xml:space="preserve">INV-1248</t>
  </si>
  <si>
    <t xml:space="preserve">CHQ-005026</t>
  </si>
  <si>
    <t xml:space="preserve">CHQ-005060</t>
  </si>
  <si>
    <t xml:space="preserve">CHQ-005098</t>
  </si>
  <si>
    <t xml:space="preserve">CHQ-005241</t>
  </si>
  <si>
    <t xml:space="preserve">CHQ-005257</t>
  </si>
  <si>
    <t xml:space="preserve">CHQ-005379</t>
  </si>
  <si>
    <t xml:space="preserve">Audit Trail - provenance of this reconciliation</t>
  </si>
  <si>
    <t xml:space="preserve">Input hashes, parameters and rule counts. The hash of this workbook is recorded in the hash-chained audit_log.jsonl written beside it.</t>
  </si>
  <si>
    <t xml:space="preserve">Run</t>
  </si>
  <si>
    <t xml:space="preserve">run_id</t>
  </si>
  <si>
    <t xml:space="preserve">0ED694B59281</t>
  </si>
  <si>
    <t xml:space="preserve">started_at</t>
  </si>
  <si>
    <t xml:space="preserve">2026-10-13 08:09:18</t>
  </si>
  <si>
    <t xml:space="preserve">user</t>
  </si>
  <si>
    <t xml:space="preserve">host</t>
  </si>
  <si>
    <t xml:space="preserve">vm</t>
  </si>
  <si>
    <t xml:space="preserve">tool_version</t>
  </si>
  <si>
    <t xml:space="preserve">1.0.0</t>
  </si>
  <si>
    <t xml:space="preserve">python</t>
  </si>
  <si>
    <t xml:space="preserve">3.12.3</t>
  </si>
  <si>
    <t xml:space="preserve">pandas</t>
  </si>
  <si>
    <t xml:space="preserve">3.0.2</t>
  </si>
  <si>
    <t xml:space="preserve">Input files</t>
  </si>
  <si>
    <t xml:space="preserve">Source</t>
  </si>
  <si>
    <t xml:space="preserve">File</t>
  </si>
  <si>
    <t xml:space="preserve">Bytes</t>
  </si>
  <si>
    <t xml:space="preserve">SHA-256</t>
  </si>
  <si>
    <t xml:space="preserve">Rows read</t>
  </si>
  <si>
    <t xml:space="preserve">Rows loaded</t>
  </si>
  <si>
    <t xml:space="preserve">Rows rejected</t>
  </si>
  <si>
    <t xml:space="preserve">BANK</t>
  </si>
  <si>
    <t xml:space="preserve">demo_bank_statement.csv</t>
  </si>
  <si>
    <t xml:space="preserve">05d286d8974e076fd8dcdfefb4e14f58b34509e605bcbc7c99ed51350b76b097</t>
  </si>
  <si>
    <t xml:space="preserve">LEDGER</t>
  </si>
  <si>
    <t xml:space="preserve">demo_ledger.csv</t>
  </si>
  <si>
    <t xml:space="preserve">d8954f33a675a8cfed3e8098126c85190572d7a6eba37064cfba91ff6eb1123f</t>
  </si>
  <si>
    <t xml:space="preserve">Matching parameters</t>
  </si>
  <si>
    <t xml:space="preserve">date_tolerance_days</t>
  </si>
  <si>
    <t xml:space="preserve">ref_date_window_days</t>
  </si>
  <si>
    <t xml:space="preserve">amount_tolerance</t>
  </si>
  <si>
    <t xml:space="preserve">desc_match_threshold</t>
  </si>
  <si>
    <t xml:space="preserve">mismatch_desc_threshold</t>
  </si>
  <si>
    <t xml:space="preserve">mismatch_max_pct</t>
  </si>
  <si>
    <t xml:space="preserve">rounding_threshold</t>
  </si>
  <si>
    <t xml:space="preserve">split_max_items</t>
  </si>
  <si>
    <t xml:space="preserve">split_date_window_days</t>
  </si>
  <si>
    <t xml:space="preserve">split_candidate_cap</t>
  </si>
  <si>
    <t xml:space="preserve">duplicate_window_days</t>
  </si>
  <si>
    <t xml:space="preserve">outstanding_days</t>
  </si>
  <si>
    <t xml:space="preserve">high_materiality</t>
  </si>
  <si>
    <t xml:space="preserve">medium_materiality</t>
  </si>
  <si>
    <t xml:space="preserve">dayfirst</t>
  </si>
  <si>
    <t xml:space="preserve">bank_sign</t>
  </si>
  <si>
    <t xml:space="preserve">ledger_sign</t>
  </si>
  <si>
    <t xml:space="preserve">Rule execution log (in order)</t>
  </si>
  <si>
    <t xml:space="preserve">R6 Fuzzy description, amount differs</t>
  </si>
  <si>
    <t xml:space="preserve">Data-quality log: rows rejected on load (never silently dropped)</t>
  </si>
  <si>
    <t xml:space="preserve">Rejected rows</t>
  </si>
  <si>
    <t xml:space="preserve">None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</si>
</sst>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yyyy\-mm\-dd"/>
    <numFmt numFmtId="167" formatCode="#,##0.00;\(#,##0.00\);\-"/>
    <numFmt numFmtId="168" formatCode="0.0%"/>
    <numFmt numFmtId="169" formatCode="0.00"/>
    <numFmt numFmtId="170" formatCode="0"/>
    <numFmt numFmtId="171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6" min="4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5" t="n">
        <f aca="false">COUNTA(Bank_Txns!$A$5:$A$1134)</f>
        <v>1130</v>
      </c>
    </row>
    <row r="6" customFormat="false" ht="15" hidden="false" customHeight="false" outlineLevel="0" collapsed="false">
      <c r="A6" s="4" t="s">
        <v>4</v>
      </c>
      <c r="B6" s="5" t="n">
        <f aca="false">COUNTA(Ledger_Txns!$A$5:$A$1140)</f>
        <v>1136</v>
      </c>
    </row>
    <row r="7" customFormat="false" ht="15" hidden="false" customHeight="false" outlineLevel="0" collapsed="false">
      <c r="A7" s="4" t="s">
        <v>5</v>
      </c>
      <c r="B7" s="6" t="n">
        <f aca="false">MIN(Bank_Txns!$C$5:$C$1134)</f>
        <v>46204</v>
      </c>
    </row>
    <row r="8" customFormat="false" ht="15" hidden="false" customHeight="false" outlineLevel="0" collapsed="false">
      <c r="A8" s="4" t="s">
        <v>6</v>
      </c>
      <c r="B8" s="6" t="n">
        <f aca="false">MAX(Bank_Txns!$C$5:$C$1134)</f>
        <v>46295</v>
      </c>
    </row>
    <row r="9" customFormat="false" ht="15" hidden="false" customHeight="false" outlineLevel="0" collapsed="false">
      <c r="A9" s="4" t="s">
        <v>7</v>
      </c>
      <c r="B9" s="7" t="n">
        <f aca="false">SUM(Bank_Txns!$F$5:$F$1134)</f>
        <v>16281054.83</v>
      </c>
    </row>
    <row r="10" customFormat="false" ht="15" hidden="false" customHeight="false" outlineLevel="0" collapsed="false">
      <c r="A10" s="4" t="s">
        <v>8</v>
      </c>
      <c r="B10" s="7" t="n">
        <f aca="false">SUM(Ledger_Txns!$F$5:$F$1140)</f>
        <v>15663727.74</v>
      </c>
    </row>
    <row r="11" customFormat="false" ht="15" hidden="false" customHeight="false" outlineLevel="0" collapsed="false">
      <c r="A11" s="8" t="s">
        <v>9</v>
      </c>
      <c r="B11" s="9" t="n">
        <f aca="false">B9-B10</f>
        <v>617327.09</v>
      </c>
    </row>
    <row r="13" customFormat="false" ht="15" hidden="false" customHeight="false" outlineLevel="0" collapsed="false">
      <c r="A13" s="3" t="s">
        <v>10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4" t="s">
        <v>11</v>
      </c>
      <c r="B14" s="5" t="n">
        <f aca="false">COUNTIF(Bank_Txns!$G$5:$G$1134,"MATCHED")</f>
        <v>1068</v>
      </c>
    </row>
    <row r="15" customFormat="false" ht="15" hidden="false" customHeight="false" outlineLevel="0" collapsed="false">
      <c r="A15" s="4" t="s">
        <v>12</v>
      </c>
      <c r="B15" s="5" t="n">
        <f aca="false">COUNTIF(Bank_Txns!$G$5:$G$1134,"MATCHED-REVIEW")</f>
        <v>34</v>
      </c>
    </row>
    <row r="16" customFormat="false" ht="15" hidden="false" customHeight="false" outlineLevel="0" collapsed="false">
      <c r="A16" s="4" t="s">
        <v>13</v>
      </c>
      <c r="B16" s="5" t="n">
        <f aca="false">COUNTIF(Bank_Txns!$G$5:$G$1134,"UNMATCHED")</f>
        <v>28</v>
      </c>
    </row>
    <row r="17" customFormat="false" ht="15" hidden="false" customHeight="false" outlineLevel="0" collapsed="false">
      <c r="A17" s="8" t="s">
        <v>14</v>
      </c>
      <c r="B17" s="10" t="n">
        <f aca="false">IF(B5=0,0,(B14+B15)/B5)</f>
        <v>0.975221238938053</v>
      </c>
    </row>
    <row r="18" customFormat="false" ht="15" hidden="false" customHeight="false" outlineLevel="0" collapsed="false">
      <c r="A18" s="4" t="s">
        <v>15</v>
      </c>
      <c r="B18" s="5" t="n">
        <f aca="false">COUNTIF(Ledger_Txns!$G$5:$G$1140,"MATCHED")</f>
        <v>1068</v>
      </c>
    </row>
    <row r="19" customFormat="false" ht="15" hidden="false" customHeight="false" outlineLevel="0" collapsed="false">
      <c r="A19" s="4" t="s">
        <v>16</v>
      </c>
      <c r="B19" s="5" t="n">
        <f aca="false">COUNTIF(Ledger_Txns!$G$5:$G$1140,"MATCHED-REVIEW")</f>
        <v>46</v>
      </c>
    </row>
    <row r="20" customFormat="false" ht="15" hidden="false" customHeight="false" outlineLevel="0" collapsed="false">
      <c r="A20" s="4" t="s">
        <v>17</v>
      </c>
      <c r="B20" s="5" t="n">
        <f aca="false">COUNTIF(Ledger_Txns!$G$5:$G$1140,"UNMATCHED")</f>
        <v>22</v>
      </c>
    </row>
    <row r="21" customFormat="false" ht="15" hidden="false" customHeight="false" outlineLevel="0" collapsed="false">
      <c r="A21" s="8" t="s">
        <v>18</v>
      </c>
      <c r="B21" s="10" t="n">
        <f aca="false">IF(B6=0,0,(B18+B19)/B6)</f>
        <v>0.980633802816901</v>
      </c>
    </row>
    <row r="22" customFormat="false" ht="15" hidden="false" customHeight="false" outlineLevel="0" collapsed="false">
      <c r="A22" s="4" t="s">
        <v>19</v>
      </c>
      <c r="B22" s="5" t="n">
        <f aca="false">COUNTA(Matched!$A$5:$A$1106)</f>
        <v>1102</v>
      </c>
    </row>
    <row r="23" customFormat="false" ht="15" hidden="false" customHeight="false" outlineLevel="0" collapsed="false">
      <c r="A23" s="4" t="s">
        <v>20</v>
      </c>
      <c r="B23" s="5" t="n">
        <f aca="false">COUNTIF(Matched!$H$5:$H$1106,"&gt;0")</f>
        <v>747</v>
      </c>
    </row>
    <row r="25" customFormat="false" ht="15" hidden="false" customHeight="false" outlineLevel="0" collapsed="false">
      <c r="A25" s="3" t="s">
        <v>21</v>
      </c>
      <c r="B25" s="3"/>
      <c r="C25" s="3"/>
      <c r="D25" s="3"/>
      <c r="E25" s="3"/>
      <c r="F25" s="3"/>
    </row>
    <row r="26" customFormat="false" ht="15" hidden="false" customHeight="false" outlineLevel="0" collapsed="false">
      <c r="A26" s="11" t="s">
        <v>22</v>
      </c>
      <c r="B26" s="11" t="s">
        <v>23</v>
      </c>
      <c r="C26" s="11" t="s">
        <v>24</v>
      </c>
      <c r="D26" s="11" t="s">
        <v>25</v>
      </c>
      <c r="E26" s="11" t="s">
        <v>26</v>
      </c>
      <c r="F26" s="11" t="s">
        <v>27</v>
      </c>
    </row>
    <row r="27" customFormat="false" ht="15" hidden="false" customHeight="false" outlineLevel="0" collapsed="false">
      <c r="A27" s="4" t="s">
        <v>28</v>
      </c>
      <c r="B27" s="5" t="n">
        <f aca="false">COUNTIF(Exceptions!$B$5:$B$88,$A27)</f>
        <v>20</v>
      </c>
      <c r="C27" s="7" t="n">
        <f aca="false">SUMIFS(Exceptions!$M$5:$M$88,Exceptions!$B$5:$B$88,$A27)</f>
        <v>10706.47</v>
      </c>
      <c r="D27" s="5" t="n">
        <f aca="false">COUNTIFS(Exceptions!$B$5:$B$88,$A27,Exceptions!$D$5:$D$88,"High")</f>
        <v>4</v>
      </c>
      <c r="E27" s="5" t="n">
        <f aca="false">COUNTIFS(Exceptions!$B$5:$B$88,$A27,Exceptions!$D$5:$D$88,"Medium")</f>
        <v>8</v>
      </c>
      <c r="F27" s="5" t="n">
        <f aca="false">COUNTIFS(Exceptions!$B$5:$B$88,$A27,Exceptions!$D$5:$D$88,"Low")</f>
        <v>8</v>
      </c>
    </row>
    <row r="28" customFormat="false" ht="15" hidden="false" customHeight="false" outlineLevel="0" collapsed="false">
      <c r="A28" s="4" t="s">
        <v>29</v>
      </c>
      <c r="B28" s="5" t="n">
        <f aca="false">COUNTIF(Exceptions!$B$5:$B$88,$A28)</f>
        <v>14</v>
      </c>
      <c r="C28" s="7" t="n">
        <f aca="false">SUMIFS(Exceptions!$M$5:$M$88,Exceptions!$B$5:$B$88,$A28)</f>
        <v>3729.98</v>
      </c>
      <c r="D28" s="5" t="n">
        <f aca="false">COUNTIFS(Exceptions!$B$5:$B$88,$A28,Exceptions!$D$5:$D$88,"High")</f>
        <v>5</v>
      </c>
      <c r="E28" s="5" t="n">
        <f aca="false">COUNTIFS(Exceptions!$B$5:$B$88,$A28,Exceptions!$D$5:$D$88,"Medium")</f>
        <v>9</v>
      </c>
      <c r="F28" s="5" t="n">
        <f aca="false">COUNTIFS(Exceptions!$B$5:$B$88,$A28,Exceptions!$D$5:$D$88,"Low")</f>
        <v>0</v>
      </c>
    </row>
    <row r="29" customFormat="false" ht="15" hidden="false" customHeight="false" outlineLevel="0" collapsed="false">
      <c r="A29" s="4" t="s">
        <v>30</v>
      </c>
      <c r="B29" s="5" t="n">
        <f aca="false">COUNTIF(Exceptions!$B$5:$B$88,$A29)</f>
        <v>8</v>
      </c>
      <c r="C29" s="7" t="n">
        <f aca="false">SUMIFS(Exceptions!$M$5:$M$88,Exceptions!$B$5:$B$88,$A29)</f>
        <v>495642.78</v>
      </c>
      <c r="D29" s="5" t="n">
        <f aca="false">COUNTIFS(Exceptions!$B$5:$B$88,$A29,Exceptions!$D$5:$D$88,"High")</f>
        <v>8</v>
      </c>
      <c r="E29" s="5" t="n">
        <f aca="false">COUNTIFS(Exceptions!$B$5:$B$88,$A29,Exceptions!$D$5:$D$88,"Medium")</f>
        <v>0</v>
      </c>
      <c r="F29" s="5" t="n">
        <f aca="false">COUNTIFS(Exceptions!$B$5:$B$88,$A29,Exceptions!$D$5:$D$88,"Low")</f>
        <v>0</v>
      </c>
    </row>
    <row r="30" customFormat="false" ht="15" hidden="false" customHeight="false" outlineLevel="0" collapsed="false">
      <c r="A30" s="4" t="s">
        <v>31</v>
      </c>
      <c r="B30" s="5" t="n">
        <f aca="false">COUNTIF(Exceptions!$B$5:$B$88,$A30)</f>
        <v>8</v>
      </c>
      <c r="C30" s="7" t="n">
        <f aca="false">SUMIFS(Exceptions!$M$5:$M$88,Exceptions!$B$5:$B$88,$A30)</f>
        <v>230109.02</v>
      </c>
      <c r="D30" s="5" t="n">
        <f aca="false">COUNTIFS(Exceptions!$B$5:$B$88,$A30,Exceptions!$D$5:$D$88,"High")</f>
        <v>8</v>
      </c>
      <c r="E30" s="5" t="n">
        <f aca="false">COUNTIFS(Exceptions!$B$5:$B$88,$A30,Exceptions!$D$5:$D$88,"Medium")</f>
        <v>0</v>
      </c>
      <c r="F30" s="5" t="n">
        <f aca="false">COUNTIFS(Exceptions!$B$5:$B$88,$A30,Exceptions!$D$5:$D$88,"Low")</f>
        <v>0</v>
      </c>
    </row>
    <row r="31" customFormat="false" ht="15" hidden="false" customHeight="false" outlineLevel="0" collapsed="false">
      <c r="A31" s="4" t="s">
        <v>32</v>
      </c>
      <c r="B31" s="5" t="n">
        <f aca="false">COUNTIF(Exceptions!$B$5:$B$88,$A31)</f>
        <v>23</v>
      </c>
      <c r="C31" s="7" t="n">
        <f aca="false">SUMIFS(Exceptions!$M$5:$M$88,Exceptions!$B$5:$B$88,$A31)</f>
        <v>-122861.16</v>
      </c>
      <c r="D31" s="5" t="n">
        <f aca="false">COUNTIFS(Exceptions!$B$5:$B$88,$A31,Exceptions!$D$5:$D$88,"High")</f>
        <v>3</v>
      </c>
      <c r="E31" s="5" t="n">
        <f aca="false">COUNTIFS(Exceptions!$B$5:$B$88,$A31,Exceptions!$D$5:$D$88,"Medium")</f>
        <v>7</v>
      </c>
      <c r="F31" s="5" t="n">
        <f aca="false">COUNTIFS(Exceptions!$B$5:$B$88,$A31,Exceptions!$D$5:$D$88,"Low")</f>
        <v>13</v>
      </c>
    </row>
    <row r="32" customFormat="false" ht="15" hidden="false" customHeight="false" outlineLevel="0" collapsed="false">
      <c r="A32" s="4" t="s">
        <v>33</v>
      </c>
      <c r="B32" s="5" t="n">
        <f aca="false">COUNTIF(Exceptions!$B$5:$B$88,$A32)</f>
        <v>5</v>
      </c>
      <c r="C32" s="7" t="n">
        <f aca="false">SUMIFS(Exceptions!$M$5:$M$88,Exceptions!$B$5:$B$88,$A32)</f>
        <v>0</v>
      </c>
      <c r="D32" s="5" t="n">
        <f aca="false">COUNTIFS(Exceptions!$B$5:$B$88,$A32,Exceptions!$D$5:$D$88,"High")</f>
        <v>0</v>
      </c>
      <c r="E32" s="5" t="n">
        <f aca="false">COUNTIFS(Exceptions!$B$5:$B$88,$A32,Exceptions!$D$5:$D$88,"Medium")</f>
        <v>3</v>
      </c>
      <c r="F32" s="5" t="n">
        <f aca="false">COUNTIFS(Exceptions!$B$5:$B$88,$A32,Exceptions!$D$5:$D$88,"Low")</f>
        <v>2</v>
      </c>
    </row>
    <row r="33" customFormat="false" ht="15" hidden="false" customHeight="false" outlineLevel="0" collapsed="false">
      <c r="A33" s="4" t="s">
        <v>34</v>
      </c>
      <c r="B33" s="5" t="n">
        <f aca="false">COUNTIF(Exceptions!$B$5:$B$88,$A33)</f>
        <v>6</v>
      </c>
      <c r="C33" s="7" t="n">
        <f aca="false">SUMIFS(Exceptions!$M$5:$M$88,Exceptions!$B$5:$B$88,$A33)</f>
        <v>0</v>
      </c>
      <c r="D33" s="5" t="n">
        <f aca="false">COUNTIFS(Exceptions!$B$5:$B$88,$A33,Exceptions!$D$5:$D$88,"High")</f>
        <v>0</v>
      </c>
      <c r="E33" s="5" t="n">
        <f aca="false">COUNTIFS(Exceptions!$B$5:$B$88,$A33,Exceptions!$D$5:$D$88,"Medium")</f>
        <v>6</v>
      </c>
      <c r="F33" s="5" t="n">
        <f aca="false">COUNTIFS(Exceptions!$B$5:$B$88,$A33,Exceptions!$D$5:$D$88,"Low")</f>
        <v>0</v>
      </c>
    </row>
    <row r="34" customFormat="false" ht="15" hidden="false" customHeight="false" outlineLevel="0" collapsed="false">
      <c r="A34" s="8" t="s">
        <v>35</v>
      </c>
      <c r="B34" s="12" t="n">
        <f aca="false">SUM(B27:B33)</f>
        <v>84</v>
      </c>
      <c r="C34" s="9" t="n">
        <f aca="false">SUM(C27:C33)</f>
        <v>617327.09</v>
      </c>
      <c r="D34" s="12" t="n">
        <f aca="false">SUM(D27:D33)</f>
        <v>28</v>
      </c>
      <c r="E34" s="12" t="n">
        <f aca="false">SUM(E27:E33)</f>
        <v>33</v>
      </c>
      <c r="F34" s="12" t="n">
        <f aca="false">SUM(F27:F33)</f>
        <v>23</v>
      </c>
    </row>
    <row r="36" customFormat="false" ht="15" hidden="false" customHeight="false" outlineLevel="0" collapsed="false">
      <c r="A36" s="3" t="s">
        <v>36</v>
      </c>
      <c r="B36" s="3"/>
      <c r="C36" s="3"/>
      <c r="D36" s="3"/>
      <c r="E36" s="3"/>
      <c r="F36" s="3"/>
    </row>
    <row r="37" customFormat="false" ht="15" hidden="false" customHeight="false" outlineLevel="0" collapsed="false">
      <c r="A37" s="8" t="s">
        <v>9</v>
      </c>
      <c r="B37" s="9" t="n">
        <f aca="false">B11</f>
        <v>617327.09</v>
      </c>
    </row>
    <row r="38" customFormat="false" ht="15" hidden="false" customHeight="false" outlineLevel="0" collapsed="false">
      <c r="A38" s="4" t="s">
        <v>37</v>
      </c>
      <c r="B38" s="7" t="n">
        <f aca="false">SUM(Matched!$K$5:$K$1106)</f>
        <v>-122861.16</v>
      </c>
    </row>
    <row r="39" customFormat="false" ht="15" hidden="false" customHeight="false" outlineLevel="0" collapsed="false">
      <c r="A39" s="4" t="s">
        <v>38</v>
      </c>
      <c r="B39" s="7" t="n">
        <f aca="false">SUMIFS(Exceptions!$M$5:$M$88,Exceptions!$B$5:$B$88,"UNMATCHED_BANK")</f>
        <v>10706.47</v>
      </c>
    </row>
    <row r="40" customFormat="false" ht="15" hidden="false" customHeight="false" outlineLevel="0" collapsed="false">
      <c r="A40" s="4" t="s">
        <v>39</v>
      </c>
      <c r="B40" s="7" t="n">
        <f aca="false">SUMIFS(Exceptions!$M$5:$M$88,Exceptions!$B$5:$B$88,"DUPLICATE_BANK")</f>
        <v>495642.78</v>
      </c>
    </row>
    <row r="41" customFormat="false" ht="15" hidden="false" customHeight="false" outlineLevel="0" collapsed="false">
      <c r="A41" s="4" t="s">
        <v>40</v>
      </c>
      <c r="B41" s="7" t="n">
        <f aca="false">SUMIFS(Exceptions!$M$5:$M$88,Exceptions!$B$5:$B$88,"UNMATCHED_LEDGER")</f>
        <v>3729.98</v>
      </c>
    </row>
    <row r="42" customFormat="false" ht="15" hidden="false" customHeight="false" outlineLevel="0" collapsed="false">
      <c r="A42" s="4" t="s">
        <v>41</v>
      </c>
      <c r="B42" s="7" t="n">
        <f aca="false">SUMIFS(Exceptions!$M$5:$M$88,Exceptions!$B$5:$B$88,"DUPLICATE_LEDGER")</f>
        <v>230109.02</v>
      </c>
    </row>
    <row r="43" customFormat="false" ht="15" hidden="false" customHeight="false" outlineLevel="0" collapsed="false">
      <c r="A43" s="8" t="s">
        <v>42</v>
      </c>
      <c r="B43" s="9" t="n">
        <f aca="false">B37-SUM(B38:B42)</f>
        <v>0</v>
      </c>
    </row>
    <row r="44" customFormat="false" ht="15" hidden="false" customHeight="false" outlineLevel="0" collapsed="false">
      <c r="A44" s="8" t="s">
        <v>43</v>
      </c>
      <c r="B44" s="8" t="str">
        <f aca="false">IF(ABS(B43)&lt;0.005,"PASS - fully explained","FAIL - unexplained difference")</f>
        <v>PASS - fully explained</v>
      </c>
    </row>
    <row r="46" customFormat="false" ht="15" hidden="false" customHeight="false" outlineLevel="0" collapsed="false">
      <c r="A46" s="3" t="s">
        <v>44</v>
      </c>
      <c r="B46" s="3"/>
      <c r="C46" s="3"/>
      <c r="D46" s="3"/>
      <c r="E46" s="3"/>
      <c r="F46" s="3"/>
    </row>
    <row r="47" customFormat="false" ht="15" hidden="false" customHeight="false" outlineLevel="0" collapsed="false">
      <c r="A47" s="4" t="s">
        <v>45</v>
      </c>
      <c r="B47" s="5" t="n">
        <f aca="false">COUNTIF(Exceptions!$P$5:$P$88,"?*")</f>
        <v>0</v>
      </c>
    </row>
    <row r="48" customFormat="false" ht="15" hidden="false" customHeight="false" outlineLevel="0" collapsed="false">
      <c r="A48" s="8" t="s">
        <v>46</v>
      </c>
      <c r="B48" s="12" t="n">
        <f aca="false">B34-B47</f>
        <v>84</v>
      </c>
    </row>
    <row r="49" customFormat="false" ht="15" hidden="false" customHeight="false" outlineLevel="0" collapsed="false">
      <c r="A49" s="4" t="s">
        <v>47</v>
      </c>
      <c r="B49" s="5" t="n">
        <f aca="false">COUNTIF(Exceptions!$D$5:$D$88,"High")-COUNTIFS(Exceptions!$D$5:$D$88,"High",Exceptions!$P$5:$P$88,"?*")</f>
        <v>28</v>
      </c>
    </row>
    <row r="50" customFormat="false" ht="15" hidden="false" customHeight="false" outlineLevel="0" collapsed="false">
      <c r="A50" s="8" t="s">
        <v>48</v>
      </c>
      <c r="B50" s="8" t="str">
        <f aca="false">IF(AND(ABS(B43)&lt;0.005,B48=0),"READY FOR SIGN-OFF","NOT READY - "&amp;B48&amp;" open exception(s)"&amp;IF(ABS(B43)&gt;=0.005," + unexplained difference",""))</f>
        <v>NOT READY - 84 open exception(s)</v>
      </c>
    </row>
    <row r="52" customFormat="false" ht="15" hidden="false" customHeight="false" outlineLevel="0" collapsed="false">
      <c r="A52" s="3" t="s">
        <v>49</v>
      </c>
      <c r="B52" s="3"/>
      <c r="C52" s="3"/>
      <c r="D52" s="3"/>
      <c r="E52" s="3"/>
      <c r="F52" s="3"/>
    </row>
    <row r="53" customFormat="false" ht="15" hidden="false" customHeight="false" outlineLevel="0" collapsed="false">
      <c r="A53" s="13" t="s">
        <v>50</v>
      </c>
      <c r="B53" s="13" t="s">
        <v>51</v>
      </c>
      <c r="C53" s="13" t="s">
        <v>52</v>
      </c>
      <c r="D53" s="13" t="s">
        <v>53</v>
      </c>
    </row>
    <row r="54" customFormat="false" ht="15" hidden="false" customHeight="false" outlineLevel="0" collapsed="false">
      <c r="A54" s="4" t="s">
        <v>54</v>
      </c>
      <c r="B54" s="14" t="s">
        <v>55</v>
      </c>
      <c r="C54" s="14"/>
      <c r="D54" s="14" t="s">
        <v>56</v>
      </c>
    </row>
    <row r="55" customFormat="false" ht="15" hidden="false" customHeight="false" outlineLevel="0" collapsed="false">
      <c r="A55" s="4" t="s">
        <v>57</v>
      </c>
      <c r="B55" s="14"/>
      <c r="C55" s="14"/>
      <c r="D55" s="14"/>
    </row>
    <row r="56" customFormat="false" ht="15" hidden="false" customHeight="false" outlineLevel="0" collapsed="false">
      <c r="A56" s="4" t="s">
        <v>58</v>
      </c>
      <c r="B56" s="14"/>
      <c r="C56" s="14"/>
      <c r="D56" s="14"/>
    </row>
  </sheetData>
  <conditionalFormatting sqref="B44">
    <cfRule type="expression" priority="2" aboveAverage="0" equalAverage="0" bottom="0" percent="0" rank="0" text="" dxfId="0">
      <formula>LEFT(B44,4)="PASS"</formula>
    </cfRule>
    <cfRule type="expression" priority="3" aboveAverage="0" equalAverage="0" bottom="0" percent="0" rank="0" text="" dxfId="1">
      <formula>LEFT(B44,4)="FAIL"</formula>
    </cfRule>
  </conditionalFormatting>
  <conditionalFormatting sqref="B50">
    <cfRule type="expression" priority="4" aboveAverage="0" equalAverage="0" bottom="0" percent="0" rank="0" text="" dxfId="0">
      <formula>LEFT(B50,5)="READY"</formula>
    </cfRule>
    <cfRule type="expression" priority="5" aboveAverage="0" equalAverage="0" bottom="0" percent="0" rank="0" text="" dxfId="1">
      <formula>LEFT(B50,3)="NOT"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42"/>
    <col collapsed="false" customWidth="true" hidden="false" outlineLevel="0" max="12" min="11" style="0" width="14"/>
    <col collapsed="false" customWidth="true" hidden="false" outlineLevel="0" max="13" min="13" style="0" width="16"/>
    <col collapsed="false" customWidth="true" hidden="false" outlineLevel="0" max="14" min="14" style="0" width="58"/>
    <col collapsed="false" customWidth="true" hidden="false" outlineLevel="0" max="15" min="15" style="0" width="44"/>
    <col collapsed="false" customWidth="true" hidden="false" outlineLevel="0" max="16" min="16" style="0" width="22"/>
    <col collapsed="false" customWidth="true" hidden="false" outlineLevel="0" max="17" min="17" style="0" width="34"/>
    <col collapsed="false" customWidth="true" hidden="false" outlineLevel="0" max="18" min="18" style="0" width="16"/>
    <col collapsed="false" customWidth="true" hidden="false" outlineLevel="0" max="19" min="19" style="0" width="13"/>
  </cols>
  <sheetData>
    <row r="1" customFormat="false" ht="17.35" hidden="false" customHeight="false" outlineLevel="0" collapsed="false">
      <c r="A1" s="15" t="s">
        <v>59</v>
      </c>
    </row>
    <row r="2" customFormat="false" ht="15" hidden="false" customHeight="false" outlineLevel="0" collapsed="false">
      <c r="A2" s="2" t="s">
        <v>60</v>
      </c>
    </row>
    <row r="4" customFormat="false" ht="31.5" hidden="false" customHeight="true" outlineLevel="0" collapsed="false">
      <c r="A4" s="11" t="s">
        <v>61</v>
      </c>
      <c r="B4" s="11" t="s">
        <v>62</v>
      </c>
      <c r="C4" s="11" t="s">
        <v>63</v>
      </c>
      <c r="D4" s="11" t="s">
        <v>64</v>
      </c>
      <c r="E4" s="11" t="s">
        <v>65</v>
      </c>
      <c r="F4" s="11" t="s">
        <v>66</v>
      </c>
      <c r="G4" s="11" t="s">
        <v>67</v>
      </c>
      <c r="H4" s="11" t="s">
        <v>68</v>
      </c>
      <c r="I4" s="11" t="s">
        <v>69</v>
      </c>
      <c r="J4" s="11" t="s">
        <v>70</v>
      </c>
      <c r="K4" s="11" t="s">
        <v>71</v>
      </c>
      <c r="L4" s="11" t="s">
        <v>72</v>
      </c>
      <c r="M4" s="11" t="s">
        <v>73</v>
      </c>
      <c r="N4" s="11" t="s">
        <v>74</v>
      </c>
      <c r="O4" s="11" t="s">
        <v>75</v>
      </c>
      <c r="P4" s="11" t="s">
        <v>76</v>
      </c>
      <c r="Q4" s="11" t="s">
        <v>77</v>
      </c>
      <c r="R4" s="11" t="s">
        <v>78</v>
      </c>
      <c r="S4" s="11" t="s">
        <v>79</v>
      </c>
    </row>
    <row r="5" customFormat="false" ht="23.85" hidden="false" customHeight="false" outlineLevel="0" collapsed="false">
      <c r="A5" s="4" t="s">
        <v>80</v>
      </c>
      <c r="B5" s="4" t="s">
        <v>28</v>
      </c>
      <c r="C5" s="16" t="s">
        <v>81</v>
      </c>
      <c r="D5" s="17" t="s">
        <v>25</v>
      </c>
      <c r="E5" s="16" t="s">
        <v>82</v>
      </c>
      <c r="F5" s="16"/>
      <c r="G5" s="6" t="n">
        <v>46276</v>
      </c>
      <c r="H5" s="6"/>
      <c r="I5" s="4"/>
      <c r="J5" s="16" t="s">
        <v>83</v>
      </c>
      <c r="K5" s="7" t="n">
        <v>21883.24</v>
      </c>
      <c r="L5" s="7"/>
      <c r="M5" s="9" t="n">
        <f aca="false">N(K5)-N(L5)</f>
        <v>21883.24</v>
      </c>
      <c r="N5" s="16" t="s">
        <v>84</v>
      </c>
      <c r="O5" s="16" t="s">
        <v>85</v>
      </c>
      <c r="P5" s="14"/>
      <c r="Q5" s="18"/>
      <c r="R5" s="14"/>
      <c r="S5" s="19"/>
    </row>
    <row r="6" customFormat="false" ht="23.85" hidden="false" customHeight="false" outlineLevel="0" collapsed="false">
      <c r="A6" s="4" t="s">
        <v>86</v>
      </c>
      <c r="B6" s="4" t="s">
        <v>28</v>
      </c>
      <c r="C6" s="16" t="s">
        <v>81</v>
      </c>
      <c r="D6" s="17" t="s">
        <v>25</v>
      </c>
      <c r="E6" s="16" t="s">
        <v>87</v>
      </c>
      <c r="F6" s="16"/>
      <c r="G6" s="6" t="n">
        <v>46229</v>
      </c>
      <c r="H6" s="6"/>
      <c r="I6" s="4"/>
      <c r="J6" s="16" t="s">
        <v>88</v>
      </c>
      <c r="K6" s="7" t="n">
        <v>12055.87</v>
      </c>
      <c r="L6" s="7"/>
      <c r="M6" s="9" t="n">
        <f aca="false">N(K6)-N(L6)</f>
        <v>12055.87</v>
      </c>
      <c r="N6" s="16" t="s">
        <v>89</v>
      </c>
      <c r="O6" s="16" t="s">
        <v>85</v>
      </c>
      <c r="P6" s="14"/>
      <c r="Q6" s="18"/>
      <c r="R6" s="14"/>
      <c r="S6" s="19"/>
    </row>
    <row r="7" customFormat="false" ht="23.85" hidden="false" customHeight="false" outlineLevel="0" collapsed="false">
      <c r="A7" s="4" t="s">
        <v>90</v>
      </c>
      <c r="B7" s="4" t="s">
        <v>28</v>
      </c>
      <c r="C7" s="16" t="s">
        <v>81</v>
      </c>
      <c r="D7" s="17" t="s">
        <v>25</v>
      </c>
      <c r="E7" s="16" t="s">
        <v>91</v>
      </c>
      <c r="F7" s="16"/>
      <c r="G7" s="6" t="n">
        <v>46268</v>
      </c>
      <c r="H7" s="6"/>
      <c r="I7" s="4"/>
      <c r="J7" s="16" t="s">
        <v>92</v>
      </c>
      <c r="K7" s="7" t="n">
        <v>10992.86</v>
      </c>
      <c r="L7" s="7"/>
      <c r="M7" s="9" t="n">
        <f aca="false">N(K7)-N(L7)</f>
        <v>10992.86</v>
      </c>
      <c r="N7" s="16" t="s">
        <v>93</v>
      </c>
      <c r="O7" s="16" t="s">
        <v>85</v>
      </c>
      <c r="P7" s="14"/>
      <c r="Q7" s="18"/>
      <c r="R7" s="14"/>
      <c r="S7" s="19"/>
    </row>
    <row r="8" customFormat="false" ht="23.85" hidden="false" customHeight="false" outlineLevel="0" collapsed="false">
      <c r="A8" s="4" t="s">
        <v>94</v>
      </c>
      <c r="B8" s="4" t="s">
        <v>28</v>
      </c>
      <c r="C8" s="16" t="s">
        <v>95</v>
      </c>
      <c r="D8" s="17" t="s">
        <v>25</v>
      </c>
      <c r="E8" s="16" t="s">
        <v>96</v>
      </c>
      <c r="F8" s="16"/>
      <c r="G8" s="6" t="n">
        <v>46265</v>
      </c>
      <c r="H8" s="6"/>
      <c r="I8" s="4"/>
      <c r="J8" s="16" t="s">
        <v>97</v>
      </c>
      <c r="K8" s="7" t="n">
        <v>-10494.74</v>
      </c>
      <c r="L8" s="7"/>
      <c r="M8" s="9" t="n">
        <f aca="false">N(K8)-N(L8)</f>
        <v>-10494.74</v>
      </c>
      <c r="N8" s="16" t="s">
        <v>98</v>
      </c>
      <c r="O8" s="16" t="s">
        <v>99</v>
      </c>
      <c r="P8" s="14"/>
      <c r="Q8" s="18"/>
      <c r="R8" s="14"/>
      <c r="S8" s="19"/>
    </row>
    <row r="9" customFormat="false" ht="23.85" hidden="false" customHeight="false" outlineLevel="0" collapsed="false">
      <c r="A9" s="4" t="s">
        <v>100</v>
      </c>
      <c r="B9" s="4" t="s">
        <v>29</v>
      </c>
      <c r="C9" s="16" t="s">
        <v>101</v>
      </c>
      <c r="D9" s="17" t="s">
        <v>25</v>
      </c>
      <c r="E9" s="16"/>
      <c r="F9" s="16" t="s">
        <v>102</v>
      </c>
      <c r="G9" s="6"/>
      <c r="H9" s="6" t="n">
        <v>46237</v>
      </c>
      <c r="I9" s="4" t="s">
        <v>103</v>
      </c>
      <c r="J9" s="16" t="s">
        <v>104</v>
      </c>
      <c r="K9" s="7"/>
      <c r="L9" s="7" t="n">
        <v>-39929.07</v>
      </c>
      <c r="M9" s="9" t="n">
        <f aca="false">N(K9)-N(L9)</f>
        <v>39929.07</v>
      </c>
      <c r="N9" s="16" t="s">
        <v>105</v>
      </c>
      <c r="O9" s="16" t="s">
        <v>106</v>
      </c>
      <c r="P9" s="14"/>
      <c r="Q9" s="18"/>
      <c r="R9" s="14"/>
      <c r="S9" s="19"/>
    </row>
    <row r="10" customFormat="false" ht="23.85" hidden="false" customHeight="false" outlineLevel="0" collapsed="false">
      <c r="A10" s="4" t="s">
        <v>107</v>
      </c>
      <c r="B10" s="4" t="s">
        <v>29</v>
      </c>
      <c r="C10" s="16" t="s">
        <v>101</v>
      </c>
      <c r="D10" s="17" t="s">
        <v>25</v>
      </c>
      <c r="E10" s="16"/>
      <c r="F10" s="16" t="s">
        <v>108</v>
      </c>
      <c r="G10" s="6"/>
      <c r="H10" s="6" t="n">
        <v>46220</v>
      </c>
      <c r="I10" s="4" t="s">
        <v>109</v>
      </c>
      <c r="J10" s="16" t="s">
        <v>110</v>
      </c>
      <c r="K10" s="7"/>
      <c r="L10" s="7" t="n">
        <v>-36473.48</v>
      </c>
      <c r="M10" s="9" t="n">
        <f aca="false">N(K10)-N(L10)</f>
        <v>36473.48</v>
      </c>
      <c r="N10" s="16" t="s">
        <v>111</v>
      </c>
      <c r="O10" s="16" t="s">
        <v>106</v>
      </c>
      <c r="P10" s="14"/>
      <c r="Q10" s="18"/>
      <c r="R10" s="14"/>
      <c r="S10" s="19"/>
    </row>
    <row r="11" customFormat="false" ht="23.85" hidden="false" customHeight="false" outlineLevel="0" collapsed="false">
      <c r="A11" s="4" t="s">
        <v>112</v>
      </c>
      <c r="B11" s="4" t="s">
        <v>29</v>
      </c>
      <c r="C11" s="16" t="s">
        <v>101</v>
      </c>
      <c r="D11" s="17" t="s">
        <v>25</v>
      </c>
      <c r="E11" s="16"/>
      <c r="F11" s="16" t="s">
        <v>113</v>
      </c>
      <c r="G11" s="6"/>
      <c r="H11" s="6" t="n">
        <v>46230</v>
      </c>
      <c r="I11" s="4" t="s">
        <v>114</v>
      </c>
      <c r="J11" s="16" t="s">
        <v>115</v>
      </c>
      <c r="K11" s="7"/>
      <c r="L11" s="7" t="n">
        <v>-28024.92</v>
      </c>
      <c r="M11" s="9" t="n">
        <f aca="false">N(K11)-N(L11)</f>
        <v>28024.92</v>
      </c>
      <c r="N11" s="16" t="s">
        <v>116</v>
      </c>
      <c r="O11" s="16" t="s">
        <v>106</v>
      </c>
      <c r="P11" s="14"/>
      <c r="Q11" s="18"/>
      <c r="R11" s="14"/>
      <c r="S11" s="19"/>
    </row>
    <row r="12" customFormat="false" ht="23.85" hidden="false" customHeight="false" outlineLevel="0" collapsed="false">
      <c r="A12" s="4" t="s">
        <v>117</v>
      </c>
      <c r="B12" s="4" t="s">
        <v>29</v>
      </c>
      <c r="C12" s="16" t="s">
        <v>101</v>
      </c>
      <c r="D12" s="17" t="s">
        <v>25</v>
      </c>
      <c r="E12" s="16"/>
      <c r="F12" s="16" t="s">
        <v>118</v>
      </c>
      <c r="G12" s="6"/>
      <c r="H12" s="6" t="n">
        <v>46272</v>
      </c>
      <c r="I12" s="4" t="s">
        <v>119</v>
      </c>
      <c r="J12" s="16" t="s">
        <v>120</v>
      </c>
      <c r="K12" s="7"/>
      <c r="L12" s="7" t="n">
        <v>-20819.16</v>
      </c>
      <c r="M12" s="9" t="n">
        <f aca="false">N(K12)-N(L12)</f>
        <v>20819.16</v>
      </c>
      <c r="N12" s="16" t="s">
        <v>121</v>
      </c>
      <c r="O12" s="16" t="s">
        <v>106</v>
      </c>
      <c r="P12" s="14"/>
      <c r="Q12" s="18"/>
      <c r="R12" s="14"/>
      <c r="S12" s="19"/>
    </row>
    <row r="13" customFormat="false" ht="23.85" hidden="false" customHeight="false" outlineLevel="0" collapsed="false">
      <c r="A13" s="4" t="s">
        <v>122</v>
      </c>
      <c r="B13" s="4" t="s">
        <v>29</v>
      </c>
      <c r="C13" s="16" t="s">
        <v>101</v>
      </c>
      <c r="D13" s="17" t="s">
        <v>25</v>
      </c>
      <c r="E13" s="16"/>
      <c r="F13" s="16" t="s">
        <v>123</v>
      </c>
      <c r="G13" s="6"/>
      <c r="H13" s="6" t="n">
        <v>46210</v>
      </c>
      <c r="I13" s="4" t="s">
        <v>124</v>
      </c>
      <c r="J13" s="16" t="s">
        <v>125</v>
      </c>
      <c r="K13" s="7"/>
      <c r="L13" s="7" t="n">
        <v>-20303.44</v>
      </c>
      <c r="M13" s="9" t="n">
        <f aca="false">N(K13)-N(L13)</f>
        <v>20303.44</v>
      </c>
      <c r="N13" s="16" t="s">
        <v>126</v>
      </c>
      <c r="O13" s="16" t="s">
        <v>106</v>
      </c>
      <c r="P13" s="14"/>
      <c r="Q13" s="18"/>
      <c r="R13" s="14"/>
      <c r="S13" s="19"/>
    </row>
    <row r="14" customFormat="false" ht="23.85" hidden="false" customHeight="false" outlineLevel="0" collapsed="false">
      <c r="A14" s="4" t="s">
        <v>127</v>
      </c>
      <c r="B14" s="4" t="s">
        <v>30</v>
      </c>
      <c r="C14" s="16" t="s">
        <v>128</v>
      </c>
      <c r="D14" s="17" t="s">
        <v>25</v>
      </c>
      <c r="E14" s="16" t="s">
        <v>129</v>
      </c>
      <c r="F14" s="16"/>
      <c r="G14" s="6" t="n">
        <v>46213</v>
      </c>
      <c r="H14" s="6"/>
      <c r="I14" s="4" t="s">
        <v>130</v>
      </c>
      <c r="J14" s="16" t="s">
        <v>131</v>
      </c>
      <c r="K14" s="7" t="n">
        <v>91376.45</v>
      </c>
      <c r="L14" s="7"/>
      <c r="M14" s="9" t="n">
        <f aca="false">N(K14)-N(L14)</f>
        <v>91376.45</v>
      </c>
      <c r="N14" s="16" t="s">
        <v>132</v>
      </c>
      <c r="O14" s="16" t="s">
        <v>133</v>
      </c>
      <c r="P14" s="14"/>
      <c r="Q14" s="18"/>
      <c r="R14" s="14"/>
      <c r="S14" s="19"/>
    </row>
    <row r="15" customFormat="false" ht="23.85" hidden="false" customHeight="false" outlineLevel="0" collapsed="false">
      <c r="A15" s="4" t="s">
        <v>134</v>
      </c>
      <c r="B15" s="4" t="s">
        <v>30</v>
      </c>
      <c r="C15" s="16" t="s">
        <v>128</v>
      </c>
      <c r="D15" s="17" t="s">
        <v>25</v>
      </c>
      <c r="E15" s="16" t="s">
        <v>135</v>
      </c>
      <c r="F15" s="16"/>
      <c r="G15" s="6" t="n">
        <v>46278</v>
      </c>
      <c r="H15" s="6"/>
      <c r="I15" s="4" t="s">
        <v>136</v>
      </c>
      <c r="J15" s="16" t="s">
        <v>137</v>
      </c>
      <c r="K15" s="7" t="n">
        <v>87563.78</v>
      </c>
      <c r="L15" s="7"/>
      <c r="M15" s="9" t="n">
        <f aca="false">N(K15)-N(L15)</f>
        <v>87563.78</v>
      </c>
      <c r="N15" s="16" t="s">
        <v>138</v>
      </c>
      <c r="O15" s="16" t="s">
        <v>133</v>
      </c>
      <c r="P15" s="14"/>
      <c r="Q15" s="18"/>
      <c r="R15" s="14"/>
      <c r="S15" s="19"/>
    </row>
    <row r="16" customFormat="false" ht="23.85" hidden="false" customHeight="false" outlineLevel="0" collapsed="false">
      <c r="A16" s="4" t="s">
        <v>139</v>
      </c>
      <c r="B16" s="4" t="s">
        <v>30</v>
      </c>
      <c r="C16" s="16" t="s">
        <v>128</v>
      </c>
      <c r="D16" s="17" t="s">
        <v>25</v>
      </c>
      <c r="E16" s="16" t="s">
        <v>140</v>
      </c>
      <c r="F16" s="16"/>
      <c r="G16" s="6" t="n">
        <v>46216</v>
      </c>
      <c r="H16" s="6"/>
      <c r="I16" s="4" t="s">
        <v>141</v>
      </c>
      <c r="J16" s="16" t="s">
        <v>142</v>
      </c>
      <c r="K16" s="7" t="n">
        <v>74966.87</v>
      </c>
      <c r="L16" s="7"/>
      <c r="M16" s="9" t="n">
        <f aca="false">N(K16)-N(L16)</f>
        <v>74966.87</v>
      </c>
      <c r="N16" s="16" t="s">
        <v>143</v>
      </c>
      <c r="O16" s="16" t="s">
        <v>133</v>
      </c>
      <c r="P16" s="14"/>
      <c r="Q16" s="18"/>
      <c r="R16" s="14"/>
      <c r="S16" s="19"/>
    </row>
    <row r="17" customFormat="false" ht="23.85" hidden="false" customHeight="false" outlineLevel="0" collapsed="false">
      <c r="A17" s="4" t="s">
        <v>144</v>
      </c>
      <c r="B17" s="4" t="s">
        <v>30</v>
      </c>
      <c r="C17" s="16" t="s">
        <v>128</v>
      </c>
      <c r="D17" s="17" t="s">
        <v>25</v>
      </c>
      <c r="E17" s="16" t="s">
        <v>145</v>
      </c>
      <c r="F17" s="16"/>
      <c r="G17" s="6" t="n">
        <v>46233</v>
      </c>
      <c r="H17" s="6"/>
      <c r="I17" s="4" t="s">
        <v>146</v>
      </c>
      <c r="J17" s="16" t="s">
        <v>147</v>
      </c>
      <c r="K17" s="7" t="n">
        <v>71068.32</v>
      </c>
      <c r="L17" s="7"/>
      <c r="M17" s="9" t="n">
        <f aca="false">N(K17)-N(L17)</f>
        <v>71068.32</v>
      </c>
      <c r="N17" s="16" t="s">
        <v>148</v>
      </c>
      <c r="O17" s="16" t="s">
        <v>133</v>
      </c>
      <c r="P17" s="14"/>
      <c r="Q17" s="18"/>
      <c r="R17" s="14"/>
      <c r="S17" s="19"/>
    </row>
    <row r="18" customFormat="false" ht="23.85" hidden="false" customHeight="false" outlineLevel="0" collapsed="false">
      <c r="A18" s="4" t="s">
        <v>149</v>
      </c>
      <c r="B18" s="4" t="s">
        <v>30</v>
      </c>
      <c r="C18" s="16" t="s">
        <v>128</v>
      </c>
      <c r="D18" s="17" t="s">
        <v>25</v>
      </c>
      <c r="E18" s="16" t="s">
        <v>150</v>
      </c>
      <c r="F18" s="16"/>
      <c r="G18" s="6" t="n">
        <v>46269</v>
      </c>
      <c r="H18" s="6"/>
      <c r="I18" s="4" t="s">
        <v>151</v>
      </c>
      <c r="J18" s="16" t="s">
        <v>152</v>
      </c>
      <c r="K18" s="7" t="n">
        <v>60401.29</v>
      </c>
      <c r="L18" s="7"/>
      <c r="M18" s="9" t="n">
        <f aca="false">N(K18)-N(L18)</f>
        <v>60401.29</v>
      </c>
      <c r="N18" s="16" t="s">
        <v>153</v>
      </c>
      <c r="O18" s="16" t="s">
        <v>133</v>
      </c>
      <c r="P18" s="14"/>
      <c r="Q18" s="18"/>
      <c r="R18" s="14"/>
      <c r="S18" s="19"/>
    </row>
    <row r="19" customFormat="false" ht="23.85" hidden="false" customHeight="false" outlineLevel="0" collapsed="false">
      <c r="A19" s="4" t="s">
        <v>154</v>
      </c>
      <c r="B19" s="4" t="s">
        <v>30</v>
      </c>
      <c r="C19" s="16" t="s">
        <v>128</v>
      </c>
      <c r="D19" s="17" t="s">
        <v>25</v>
      </c>
      <c r="E19" s="16" t="s">
        <v>155</v>
      </c>
      <c r="F19" s="16"/>
      <c r="G19" s="6" t="n">
        <v>46253</v>
      </c>
      <c r="H19" s="6"/>
      <c r="I19" s="4" t="s">
        <v>156</v>
      </c>
      <c r="J19" s="16" t="s">
        <v>157</v>
      </c>
      <c r="K19" s="7" t="n">
        <v>60241.9</v>
      </c>
      <c r="L19" s="7"/>
      <c r="M19" s="9" t="n">
        <f aca="false">N(K19)-N(L19)</f>
        <v>60241.9</v>
      </c>
      <c r="N19" s="16" t="s">
        <v>158</v>
      </c>
      <c r="O19" s="16" t="s">
        <v>133</v>
      </c>
      <c r="P19" s="14"/>
      <c r="Q19" s="18"/>
      <c r="R19" s="14"/>
      <c r="S19" s="19"/>
    </row>
    <row r="20" customFormat="false" ht="23.85" hidden="false" customHeight="false" outlineLevel="0" collapsed="false">
      <c r="A20" s="4" t="s">
        <v>159</v>
      </c>
      <c r="B20" s="4" t="s">
        <v>30</v>
      </c>
      <c r="C20" s="16" t="s">
        <v>128</v>
      </c>
      <c r="D20" s="17" t="s">
        <v>25</v>
      </c>
      <c r="E20" s="16" t="s">
        <v>160</v>
      </c>
      <c r="F20" s="16"/>
      <c r="G20" s="6" t="n">
        <v>46231</v>
      </c>
      <c r="H20" s="6"/>
      <c r="I20" s="4" t="s">
        <v>161</v>
      </c>
      <c r="J20" s="16" t="s">
        <v>162</v>
      </c>
      <c r="K20" s="7" t="n">
        <v>39198.32</v>
      </c>
      <c r="L20" s="7"/>
      <c r="M20" s="9" t="n">
        <f aca="false">N(K20)-N(L20)</f>
        <v>39198.32</v>
      </c>
      <c r="N20" s="16" t="s">
        <v>163</v>
      </c>
      <c r="O20" s="16" t="s">
        <v>133</v>
      </c>
      <c r="P20" s="14"/>
      <c r="Q20" s="18"/>
      <c r="R20" s="14"/>
      <c r="S20" s="19"/>
    </row>
    <row r="21" customFormat="false" ht="23.85" hidden="false" customHeight="false" outlineLevel="0" collapsed="false">
      <c r="A21" s="4" t="s">
        <v>164</v>
      </c>
      <c r="B21" s="4" t="s">
        <v>30</v>
      </c>
      <c r="C21" s="16" t="s">
        <v>128</v>
      </c>
      <c r="D21" s="17" t="s">
        <v>25</v>
      </c>
      <c r="E21" s="16" t="s">
        <v>165</v>
      </c>
      <c r="F21" s="16"/>
      <c r="G21" s="6" t="n">
        <v>46275</v>
      </c>
      <c r="H21" s="6"/>
      <c r="I21" s="4" t="s">
        <v>166</v>
      </c>
      <c r="J21" s="16" t="s">
        <v>167</v>
      </c>
      <c r="K21" s="7" t="n">
        <v>10825.85</v>
      </c>
      <c r="L21" s="7"/>
      <c r="M21" s="9" t="n">
        <f aca="false">N(K21)-N(L21)</f>
        <v>10825.85</v>
      </c>
      <c r="N21" s="16" t="s">
        <v>168</v>
      </c>
      <c r="O21" s="16" t="s">
        <v>133</v>
      </c>
      <c r="P21" s="14"/>
      <c r="Q21" s="18"/>
      <c r="R21" s="14"/>
      <c r="S21" s="19"/>
    </row>
    <row r="22" customFormat="false" ht="23.85" hidden="false" customHeight="false" outlineLevel="0" collapsed="false">
      <c r="A22" s="4" t="s">
        <v>169</v>
      </c>
      <c r="B22" s="4" t="s">
        <v>31</v>
      </c>
      <c r="C22" s="16" t="s">
        <v>170</v>
      </c>
      <c r="D22" s="17" t="s">
        <v>25</v>
      </c>
      <c r="E22" s="16"/>
      <c r="F22" s="16" t="s">
        <v>171</v>
      </c>
      <c r="G22" s="6"/>
      <c r="H22" s="6" t="n">
        <v>46222</v>
      </c>
      <c r="I22" s="4" t="s">
        <v>172</v>
      </c>
      <c r="J22" s="16" t="s">
        <v>173</v>
      </c>
      <c r="K22" s="7"/>
      <c r="L22" s="7" t="n">
        <v>-52959.94</v>
      </c>
      <c r="M22" s="9" t="n">
        <f aca="false">N(K22)-N(L22)</f>
        <v>52959.94</v>
      </c>
      <c r="N22" s="16" t="s">
        <v>174</v>
      </c>
      <c r="O22" s="16" t="s">
        <v>175</v>
      </c>
      <c r="P22" s="14"/>
      <c r="Q22" s="18"/>
      <c r="R22" s="14"/>
      <c r="S22" s="19"/>
    </row>
    <row r="23" customFormat="false" ht="23.85" hidden="false" customHeight="false" outlineLevel="0" collapsed="false">
      <c r="A23" s="4" t="s">
        <v>176</v>
      </c>
      <c r="B23" s="4" t="s">
        <v>31</v>
      </c>
      <c r="C23" s="16" t="s">
        <v>170</v>
      </c>
      <c r="D23" s="17" t="s">
        <v>25</v>
      </c>
      <c r="E23" s="16"/>
      <c r="F23" s="16" t="s">
        <v>177</v>
      </c>
      <c r="G23" s="6"/>
      <c r="H23" s="6" t="n">
        <v>46228</v>
      </c>
      <c r="I23" s="4" t="s">
        <v>178</v>
      </c>
      <c r="J23" s="16" t="s">
        <v>179</v>
      </c>
      <c r="K23" s="7"/>
      <c r="L23" s="7" t="n">
        <v>-45627.98</v>
      </c>
      <c r="M23" s="9" t="n">
        <f aca="false">N(K23)-N(L23)</f>
        <v>45627.98</v>
      </c>
      <c r="N23" s="16" t="s">
        <v>180</v>
      </c>
      <c r="O23" s="16" t="s">
        <v>175</v>
      </c>
      <c r="P23" s="14"/>
      <c r="Q23" s="18"/>
      <c r="R23" s="14"/>
      <c r="S23" s="19"/>
    </row>
    <row r="24" customFormat="false" ht="23.85" hidden="false" customHeight="false" outlineLevel="0" collapsed="false">
      <c r="A24" s="4" t="s">
        <v>181</v>
      </c>
      <c r="B24" s="4" t="s">
        <v>31</v>
      </c>
      <c r="C24" s="16" t="s">
        <v>170</v>
      </c>
      <c r="D24" s="17" t="s">
        <v>25</v>
      </c>
      <c r="E24" s="16"/>
      <c r="F24" s="16" t="s">
        <v>182</v>
      </c>
      <c r="G24" s="6"/>
      <c r="H24" s="6" t="n">
        <v>46278</v>
      </c>
      <c r="I24" s="4" t="s">
        <v>183</v>
      </c>
      <c r="J24" s="16" t="s">
        <v>184</v>
      </c>
      <c r="K24" s="7"/>
      <c r="L24" s="7" t="n">
        <v>-29594.73</v>
      </c>
      <c r="M24" s="9" t="n">
        <f aca="false">N(K24)-N(L24)</f>
        <v>29594.73</v>
      </c>
      <c r="N24" s="16" t="s">
        <v>185</v>
      </c>
      <c r="O24" s="16" t="s">
        <v>175</v>
      </c>
      <c r="P24" s="14"/>
      <c r="Q24" s="18"/>
      <c r="R24" s="14"/>
      <c r="S24" s="19"/>
    </row>
    <row r="25" customFormat="false" ht="23.85" hidden="false" customHeight="false" outlineLevel="0" collapsed="false">
      <c r="A25" s="4" t="s">
        <v>186</v>
      </c>
      <c r="B25" s="4" t="s">
        <v>31</v>
      </c>
      <c r="C25" s="16" t="s">
        <v>170</v>
      </c>
      <c r="D25" s="17" t="s">
        <v>25</v>
      </c>
      <c r="E25" s="16"/>
      <c r="F25" s="16" t="s">
        <v>187</v>
      </c>
      <c r="G25" s="6"/>
      <c r="H25" s="6" t="n">
        <v>46265</v>
      </c>
      <c r="I25" s="4" t="s">
        <v>188</v>
      </c>
      <c r="J25" s="16" t="s">
        <v>189</v>
      </c>
      <c r="K25" s="7"/>
      <c r="L25" s="7" t="n">
        <v>-29486.63</v>
      </c>
      <c r="M25" s="9" t="n">
        <f aca="false">N(K25)-N(L25)</f>
        <v>29486.63</v>
      </c>
      <c r="N25" s="16" t="s">
        <v>190</v>
      </c>
      <c r="O25" s="16" t="s">
        <v>175</v>
      </c>
      <c r="P25" s="14"/>
      <c r="Q25" s="18"/>
      <c r="R25" s="14"/>
      <c r="S25" s="19"/>
    </row>
    <row r="26" customFormat="false" ht="23.85" hidden="false" customHeight="false" outlineLevel="0" collapsed="false">
      <c r="A26" s="4" t="s">
        <v>191</v>
      </c>
      <c r="B26" s="4" t="s">
        <v>31</v>
      </c>
      <c r="C26" s="16" t="s">
        <v>170</v>
      </c>
      <c r="D26" s="17" t="s">
        <v>25</v>
      </c>
      <c r="E26" s="16"/>
      <c r="F26" s="16" t="s">
        <v>192</v>
      </c>
      <c r="G26" s="6"/>
      <c r="H26" s="6" t="n">
        <v>46240</v>
      </c>
      <c r="I26" s="4" t="s">
        <v>193</v>
      </c>
      <c r="J26" s="16" t="s">
        <v>194</v>
      </c>
      <c r="K26" s="7"/>
      <c r="L26" s="7" t="n">
        <v>-27497.54</v>
      </c>
      <c r="M26" s="9" t="n">
        <f aca="false">N(K26)-N(L26)</f>
        <v>27497.54</v>
      </c>
      <c r="N26" s="16" t="s">
        <v>195</v>
      </c>
      <c r="O26" s="16" t="s">
        <v>175</v>
      </c>
      <c r="P26" s="14"/>
      <c r="Q26" s="18"/>
      <c r="R26" s="14"/>
      <c r="S26" s="19"/>
    </row>
    <row r="27" customFormat="false" ht="23.85" hidden="false" customHeight="false" outlineLevel="0" collapsed="false">
      <c r="A27" s="4" t="s">
        <v>196</v>
      </c>
      <c r="B27" s="4" t="s">
        <v>31</v>
      </c>
      <c r="C27" s="16" t="s">
        <v>170</v>
      </c>
      <c r="D27" s="17" t="s">
        <v>25</v>
      </c>
      <c r="E27" s="16"/>
      <c r="F27" s="16" t="s">
        <v>197</v>
      </c>
      <c r="G27" s="6"/>
      <c r="H27" s="6" t="n">
        <v>46261</v>
      </c>
      <c r="I27" s="4" t="s">
        <v>198</v>
      </c>
      <c r="J27" s="16" t="s">
        <v>199</v>
      </c>
      <c r="K27" s="7"/>
      <c r="L27" s="7" t="n">
        <v>-21584.07</v>
      </c>
      <c r="M27" s="9" t="n">
        <f aca="false">N(K27)-N(L27)</f>
        <v>21584.07</v>
      </c>
      <c r="N27" s="16" t="s">
        <v>200</v>
      </c>
      <c r="O27" s="16" t="s">
        <v>175</v>
      </c>
      <c r="P27" s="14"/>
      <c r="Q27" s="18"/>
      <c r="R27" s="14"/>
      <c r="S27" s="19"/>
    </row>
    <row r="28" customFormat="false" ht="23.85" hidden="false" customHeight="false" outlineLevel="0" collapsed="false">
      <c r="A28" s="4" t="s">
        <v>201</v>
      </c>
      <c r="B28" s="4" t="s">
        <v>31</v>
      </c>
      <c r="C28" s="16" t="s">
        <v>170</v>
      </c>
      <c r="D28" s="17" t="s">
        <v>25</v>
      </c>
      <c r="E28" s="16"/>
      <c r="F28" s="16" t="s">
        <v>202</v>
      </c>
      <c r="G28" s="6"/>
      <c r="H28" s="6" t="n">
        <v>46281</v>
      </c>
      <c r="I28" s="4" t="s">
        <v>203</v>
      </c>
      <c r="J28" s="16" t="s">
        <v>204</v>
      </c>
      <c r="K28" s="7"/>
      <c r="L28" s="7" t="n">
        <v>-12313.56</v>
      </c>
      <c r="M28" s="9" t="n">
        <f aca="false">N(K28)-N(L28)</f>
        <v>12313.56</v>
      </c>
      <c r="N28" s="16" t="s">
        <v>205</v>
      </c>
      <c r="O28" s="16" t="s">
        <v>175</v>
      </c>
      <c r="P28" s="14"/>
      <c r="Q28" s="18"/>
      <c r="R28" s="14"/>
      <c r="S28" s="19"/>
    </row>
    <row r="29" customFormat="false" ht="23.85" hidden="false" customHeight="false" outlineLevel="0" collapsed="false">
      <c r="A29" s="4" t="s">
        <v>206</v>
      </c>
      <c r="B29" s="4" t="s">
        <v>31</v>
      </c>
      <c r="C29" s="16" t="s">
        <v>170</v>
      </c>
      <c r="D29" s="17" t="s">
        <v>25</v>
      </c>
      <c r="E29" s="16"/>
      <c r="F29" s="16" t="s">
        <v>207</v>
      </c>
      <c r="G29" s="6"/>
      <c r="H29" s="6" t="n">
        <v>46237</v>
      </c>
      <c r="I29" s="4" t="s">
        <v>208</v>
      </c>
      <c r="J29" s="16" t="s">
        <v>209</v>
      </c>
      <c r="K29" s="7"/>
      <c r="L29" s="7" t="n">
        <v>-11044.57</v>
      </c>
      <c r="M29" s="9" t="n">
        <f aca="false">N(K29)-N(L29)</f>
        <v>11044.57</v>
      </c>
      <c r="N29" s="16" t="s">
        <v>210</v>
      </c>
      <c r="O29" s="16" t="s">
        <v>175</v>
      </c>
      <c r="P29" s="14"/>
      <c r="Q29" s="18"/>
      <c r="R29" s="14"/>
      <c r="S29" s="19"/>
    </row>
    <row r="30" customFormat="false" ht="35.05" hidden="false" customHeight="false" outlineLevel="0" collapsed="false">
      <c r="A30" s="4" t="s">
        <v>211</v>
      </c>
      <c r="B30" s="4" t="s">
        <v>32</v>
      </c>
      <c r="C30" s="16" t="s">
        <v>212</v>
      </c>
      <c r="D30" s="17" t="s">
        <v>25</v>
      </c>
      <c r="E30" s="16" t="s">
        <v>213</v>
      </c>
      <c r="F30" s="16" t="s">
        <v>214</v>
      </c>
      <c r="G30" s="6" t="n">
        <v>46223</v>
      </c>
      <c r="H30" s="6" t="n">
        <v>46220</v>
      </c>
      <c r="I30" s="4" t="s">
        <v>215</v>
      </c>
      <c r="J30" s="16" t="s">
        <v>216</v>
      </c>
      <c r="K30" s="7" t="n">
        <v>-19757.52</v>
      </c>
      <c r="L30" s="7" t="n">
        <v>19757.52</v>
      </c>
      <c r="M30" s="9" t="n">
        <f aca="false">N(K30)-N(L30)</f>
        <v>-39515.04</v>
      </c>
      <c r="N30" s="16" t="s">
        <v>217</v>
      </c>
      <c r="O30" s="16" t="s">
        <v>218</v>
      </c>
      <c r="P30" s="14"/>
      <c r="Q30" s="18"/>
      <c r="R30" s="14"/>
      <c r="S30" s="19"/>
    </row>
    <row r="31" customFormat="false" ht="35.05" hidden="false" customHeight="false" outlineLevel="0" collapsed="false">
      <c r="A31" s="4" t="s">
        <v>219</v>
      </c>
      <c r="B31" s="4" t="s">
        <v>32</v>
      </c>
      <c r="C31" s="16" t="s">
        <v>212</v>
      </c>
      <c r="D31" s="17" t="s">
        <v>25</v>
      </c>
      <c r="E31" s="16" t="s">
        <v>220</v>
      </c>
      <c r="F31" s="16" t="s">
        <v>221</v>
      </c>
      <c r="G31" s="6" t="n">
        <v>46219</v>
      </c>
      <c r="H31" s="6" t="n">
        <v>46216</v>
      </c>
      <c r="I31" s="4" t="s">
        <v>222</v>
      </c>
      <c r="J31" s="16" t="s">
        <v>223</v>
      </c>
      <c r="K31" s="7" t="n">
        <v>-15887.58</v>
      </c>
      <c r="L31" s="7" t="n">
        <v>15887.58</v>
      </c>
      <c r="M31" s="9" t="n">
        <f aca="false">N(K31)-N(L31)</f>
        <v>-31775.16</v>
      </c>
      <c r="N31" s="16" t="s">
        <v>224</v>
      </c>
      <c r="O31" s="16" t="s">
        <v>218</v>
      </c>
      <c r="P31" s="14"/>
      <c r="Q31" s="18"/>
      <c r="R31" s="14"/>
      <c r="S31" s="19"/>
    </row>
    <row r="32" customFormat="false" ht="35.05" hidden="false" customHeight="false" outlineLevel="0" collapsed="false">
      <c r="A32" s="4" t="s">
        <v>225</v>
      </c>
      <c r="B32" s="4" t="s">
        <v>32</v>
      </c>
      <c r="C32" s="16" t="s">
        <v>212</v>
      </c>
      <c r="D32" s="17" t="s">
        <v>25</v>
      </c>
      <c r="E32" s="16" t="s">
        <v>226</v>
      </c>
      <c r="F32" s="16" t="s">
        <v>227</v>
      </c>
      <c r="G32" s="6" t="n">
        <v>46208</v>
      </c>
      <c r="H32" s="6" t="n">
        <v>46208</v>
      </c>
      <c r="I32" s="4" t="s">
        <v>228</v>
      </c>
      <c r="J32" s="16" t="s">
        <v>229</v>
      </c>
      <c r="K32" s="7" t="n">
        <v>-14380.51</v>
      </c>
      <c r="L32" s="7" t="n">
        <v>14380.51</v>
      </c>
      <c r="M32" s="9" t="n">
        <f aca="false">N(K32)-N(L32)</f>
        <v>-28761.02</v>
      </c>
      <c r="N32" s="16" t="s">
        <v>230</v>
      </c>
      <c r="O32" s="16" t="s">
        <v>218</v>
      </c>
      <c r="P32" s="14"/>
      <c r="Q32" s="18"/>
      <c r="R32" s="14"/>
      <c r="S32" s="19"/>
    </row>
    <row r="33" customFormat="false" ht="23.85" hidden="false" customHeight="false" outlineLevel="0" collapsed="false">
      <c r="A33" s="4" t="s">
        <v>231</v>
      </c>
      <c r="B33" s="4" t="s">
        <v>28</v>
      </c>
      <c r="C33" s="16" t="s">
        <v>95</v>
      </c>
      <c r="D33" s="20" t="s">
        <v>26</v>
      </c>
      <c r="E33" s="16" t="s">
        <v>232</v>
      </c>
      <c r="F33" s="16"/>
      <c r="G33" s="6" t="n">
        <v>46267</v>
      </c>
      <c r="H33" s="6"/>
      <c r="I33" s="4"/>
      <c r="J33" s="16" t="s">
        <v>233</v>
      </c>
      <c r="K33" s="7" t="n">
        <v>-9573.14</v>
      </c>
      <c r="L33" s="7"/>
      <c r="M33" s="9" t="n">
        <f aca="false">N(K33)-N(L33)</f>
        <v>-9573.14</v>
      </c>
      <c r="N33" s="16" t="s">
        <v>234</v>
      </c>
      <c r="O33" s="16" t="s">
        <v>99</v>
      </c>
      <c r="P33" s="14"/>
      <c r="Q33" s="18"/>
      <c r="R33" s="14"/>
      <c r="S33" s="19"/>
    </row>
    <row r="34" customFormat="false" ht="23.85" hidden="false" customHeight="false" outlineLevel="0" collapsed="false">
      <c r="A34" s="4" t="s">
        <v>235</v>
      </c>
      <c r="B34" s="4" t="s">
        <v>28</v>
      </c>
      <c r="C34" s="16" t="s">
        <v>81</v>
      </c>
      <c r="D34" s="20" t="s">
        <v>26</v>
      </c>
      <c r="E34" s="16" t="s">
        <v>236</v>
      </c>
      <c r="F34" s="16"/>
      <c r="G34" s="6" t="n">
        <v>46275</v>
      </c>
      <c r="H34" s="6"/>
      <c r="I34" s="4"/>
      <c r="J34" s="16" t="s">
        <v>237</v>
      </c>
      <c r="K34" s="7" t="n">
        <v>8934.87</v>
      </c>
      <c r="L34" s="7"/>
      <c r="M34" s="9" t="n">
        <f aca="false">N(K34)-N(L34)</f>
        <v>8934.87</v>
      </c>
      <c r="N34" s="16" t="s">
        <v>238</v>
      </c>
      <c r="O34" s="16" t="s">
        <v>85</v>
      </c>
      <c r="P34" s="14"/>
      <c r="Q34" s="18"/>
      <c r="R34" s="14"/>
      <c r="S34" s="19"/>
    </row>
    <row r="35" customFormat="false" ht="23.85" hidden="false" customHeight="false" outlineLevel="0" collapsed="false">
      <c r="A35" s="4" t="s">
        <v>239</v>
      </c>
      <c r="B35" s="4" t="s">
        <v>28</v>
      </c>
      <c r="C35" s="16" t="s">
        <v>95</v>
      </c>
      <c r="D35" s="20" t="s">
        <v>26</v>
      </c>
      <c r="E35" s="16" t="s">
        <v>240</v>
      </c>
      <c r="F35" s="16"/>
      <c r="G35" s="6" t="n">
        <v>46263</v>
      </c>
      <c r="H35" s="6"/>
      <c r="I35" s="4"/>
      <c r="J35" s="16" t="s">
        <v>241</v>
      </c>
      <c r="K35" s="7" t="n">
        <v>-8887.16</v>
      </c>
      <c r="L35" s="7"/>
      <c r="M35" s="9" t="n">
        <f aca="false">N(K35)-N(L35)</f>
        <v>-8887.16</v>
      </c>
      <c r="N35" s="16" t="s">
        <v>242</v>
      </c>
      <c r="O35" s="16" t="s">
        <v>99</v>
      </c>
      <c r="P35" s="14"/>
      <c r="Q35" s="18"/>
      <c r="R35" s="14"/>
      <c r="S35" s="19"/>
    </row>
    <row r="36" customFormat="false" ht="23.85" hidden="false" customHeight="false" outlineLevel="0" collapsed="false">
      <c r="A36" s="4" t="s">
        <v>243</v>
      </c>
      <c r="B36" s="4" t="s">
        <v>28</v>
      </c>
      <c r="C36" s="16" t="s">
        <v>95</v>
      </c>
      <c r="D36" s="20" t="s">
        <v>26</v>
      </c>
      <c r="E36" s="16" t="s">
        <v>244</v>
      </c>
      <c r="F36" s="16"/>
      <c r="G36" s="6" t="n">
        <v>46273</v>
      </c>
      <c r="H36" s="6"/>
      <c r="I36" s="4"/>
      <c r="J36" s="16" t="s">
        <v>245</v>
      </c>
      <c r="K36" s="7" t="n">
        <v>-5292.31</v>
      </c>
      <c r="L36" s="7"/>
      <c r="M36" s="9" t="n">
        <f aca="false">N(K36)-N(L36)</f>
        <v>-5292.31</v>
      </c>
      <c r="N36" s="16" t="s">
        <v>246</v>
      </c>
      <c r="O36" s="16" t="s">
        <v>99</v>
      </c>
      <c r="P36" s="14"/>
      <c r="Q36" s="18"/>
      <c r="R36" s="14"/>
      <c r="S36" s="19"/>
    </row>
    <row r="37" customFormat="false" ht="23.85" hidden="false" customHeight="false" outlineLevel="0" collapsed="false">
      <c r="A37" s="4" t="s">
        <v>247</v>
      </c>
      <c r="B37" s="4" t="s">
        <v>28</v>
      </c>
      <c r="C37" s="16" t="s">
        <v>95</v>
      </c>
      <c r="D37" s="20" t="s">
        <v>26</v>
      </c>
      <c r="E37" s="16" t="s">
        <v>248</v>
      </c>
      <c r="F37" s="16"/>
      <c r="G37" s="6" t="n">
        <v>46234</v>
      </c>
      <c r="H37" s="6"/>
      <c r="I37" s="4"/>
      <c r="J37" s="16" t="s">
        <v>249</v>
      </c>
      <c r="K37" s="7" t="n">
        <v>-5277.99</v>
      </c>
      <c r="L37" s="7"/>
      <c r="M37" s="9" t="n">
        <f aca="false">N(K37)-N(L37)</f>
        <v>-5277.99</v>
      </c>
      <c r="N37" s="16" t="s">
        <v>250</v>
      </c>
      <c r="O37" s="16" t="s">
        <v>99</v>
      </c>
      <c r="P37" s="14"/>
      <c r="Q37" s="18"/>
      <c r="R37" s="14"/>
      <c r="S37" s="19"/>
    </row>
    <row r="38" customFormat="false" ht="23.85" hidden="false" customHeight="false" outlineLevel="0" collapsed="false">
      <c r="A38" s="4" t="s">
        <v>251</v>
      </c>
      <c r="B38" s="4" t="s">
        <v>28</v>
      </c>
      <c r="C38" s="16" t="s">
        <v>95</v>
      </c>
      <c r="D38" s="20" t="s">
        <v>26</v>
      </c>
      <c r="E38" s="16" t="s">
        <v>252</v>
      </c>
      <c r="F38" s="16"/>
      <c r="G38" s="6" t="n">
        <v>46237</v>
      </c>
      <c r="H38" s="6"/>
      <c r="I38" s="4"/>
      <c r="J38" s="16" t="s">
        <v>253</v>
      </c>
      <c r="K38" s="7" t="n">
        <v>-4632.37</v>
      </c>
      <c r="L38" s="7"/>
      <c r="M38" s="9" t="n">
        <f aca="false">N(K38)-N(L38)</f>
        <v>-4632.37</v>
      </c>
      <c r="N38" s="16" t="s">
        <v>254</v>
      </c>
      <c r="O38" s="16" t="s">
        <v>99</v>
      </c>
      <c r="P38" s="14"/>
      <c r="Q38" s="18"/>
      <c r="R38" s="14"/>
      <c r="S38" s="19"/>
    </row>
    <row r="39" customFormat="false" ht="23.85" hidden="false" customHeight="false" outlineLevel="0" collapsed="false">
      <c r="A39" s="4" t="s">
        <v>255</v>
      </c>
      <c r="B39" s="4" t="s">
        <v>28</v>
      </c>
      <c r="C39" s="16" t="s">
        <v>256</v>
      </c>
      <c r="D39" s="20" t="s">
        <v>26</v>
      </c>
      <c r="E39" s="16" t="s">
        <v>257</v>
      </c>
      <c r="F39" s="16"/>
      <c r="G39" s="6" t="n">
        <v>46279</v>
      </c>
      <c r="H39" s="6"/>
      <c r="I39" s="4"/>
      <c r="J39" s="16" t="s">
        <v>258</v>
      </c>
      <c r="K39" s="7" t="n">
        <v>2558.43</v>
      </c>
      <c r="L39" s="7"/>
      <c r="M39" s="9" t="n">
        <f aca="false">N(K39)-N(L39)</f>
        <v>2558.43</v>
      </c>
      <c r="N39" s="16" t="s">
        <v>259</v>
      </c>
      <c r="O39" s="16" t="s">
        <v>260</v>
      </c>
      <c r="P39" s="14"/>
      <c r="Q39" s="18"/>
      <c r="R39" s="14"/>
      <c r="S39" s="19"/>
    </row>
    <row r="40" customFormat="false" ht="23.85" hidden="false" customHeight="false" outlineLevel="0" collapsed="false">
      <c r="A40" s="4" t="s">
        <v>261</v>
      </c>
      <c r="B40" s="4" t="s">
        <v>28</v>
      </c>
      <c r="C40" s="16" t="s">
        <v>256</v>
      </c>
      <c r="D40" s="20" t="s">
        <v>26</v>
      </c>
      <c r="E40" s="16" t="s">
        <v>262</v>
      </c>
      <c r="F40" s="16"/>
      <c r="G40" s="6" t="n">
        <v>46265</v>
      </c>
      <c r="H40" s="6"/>
      <c r="I40" s="4"/>
      <c r="J40" s="16" t="s">
        <v>263</v>
      </c>
      <c r="K40" s="7" t="n">
        <v>2056.81</v>
      </c>
      <c r="L40" s="7"/>
      <c r="M40" s="9" t="n">
        <f aca="false">N(K40)-N(L40)</f>
        <v>2056.81</v>
      </c>
      <c r="N40" s="16" t="s">
        <v>264</v>
      </c>
      <c r="O40" s="16" t="s">
        <v>260</v>
      </c>
      <c r="P40" s="14"/>
      <c r="Q40" s="18"/>
      <c r="R40" s="14"/>
      <c r="S40" s="19"/>
    </row>
    <row r="41" customFormat="false" ht="23.85" hidden="false" customHeight="false" outlineLevel="0" collapsed="false">
      <c r="A41" s="4" t="s">
        <v>265</v>
      </c>
      <c r="B41" s="4" t="s">
        <v>29</v>
      </c>
      <c r="C41" s="16" t="s">
        <v>266</v>
      </c>
      <c r="D41" s="20" t="s">
        <v>26</v>
      </c>
      <c r="E41" s="16"/>
      <c r="F41" s="16" t="s">
        <v>267</v>
      </c>
      <c r="G41" s="6"/>
      <c r="H41" s="6" t="n">
        <v>46292</v>
      </c>
      <c r="I41" s="4" t="s">
        <v>268</v>
      </c>
      <c r="J41" s="16" t="s">
        <v>269</v>
      </c>
      <c r="K41" s="7"/>
      <c r="L41" s="7" t="n">
        <v>49817.86</v>
      </c>
      <c r="M41" s="9" t="n">
        <f aca="false">N(K41)-N(L41)</f>
        <v>-49817.86</v>
      </c>
      <c r="N41" s="16" t="s">
        <v>270</v>
      </c>
      <c r="O41" s="16" t="s">
        <v>271</v>
      </c>
      <c r="P41" s="14"/>
      <c r="Q41" s="18"/>
      <c r="R41" s="14"/>
      <c r="S41" s="19"/>
    </row>
    <row r="42" customFormat="false" ht="23.85" hidden="false" customHeight="false" outlineLevel="0" collapsed="false">
      <c r="A42" s="4" t="s">
        <v>272</v>
      </c>
      <c r="B42" s="4" t="s">
        <v>29</v>
      </c>
      <c r="C42" s="16" t="s">
        <v>266</v>
      </c>
      <c r="D42" s="20" t="s">
        <v>26</v>
      </c>
      <c r="E42" s="16"/>
      <c r="F42" s="16" t="s">
        <v>273</v>
      </c>
      <c r="G42" s="6"/>
      <c r="H42" s="6" t="n">
        <v>46292</v>
      </c>
      <c r="I42" s="4" t="s">
        <v>274</v>
      </c>
      <c r="J42" s="16" t="s">
        <v>275</v>
      </c>
      <c r="K42" s="7"/>
      <c r="L42" s="7" t="n">
        <v>37153.14</v>
      </c>
      <c r="M42" s="9" t="n">
        <f aca="false">N(K42)-N(L42)</f>
        <v>-37153.14</v>
      </c>
      <c r="N42" s="16" t="s">
        <v>276</v>
      </c>
      <c r="O42" s="16" t="s">
        <v>271</v>
      </c>
      <c r="P42" s="14"/>
      <c r="Q42" s="18"/>
      <c r="R42" s="14"/>
      <c r="S42" s="19"/>
    </row>
    <row r="43" customFormat="false" ht="23.85" hidden="false" customHeight="false" outlineLevel="0" collapsed="false">
      <c r="A43" s="4" t="s">
        <v>277</v>
      </c>
      <c r="B43" s="4" t="s">
        <v>29</v>
      </c>
      <c r="C43" s="16" t="s">
        <v>266</v>
      </c>
      <c r="D43" s="20" t="s">
        <v>26</v>
      </c>
      <c r="E43" s="16"/>
      <c r="F43" s="16" t="s">
        <v>278</v>
      </c>
      <c r="G43" s="6"/>
      <c r="H43" s="6" t="n">
        <v>46295</v>
      </c>
      <c r="I43" s="4" t="s">
        <v>279</v>
      </c>
      <c r="J43" s="16" t="s">
        <v>280</v>
      </c>
      <c r="K43" s="7"/>
      <c r="L43" s="7" t="n">
        <v>25416.25</v>
      </c>
      <c r="M43" s="9" t="n">
        <f aca="false">N(K43)-N(L43)</f>
        <v>-25416.25</v>
      </c>
      <c r="N43" s="16" t="s">
        <v>281</v>
      </c>
      <c r="O43" s="16" t="s">
        <v>271</v>
      </c>
      <c r="P43" s="14"/>
      <c r="Q43" s="18"/>
      <c r="R43" s="14"/>
      <c r="S43" s="19"/>
    </row>
    <row r="44" customFormat="false" ht="23.85" hidden="false" customHeight="false" outlineLevel="0" collapsed="false">
      <c r="A44" s="4" t="s">
        <v>282</v>
      </c>
      <c r="B44" s="4" t="s">
        <v>29</v>
      </c>
      <c r="C44" s="16" t="s">
        <v>266</v>
      </c>
      <c r="D44" s="20" t="s">
        <v>26</v>
      </c>
      <c r="E44" s="16"/>
      <c r="F44" s="16" t="s">
        <v>283</v>
      </c>
      <c r="G44" s="6"/>
      <c r="H44" s="6" t="n">
        <v>46292</v>
      </c>
      <c r="I44" s="4" t="s">
        <v>284</v>
      </c>
      <c r="J44" s="16" t="s">
        <v>285</v>
      </c>
      <c r="K44" s="7"/>
      <c r="L44" s="7" t="n">
        <v>19641.59</v>
      </c>
      <c r="M44" s="9" t="n">
        <f aca="false">N(K44)-N(L44)</f>
        <v>-19641.59</v>
      </c>
      <c r="N44" s="16" t="s">
        <v>286</v>
      </c>
      <c r="O44" s="16" t="s">
        <v>271</v>
      </c>
      <c r="P44" s="14"/>
      <c r="Q44" s="18"/>
      <c r="R44" s="14"/>
      <c r="S44" s="19"/>
    </row>
    <row r="45" customFormat="false" ht="23.85" hidden="false" customHeight="false" outlineLevel="0" collapsed="false">
      <c r="A45" s="4" t="s">
        <v>287</v>
      </c>
      <c r="B45" s="4" t="s">
        <v>29</v>
      </c>
      <c r="C45" s="16" t="s">
        <v>266</v>
      </c>
      <c r="D45" s="20" t="s">
        <v>26</v>
      </c>
      <c r="E45" s="16"/>
      <c r="F45" s="16" t="s">
        <v>288</v>
      </c>
      <c r="G45" s="6"/>
      <c r="H45" s="6" t="n">
        <v>46293</v>
      </c>
      <c r="I45" s="4" t="s">
        <v>289</v>
      </c>
      <c r="J45" s="16" t="s">
        <v>290</v>
      </c>
      <c r="K45" s="7"/>
      <c r="L45" s="7" t="n">
        <v>16333.32</v>
      </c>
      <c r="M45" s="9" t="n">
        <f aca="false">N(K45)-N(L45)</f>
        <v>-16333.32</v>
      </c>
      <c r="N45" s="16" t="s">
        <v>291</v>
      </c>
      <c r="O45" s="16" t="s">
        <v>271</v>
      </c>
      <c r="P45" s="14"/>
      <c r="Q45" s="18"/>
      <c r="R45" s="14"/>
      <c r="S45" s="19"/>
    </row>
    <row r="46" customFormat="false" ht="23.85" hidden="false" customHeight="false" outlineLevel="0" collapsed="false">
      <c r="A46" s="4" t="s">
        <v>292</v>
      </c>
      <c r="B46" s="4" t="s">
        <v>29</v>
      </c>
      <c r="C46" s="16" t="s">
        <v>266</v>
      </c>
      <c r="D46" s="20" t="s">
        <v>26</v>
      </c>
      <c r="E46" s="16"/>
      <c r="F46" s="16" t="s">
        <v>293</v>
      </c>
      <c r="G46" s="6"/>
      <c r="H46" s="6" t="n">
        <v>46292</v>
      </c>
      <c r="I46" s="4" t="s">
        <v>294</v>
      </c>
      <c r="J46" s="16" t="s">
        <v>295</v>
      </c>
      <c r="K46" s="7"/>
      <c r="L46" s="7" t="n">
        <v>7806.58</v>
      </c>
      <c r="M46" s="9" t="n">
        <f aca="false">N(K46)-N(L46)</f>
        <v>-7806.58</v>
      </c>
      <c r="N46" s="16" t="s">
        <v>296</v>
      </c>
      <c r="O46" s="16" t="s">
        <v>271</v>
      </c>
      <c r="P46" s="14"/>
      <c r="Q46" s="18"/>
      <c r="R46" s="14"/>
      <c r="S46" s="19"/>
    </row>
    <row r="47" customFormat="false" ht="23.85" hidden="false" customHeight="false" outlineLevel="0" collapsed="false">
      <c r="A47" s="4" t="s">
        <v>297</v>
      </c>
      <c r="B47" s="4" t="s">
        <v>29</v>
      </c>
      <c r="C47" s="16" t="s">
        <v>101</v>
      </c>
      <c r="D47" s="20" t="s">
        <v>26</v>
      </c>
      <c r="E47" s="16"/>
      <c r="F47" s="16" t="s">
        <v>298</v>
      </c>
      <c r="G47" s="6"/>
      <c r="H47" s="6" t="n">
        <v>46225</v>
      </c>
      <c r="I47" s="4" t="s">
        <v>299</v>
      </c>
      <c r="J47" s="16" t="s">
        <v>300</v>
      </c>
      <c r="K47" s="7"/>
      <c r="L47" s="7" t="n">
        <v>-7415.8</v>
      </c>
      <c r="M47" s="9" t="n">
        <f aca="false">N(K47)-N(L47)</f>
        <v>7415.8</v>
      </c>
      <c r="N47" s="16" t="s">
        <v>301</v>
      </c>
      <c r="O47" s="16" t="s">
        <v>106</v>
      </c>
      <c r="P47" s="14"/>
      <c r="Q47" s="18"/>
      <c r="R47" s="14"/>
      <c r="S47" s="19"/>
    </row>
    <row r="48" customFormat="false" ht="23.85" hidden="false" customHeight="false" outlineLevel="0" collapsed="false">
      <c r="A48" s="4" t="s">
        <v>302</v>
      </c>
      <c r="B48" s="4" t="s">
        <v>29</v>
      </c>
      <c r="C48" s="16" t="s">
        <v>101</v>
      </c>
      <c r="D48" s="20" t="s">
        <v>26</v>
      </c>
      <c r="E48" s="16"/>
      <c r="F48" s="16" t="s">
        <v>303</v>
      </c>
      <c r="G48" s="6"/>
      <c r="H48" s="6" t="n">
        <v>46233</v>
      </c>
      <c r="I48" s="4" t="s">
        <v>304</v>
      </c>
      <c r="J48" s="16" t="s">
        <v>305</v>
      </c>
      <c r="K48" s="7"/>
      <c r="L48" s="7" t="n">
        <v>-4851.06</v>
      </c>
      <c r="M48" s="9" t="n">
        <f aca="false">N(K48)-N(L48)</f>
        <v>4851.06</v>
      </c>
      <c r="N48" s="16" t="s">
        <v>306</v>
      </c>
      <c r="O48" s="16" t="s">
        <v>106</v>
      </c>
      <c r="P48" s="14"/>
      <c r="Q48" s="18"/>
      <c r="R48" s="14"/>
      <c r="S48" s="19"/>
    </row>
    <row r="49" customFormat="false" ht="23.85" hidden="false" customHeight="false" outlineLevel="0" collapsed="false">
      <c r="A49" s="4" t="s">
        <v>307</v>
      </c>
      <c r="B49" s="4" t="s">
        <v>29</v>
      </c>
      <c r="C49" s="16" t="s">
        <v>101</v>
      </c>
      <c r="D49" s="20" t="s">
        <v>26</v>
      </c>
      <c r="E49" s="16"/>
      <c r="F49" s="16" t="s">
        <v>308</v>
      </c>
      <c r="G49" s="6"/>
      <c r="H49" s="6" t="n">
        <v>46216</v>
      </c>
      <c r="I49" s="4" t="s">
        <v>309</v>
      </c>
      <c r="J49" s="16" t="s">
        <v>310</v>
      </c>
      <c r="K49" s="7"/>
      <c r="L49" s="7" t="n">
        <v>-2081.79</v>
      </c>
      <c r="M49" s="9" t="n">
        <f aca="false">N(K49)-N(L49)</f>
        <v>2081.79</v>
      </c>
      <c r="N49" s="16" t="s">
        <v>311</v>
      </c>
      <c r="O49" s="16" t="s">
        <v>106</v>
      </c>
      <c r="P49" s="14"/>
      <c r="Q49" s="18"/>
      <c r="R49" s="14"/>
      <c r="S49" s="19"/>
    </row>
    <row r="50" customFormat="false" ht="35.05" hidden="false" customHeight="false" outlineLevel="0" collapsed="false">
      <c r="A50" s="4" t="s">
        <v>312</v>
      </c>
      <c r="B50" s="4" t="s">
        <v>32</v>
      </c>
      <c r="C50" s="16" t="s">
        <v>212</v>
      </c>
      <c r="D50" s="20" t="s">
        <v>26</v>
      </c>
      <c r="E50" s="16" t="s">
        <v>313</v>
      </c>
      <c r="F50" s="16" t="s">
        <v>314</v>
      </c>
      <c r="G50" s="6" t="n">
        <v>46227</v>
      </c>
      <c r="H50" s="6" t="n">
        <v>46224</v>
      </c>
      <c r="I50" s="4" t="s">
        <v>315</v>
      </c>
      <c r="J50" s="16" t="s">
        <v>316</v>
      </c>
      <c r="K50" s="7" t="n">
        <v>-4275.64</v>
      </c>
      <c r="L50" s="7" t="n">
        <v>4275.64</v>
      </c>
      <c r="M50" s="9" t="n">
        <f aca="false">N(K50)-N(L50)</f>
        <v>-8551.28</v>
      </c>
      <c r="N50" s="16" t="s">
        <v>317</v>
      </c>
      <c r="O50" s="16" t="s">
        <v>218</v>
      </c>
      <c r="P50" s="14"/>
      <c r="Q50" s="18"/>
      <c r="R50" s="14"/>
      <c r="S50" s="19"/>
    </row>
    <row r="51" customFormat="false" ht="35.05" hidden="false" customHeight="false" outlineLevel="0" collapsed="false">
      <c r="A51" s="4" t="s">
        <v>318</v>
      </c>
      <c r="B51" s="4" t="s">
        <v>32</v>
      </c>
      <c r="C51" s="16" t="s">
        <v>319</v>
      </c>
      <c r="D51" s="20" t="s">
        <v>26</v>
      </c>
      <c r="E51" s="16" t="s">
        <v>320</v>
      </c>
      <c r="F51" s="16" t="s">
        <v>321</v>
      </c>
      <c r="G51" s="6" t="n">
        <v>46243</v>
      </c>
      <c r="H51" s="6" t="n">
        <v>46241</v>
      </c>
      <c r="I51" s="4" t="s">
        <v>322</v>
      </c>
      <c r="J51" s="16" t="s">
        <v>323</v>
      </c>
      <c r="K51" s="7" t="n">
        <v>32797.84</v>
      </c>
      <c r="L51" s="7" t="n">
        <v>37297.84</v>
      </c>
      <c r="M51" s="9" t="n">
        <f aca="false">N(K51)-N(L51)</f>
        <v>-4500</v>
      </c>
      <c r="N51" s="16" t="s">
        <v>324</v>
      </c>
      <c r="O51" s="16" t="s">
        <v>325</v>
      </c>
      <c r="P51" s="14"/>
      <c r="Q51" s="18"/>
      <c r="R51" s="14"/>
      <c r="S51" s="19"/>
    </row>
    <row r="52" customFormat="false" ht="35.05" hidden="false" customHeight="false" outlineLevel="0" collapsed="false">
      <c r="A52" s="4" t="s">
        <v>326</v>
      </c>
      <c r="B52" s="4" t="s">
        <v>32</v>
      </c>
      <c r="C52" s="16" t="s">
        <v>319</v>
      </c>
      <c r="D52" s="20" t="s">
        <v>26</v>
      </c>
      <c r="E52" s="16" t="s">
        <v>327</v>
      </c>
      <c r="F52" s="16" t="s">
        <v>328</v>
      </c>
      <c r="G52" s="6" t="n">
        <v>46255</v>
      </c>
      <c r="H52" s="6" t="n">
        <v>46254</v>
      </c>
      <c r="I52" s="4" t="s">
        <v>329</v>
      </c>
      <c r="J52" s="16" t="s">
        <v>330</v>
      </c>
      <c r="K52" s="7" t="n">
        <v>83808.32</v>
      </c>
      <c r="L52" s="7" t="n">
        <v>88308.32</v>
      </c>
      <c r="M52" s="9" t="n">
        <f aca="false">N(K52)-N(L52)</f>
        <v>-4500</v>
      </c>
      <c r="N52" s="16" t="s">
        <v>331</v>
      </c>
      <c r="O52" s="16" t="s">
        <v>325</v>
      </c>
      <c r="P52" s="14"/>
      <c r="Q52" s="18"/>
      <c r="R52" s="14"/>
      <c r="S52" s="19"/>
    </row>
    <row r="53" customFormat="false" ht="35.05" hidden="false" customHeight="false" outlineLevel="0" collapsed="false">
      <c r="A53" s="4" t="s">
        <v>332</v>
      </c>
      <c r="B53" s="4" t="s">
        <v>32</v>
      </c>
      <c r="C53" s="16" t="s">
        <v>319</v>
      </c>
      <c r="D53" s="20" t="s">
        <v>26</v>
      </c>
      <c r="E53" s="16" t="s">
        <v>333</v>
      </c>
      <c r="F53" s="16" t="s">
        <v>334</v>
      </c>
      <c r="G53" s="6" t="n">
        <v>46280</v>
      </c>
      <c r="H53" s="6" t="n">
        <v>46278</v>
      </c>
      <c r="I53" s="4" t="s">
        <v>335</v>
      </c>
      <c r="J53" s="16" t="s">
        <v>336</v>
      </c>
      <c r="K53" s="7" t="n">
        <v>64944.33</v>
      </c>
      <c r="L53" s="7" t="n">
        <v>69444.33</v>
      </c>
      <c r="M53" s="9" t="n">
        <f aca="false">N(K53)-N(L53)</f>
        <v>-4500</v>
      </c>
      <c r="N53" s="16" t="s">
        <v>337</v>
      </c>
      <c r="O53" s="16" t="s">
        <v>325</v>
      </c>
      <c r="P53" s="14"/>
      <c r="Q53" s="18"/>
      <c r="R53" s="14"/>
      <c r="S53" s="19"/>
    </row>
    <row r="54" customFormat="false" ht="35.05" hidden="false" customHeight="false" outlineLevel="0" collapsed="false">
      <c r="A54" s="4" t="s">
        <v>338</v>
      </c>
      <c r="B54" s="4" t="s">
        <v>32</v>
      </c>
      <c r="C54" s="16" t="s">
        <v>319</v>
      </c>
      <c r="D54" s="20" t="s">
        <v>26</v>
      </c>
      <c r="E54" s="16" t="s">
        <v>339</v>
      </c>
      <c r="F54" s="16" t="s">
        <v>340</v>
      </c>
      <c r="G54" s="6" t="n">
        <v>46225</v>
      </c>
      <c r="H54" s="6" t="n">
        <v>46224</v>
      </c>
      <c r="I54" s="4" t="s">
        <v>341</v>
      </c>
      <c r="J54" s="16" t="s">
        <v>342</v>
      </c>
      <c r="K54" s="7" t="n">
        <v>13638.48</v>
      </c>
      <c r="L54" s="7" t="n">
        <v>16338.48</v>
      </c>
      <c r="M54" s="9" t="n">
        <f aca="false">N(K54)-N(L54)</f>
        <v>-2700</v>
      </c>
      <c r="N54" s="16" t="s">
        <v>343</v>
      </c>
      <c r="O54" s="16" t="s">
        <v>325</v>
      </c>
      <c r="P54" s="14"/>
      <c r="Q54" s="18"/>
      <c r="R54" s="14"/>
      <c r="S54" s="19"/>
    </row>
    <row r="55" customFormat="false" ht="35.05" hidden="false" customHeight="false" outlineLevel="0" collapsed="false">
      <c r="A55" s="4" t="s">
        <v>344</v>
      </c>
      <c r="B55" s="4" t="s">
        <v>32</v>
      </c>
      <c r="C55" s="16" t="s">
        <v>319</v>
      </c>
      <c r="D55" s="20" t="s">
        <v>26</v>
      </c>
      <c r="E55" s="16" t="s">
        <v>345</v>
      </c>
      <c r="F55" s="16" t="s">
        <v>346</v>
      </c>
      <c r="G55" s="6" t="n">
        <v>46233</v>
      </c>
      <c r="H55" s="6" t="n">
        <v>46231</v>
      </c>
      <c r="I55" s="4" t="s">
        <v>347</v>
      </c>
      <c r="J55" s="16" t="s">
        <v>348</v>
      </c>
      <c r="K55" s="7" t="n">
        <v>35273.35</v>
      </c>
      <c r="L55" s="7" t="n">
        <v>32573.35</v>
      </c>
      <c r="M55" s="9" t="n">
        <f aca="false">N(K55)-N(L55)</f>
        <v>2700</v>
      </c>
      <c r="N55" s="16" t="s">
        <v>349</v>
      </c>
      <c r="O55" s="16" t="s">
        <v>325</v>
      </c>
      <c r="P55" s="14"/>
      <c r="Q55" s="18"/>
      <c r="R55" s="14"/>
      <c r="S55" s="19"/>
    </row>
    <row r="56" customFormat="false" ht="35.05" hidden="false" customHeight="false" outlineLevel="0" collapsed="false">
      <c r="A56" s="4" t="s">
        <v>350</v>
      </c>
      <c r="B56" s="4" t="s">
        <v>32</v>
      </c>
      <c r="C56" s="16" t="s">
        <v>319</v>
      </c>
      <c r="D56" s="20" t="s">
        <v>26</v>
      </c>
      <c r="E56" s="16" t="s">
        <v>351</v>
      </c>
      <c r="F56" s="16" t="s">
        <v>352</v>
      </c>
      <c r="G56" s="6" t="n">
        <v>46224</v>
      </c>
      <c r="H56" s="6" t="n">
        <v>46223</v>
      </c>
      <c r="I56" s="4" t="s">
        <v>353</v>
      </c>
      <c r="J56" s="16" t="s">
        <v>354</v>
      </c>
      <c r="K56" s="7" t="n">
        <v>52468.86</v>
      </c>
      <c r="L56" s="7" t="n">
        <v>52648.86</v>
      </c>
      <c r="M56" s="9" t="n">
        <f aca="false">N(K56)-N(L56)</f>
        <v>-180</v>
      </c>
      <c r="N56" s="16" t="s">
        <v>355</v>
      </c>
      <c r="O56" s="16" t="s">
        <v>325</v>
      </c>
      <c r="P56" s="14"/>
      <c r="Q56" s="18"/>
      <c r="R56" s="14"/>
      <c r="S56" s="19"/>
    </row>
    <row r="57" customFormat="false" ht="23.85" hidden="false" customHeight="false" outlineLevel="0" collapsed="false">
      <c r="A57" s="4" t="s">
        <v>356</v>
      </c>
      <c r="B57" s="4" t="s">
        <v>33</v>
      </c>
      <c r="C57" s="16" t="s">
        <v>357</v>
      </c>
      <c r="D57" s="20" t="s">
        <v>26</v>
      </c>
      <c r="E57" s="16" t="s">
        <v>358</v>
      </c>
      <c r="F57" s="16" t="s">
        <v>359</v>
      </c>
      <c r="G57" s="6" t="n">
        <v>46250</v>
      </c>
      <c r="H57" s="6" t="n">
        <v>46248</v>
      </c>
      <c r="I57" s="4"/>
      <c r="J57" s="16" t="s">
        <v>360</v>
      </c>
      <c r="K57" s="7" t="n">
        <v>-2708.5</v>
      </c>
      <c r="L57" s="7" t="n">
        <v>-2708.5</v>
      </c>
      <c r="M57" s="9" t="n">
        <f aca="false">N(K57)-N(L57)</f>
        <v>0</v>
      </c>
      <c r="N57" s="16" t="s">
        <v>361</v>
      </c>
      <c r="O57" s="16" t="s">
        <v>362</v>
      </c>
      <c r="P57" s="14"/>
      <c r="Q57" s="18"/>
      <c r="R57" s="14"/>
      <c r="S57" s="19"/>
    </row>
    <row r="58" customFormat="false" ht="23.85" hidden="false" customHeight="false" outlineLevel="0" collapsed="false">
      <c r="A58" s="4" t="s">
        <v>363</v>
      </c>
      <c r="B58" s="4" t="s">
        <v>33</v>
      </c>
      <c r="C58" s="16" t="s">
        <v>357</v>
      </c>
      <c r="D58" s="20" t="s">
        <v>26</v>
      </c>
      <c r="E58" s="16" t="s">
        <v>364</v>
      </c>
      <c r="F58" s="16" t="s">
        <v>365</v>
      </c>
      <c r="G58" s="6" t="n">
        <v>46256</v>
      </c>
      <c r="H58" s="6" t="n">
        <v>46256</v>
      </c>
      <c r="I58" s="4"/>
      <c r="J58" s="16" t="s">
        <v>366</v>
      </c>
      <c r="K58" s="7" t="n">
        <v>-3429.18</v>
      </c>
      <c r="L58" s="7" t="n">
        <v>-3429.18</v>
      </c>
      <c r="M58" s="9" t="n">
        <f aca="false">N(K58)-N(L58)</f>
        <v>0</v>
      </c>
      <c r="N58" s="16" t="s">
        <v>367</v>
      </c>
      <c r="O58" s="16" t="s">
        <v>362</v>
      </c>
      <c r="P58" s="14"/>
      <c r="Q58" s="18"/>
      <c r="R58" s="14"/>
      <c r="S58" s="19"/>
    </row>
    <row r="59" customFormat="false" ht="23.85" hidden="false" customHeight="false" outlineLevel="0" collapsed="false">
      <c r="A59" s="4" t="s">
        <v>368</v>
      </c>
      <c r="B59" s="4" t="s">
        <v>33</v>
      </c>
      <c r="C59" s="16" t="s">
        <v>357</v>
      </c>
      <c r="D59" s="20" t="s">
        <v>26</v>
      </c>
      <c r="E59" s="16" t="s">
        <v>369</v>
      </c>
      <c r="F59" s="16" t="s">
        <v>370</v>
      </c>
      <c r="G59" s="6" t="n">
        <v>46283</v>
      </c>
      <c r="H59" s="6" t="n">
        <v>46281</v>
      </c>
      <c r="I59" s="4"/>
      <c r="J59" s="16" t="s">
        <v>371</v>
      </c>
      <c r="K59" s="7" t="n">
        <v>-3659.96</v>
      </c>
      <c r="L59" s="7" t="n">
        <v>-3659.96</v>
      </c>
      <c r="M59" s="9" t="n">
        <f aca="false">N(K59)-N(L59)</f>
        <v>0</v>
      </c>
      <c r="N59" s="16" t="s">
        <v>372</v>
      </c>
      <c r="O59" s="16" t="s">
        <v>362</v>
      </c>
      <c r="P59" s="14"/>
      <c r="Q59" s="18"/>
      <c r="R59" s="14"/>
      <c r="S59" s="19"/>
    </row>
    <row r="60" customFormat="false" ht="23.85" hidden="false" customHeight="false" outlineLevel="0" collapsed="false">
      <c r="A60" s="4" t="s">
        <v>373</v>
      </c>
      <c r="B60" s="4" t="s">
        <v>34</v>
      </c>
      <c r="C60" s="16" t="s">
        <v>374</v>
      </c>
      <c r="D60" s="20" t="s">
        <v>26</v>
      </c>
      <c r="E60" s="16" t="s">
        <v>375</v>
      </c>
      <c r="F60" s="16" t="s">
        <v>376</v>
      </c>
      <c r="G60" s="6" t="n">
        <v>46211</v>
      </c>
      <c r="H60" s="6" t="n">
        <v>46211</v>
      </c>
      <c r="I60" s="4"/>
      <c r="J60" s="16" t="s">
        <v>377</v>
      </c>
      <c r="K60" s="7" t="n">
        <v>20248.29</v>
      </c>
      <c r="L60" s="7" t="n">
        <v>20248.29</v>
      </c>
      <c r="M60" s="9" t="n">
        <f aca="false">N(K60)-N(L60)</f>
        <v>0</v>
      </c>
      <c r="N60" s="16" t="s">
        <v>378</v>
      </c>
      <c r="O60" s="16" t="s">
        <v>379</v>
      </c>
      <c r="P60" s="14"/>
      <c r="Q60" s="18"/>
      <c r="R60" s="14"/>
      <c r="S60" s="19"/>
    </row>
    <row r="61" customFormat="false" ht="23.85" hidden="false" customHeight="false" outlineLevel="0" collapsed="false">
      <c r="A61" s="4" t="s">
        <v>380</v>
      </c>
      <c r="B61" s="4" t="s">
        <v>34</v>
      </c>
      <c r="C61" s="16" t="s">
        <v>374</v>
      </c>
      <c r="D61" s="20" t="s">
        <v>26</v>
      </c>
      <c r="E61" s="16" t="s">
        <v>381</v>
      </c>
      <c r="F61" s="16" t="s">
        <v>382</v>
      </c>
      <c r="G61" s="6" t="n">
        <v>46221</v>
      </c>
      <c r="H61" s="6" t="n">
        <v>46221</v>
      </c>
      <c r="I61" s="4"/>
      <c r="J61" s="16" t="s">
        <v>383</v>
      </c>
      <c r="K61" s="7" t="n">
        <v>16136.53</v>
      </c>
      <c r="L61" s="7" t="n">
        <v>16136.53</v>
      </c>
      <c r="M61" s="9" t="n">
        <f aca="false">N(K61)-N(L61)</f>
        <v>0</v>
      </c>
      <c r="N61" s="16" t="s">
        <v>384</v>
      </c>
      <c r="O61" s="16" t="s">
        <v>379</v>
      </c>
      <c r="P61" s="14"/>
      <c r="Q61" s="18"/>
      <c r="R61" s="14"/>
      <c r="S61" s="19"/>
    </row>
    <row r="62" customFormat="false" ht="23.85" hidden="false" customHeight="false" outlineLevel="0" collapsed="false">
      <c r="A62" s="4" t="s">
        <v>385</v>
      </c>
      <c r="B62" s="4" t="s">
        <v>34</v>
      </c>
      <c r="C62" s="16" t="s">
        <v>374</v>
      </c>
      <c r="D62" s="20" t="s">
        <v>26</v>
      </c>
      <c r="E62" s="16" t="s">
        <v>386</v>
      </c>
      <c r="F62" s="16" t="s">
        <v>387</v>
      </c>
      <c r="G62" s="6" t="n">
        <v>46223</v>
      </c>
      <c r="H62" s="6" t="n">
        <v>46222</v>
      </c>
      <c r="I62" s="4"/>
      <c r="J62" s="16" t="s">
        <v>388</v>
      </c>
      <c r="K62" s="7" t="n">
        <v>15459.17</v>
      </c>
      <c r="L62" s="7" t="n">
        <v>15459.17</v>
      </c>
      <c r="M62" s="9" t="n">
        <f aca="false">N(K62)-N(L62)</f>
        <v>0</v>
      </c>
      <c r="N62" s="16" t="s">
        <v>389</v>
      </c>
      <c r="O62" s="16" t="s">
        <v>379</v>
      </c>
      <c r="P62" s="14"/>
      <c r="Q62" s="18"/>
      <c r="R62" s="14"/>
      <c r="S62" s="19"/>
    </row>
    <row r="63" customFormat="false" ht="23.85" hidden="false" customHeight="false" outlineLevel="0" collapsed="false">
      <c r="A63" s="4" t="s">
        <v>390</v>
      </c>
      <c r="B63" s="4" t="s">
        <v>34</v>
      </c>
      <c r="C63" s="16" t="s">
        <v>374</v>
      </c>
      <c r="D63" s="20" t="s">
        <v>26</v>
      </c>
      <c r="E63" s="16" t="s">
        <v>391</v>
      </c>
      <c r="F63" s="16" t="s">
        <v>392</v>
      </c>
      <c r="G63" s="6" t="n">
        <v>46229</v>
      </c>
      <c r="H63" s="6" t="n">
        <v>46229</v>
      </c>
      <c r="I63" s="4"/>
      <c r="J63" s="16" t="s">
        <v>393</v>
      </c>
      <c r="K63" s="7" t="n">
        <v>18401.02</v>
      </c>
      <c r="L63" s="7" t="n">
        <v>18401.02</v>
      </c>
      <c r="M63" s="9" t="n">
        <f aca="false">N(K63)-N(L63)</f>
        <v>0</v>
      </c>
      <c r="N63" s="16" t="s">
        <v>394</v>
      </c>
      <c r="O63" s="16" t="s">
        <v>379</v>
      </c>
      <c r="P63" s="14"/>
      <c r="Q63" s="18"/>
      <c r="R63" s="14"/>
      <c r="S63" s="19"/>
    </row>
    <row r="64" customFormat="false" ht="23.85" hidden="false" customHeight="false" outlineLevel="0" collapsed="false">
      <c r="A64" s="4" t="s">
        <v>395</v>
      </c>
      <c r="B64" s="4" t="s">
        <v>34</v>
      </c>
      <c r="C64" s="16" t="s">
        <v>374</v>
      </c>
      <c r="D64" s="20" t="s">
        <v>26</v>
      </c>
      <c r="E64" s="16" t="s">
        <v>396</v>
      </c>
      <c r="F64" s="16" t="s">
        <v>397</v>
      </c>
      <c r="G64" s="6" t="n">
        <v>46253</v>
      </c>
      <c r="H64" s="6" t="n">
        <v>46253</v>
      </c>
      <c r="I64" s="4"/>
      <c r="J64" s="16" t="s">
        <v>398</v>
      </c>
      <c r="K64" s="7" t="n">
        <v>16045.15</v>
      </c>
      <c r="L64" s="7" t="n">
        <v>16045.15</v>
      </c>
      <c r="M64" s="9" t="n">
        <f aca="false">N(K64)-N(L64)</f>
        <v>0</v>
      </c>
      <c r="N64" s="16" t="s">
        <v>399</v>
      </c>
      <c r="O64" s="16" t="s">
        <v>379</v>
      </c>
      <c r="P64" s="14"/>
      <c r="Q64" s="18"/>
      <c r="R64" s="14"/>
      <c r="S64" s="19"/>
    </row>
    <row r="65" customFormat="false" ht="23.85" hidden="false" customHeight="false" outlineLevel="0" collapsed="false">
      <c r="A65" s="4" t="s">
        <v>400</v>
      </c>
      <c r="B65" s="4" t="s">
        <v>34</v>
      </c>
      <c r="C65" s="16" t="s">
        <v>374</v>
      </c>
      <c r="D65" s="20" t="s">
        <v>26</v>
      </c>
      <c r="E65" s="16" t="s">
        <v>401</v>
      </c>
      <c r="F65" s="16" t="s">
        <v>402</v>
      </c>
      <c r="G65" s="6" t="n">
        <v>46253</v>
      </c>
      <c r="H65" s="6" t="n">
        <v>46252</v>
      </c>
      <c r="I65" s="4"/>
      <c r="J65" s="16" t="s">
        <v>403</v>
      </c>
      <c r="K65" s="7" t="n">
        <v>11448.33</v>
      </c>
      <c r="L65" s="7" t="n">
        <v>11448.33</v>
      </c>
      <c r="M65" s="9" t="n">
        <f aca="false">N(K65)-N(L65)</f>
        <v>0</v>
      </c>
      <c r="N65" s="16" t="s">
        <v>404</v>
      </c>
      <c r="O65" s="16" t="s">
        <v>379</v>
      </c>
      <c r="P65" s="14"/>
      <c r="Q65" s="18"/>
      <c r="R65" s="14"/>
      <c r="S65" s="19"/>
    </row>
    <row r="66" customFormat="false" ht="23.85" hidden="false" customHeight="false" outlineLevel="0" collapsed="false">
      <c r="A66" s="4" t="s">
        <v>405</v>
      </c>
      <c r="B66" s="4" t="s">
        <v>28</v>
      </c>
      <c r="C66" s="16" t="s">
        <v>256</v>
      </c>
      <c r="D66" s="21" t="s">
        <v>27</v>
      </c>
      <c r="E66" s="16" t="s">
        <v>406</v>
      </c>
      <c r="F66" s="16"/>
      <c r="G66" s="6" t="n">
        <v>46219</v>
      </c>
      <c r="H66" s="6"/>
      <c r="I66" s="4"/>
      <c r="J66" s="16" t="s">
        <v>407</v>
      </c>
      <c r="K66" s="7" t="n">
        <v>-850.31</v>
      </c>
      <c r="L66" s="7"/>
      <c r="M66" s="9" t="n">
        <f aca="false">N(K66)-N(L66)</f>
        <v>-850.31</v>
      </c>
      <c r="N66" s="16" t="s">
        <v>408</v>
      </c>
      <c r="O66" s="16" t="s">
        <v>260</v>
      </c>
      <c r="P66" s="14"/>
      <c r="Q66" s="18"/>
      <c r="R66" s="14"/>
      <c r="S66" s="19"/>
    </row>
    <row r="67" customFormat="false" ht="23.85" hidden="false" customHeight="false" outlineLevel="0" collapsed="false">
      <c r="A67" s="4" t="s">
        <v>409</v>
      </c>
      <c r="B67" s="4" t="s">
        <v>28</v>
      </c>
      <c r="C67" s="16" t="s">
        <v>256</v>
      </c>
      <c r="D67" s="21" t="s">
        <v>27</v>
      </c>
      <c r="E67" s="16" t="s">
        <v>410</v>
      </c>
      <c r="F67" s="16"/>
      <c r="G67" s="6" t="n">
        <v>46295</v>
      </c>
      <c r="H67" s="6"/>
      <c r="I67" s="4"/>
      <c r="J67" s="16" t="s">
        <v>411</v>
      </c>
      <c r="K67" s="7" t="n">
        <v>-792.42</v>
      </c>
      <c r="L67" s="7"/>
      <c r="M67" s="9" t="n">
        <f aca="false">N(K67)-N(L67)</f>
        <v>-792.42</v>
      </c>
      <c r="N67" s="16" t="s">
        <v>412</v>
      </c>
      <c r="O67" s="16" t="s">
        <v>260</v>
      </c>
      <c r="P67" s="14"/>
      <c r="Q67" s="18"/>
      <c r="R67" s="14"/>
      <c r="S67" s="19"/>
    </row>
    <row r="68" customFormat="false" ht="23.85" hidden="false" customHeight="false" outlineLevel="0" collapsed="false">
      <c r="A68" s="4" t="s">
        <v>413</v>
      </c>
      <c r="B68" s="4" t="s">
        <v>28</v>
      </c>
      <c r="C68" s="16" t="s">
        <v>256</v>
      </c>
      <c r="D68" s="21" t="s">
        <v>27</v>
      </c>
      <c r="E68" s="16" t="s">
        <v>414</v>
      </c>
      <c r="F68" s="16"/>
      <c r="G68" s="6" t="n">
        <v>46234</v>
      </c>
      <c r="H68" s="6"/>
      <c r="I68" s="4"/>
      <c r="J68" s="16" t="s">
        <v>415</v>
      </c>
      <c r="K68" s="7" t="n">
        <v>-541.29</v>
      </c>
      <c r="L68" s="7"/>
      <c r="M68" s="9" t="n">
        <f aca="false">N(K68)-N(L68)</f>
        <v>-541.29</v>
      </c>
      <c r="N68" s="16" t="s">
        <v>416</v>
      </c>
      <c r="O68" s="16" t="s">
        <v>260</v>
      </c>
      <c r="P68" s="14"/>
      <c r="Q68" s="18"/>
      <c r="R68" s="14"/>
      <c r="S68" s="19"/>
    </row>
    <row r="69" customFormat="false" ht="23.85" hidden="false" customHeight="false" outlineLevel="0" collapsed="false">
      <c r="A69" s="4" t="s">
        <v>417</v>
      </c>
      <c r="B69" s="4" t="s">
        <v>28</v>
      </c>
      <c r="C69" s="16" t="s">
        <v>256</v>
      </c>
      <c r="D69" s="21" t="s">
        <v>27</v>
      </c>
      <c r="E69" s="16" t="s">
        <v>418</v>
      </c>
      <c r="F69" s="16"/>
      <c r="G69" s="6" t="n">
        <v>46265</v>
      </c>
      <c r="H69" s="6"/>
      <c r="I69" s="4"/>
      <c r="J69" s="16" t="s">
        <v>419</v>
      </c>
      <c r="K69" s="7" t="n">
        <v>-368.51</v>
      </c>
      <c r="L69" s="7"/>
      <c r="M69" s="9" t="n">
        <f aca="false">N(K69)-N(L69)</f>
        <v>-368.51</v>
      </c>
      <c r="N69" s="16" t="s">
        <v>420</v>
      </c>
      <c r="O69" s="16" t="s">
        <v>260</v>
      </c>
      <c r="P69" s="14"/>
      <c r="Q69" s="18"/>
      <c r="R69" s="14"/>
      <c r="S69" s="19"/>
    </row>
    <row r="70" customFormat="false" ht="23.85" hidden="false" customHeight="false" outlineLevel="0" collapsed="false">
      <c r="A70" s="4" t="s">
        <v>421</v>
      </c>
      <c r="B70" s="4" t="s">
        <v>28</v>
      </c>
      <c r="C70" s="16" t="s">
        <v>256</v>
      </c>
      <c r="D70" s="21" t="s">
        <v>27</v>
      </c>
      <c r="E70" s="16" t="s">
        <v>422</v>
      </c>
      <c r="F70" s="16"/>
      <c r="G70" s="6" t="n">
        <v>46234</v>
      </c>
      <c r="H70" s="6"/>
      <c r="I70" s="4"/>
      <c r="J70" s="16" t="s">
        <v>407</v>
      </c>
      <c r="K70" s="7" t="n">
        <v>-349.94</v>
      </c>
      <c r="L70" s="7"/>
      <c r="M70" s="9" t="n">
        <f aca="false">N(K70)-N(L70)</f>
        <v>-349.94</v>
      </c>
      <c r="N70" s="16" t="s">
        <v>423</v>
      </c>
      <c r="O70" s="16" t="s">
        <v>260</v>
      </c>
      <c r="P70" s="14"/>
      <c r="Q70" s="18"/>
      <c r="R70" s="14"/>
      <c r="S70" s="19"/>
    </row>
    <row r="71" customFormat="false" ht="23.85" hidden="false" customHeight="false" outlineLevel="0" collapsed="false">
      <c r="A71" s="4" t="s">
        <v>424</v>
      </c>
      <c r="B71" s="4" t="s">
        <v>28</v>
      </c>
      <c r="C71" s="16" t="s">
        <v>256</v>
      </c>
      <c r="D71" s="21" t="s">
        <v>27</v>
      </c>
      <c r="E71" s="16" t="s">
        <v>425</v>
      </c>
      <c r="F71" s="16"/>
      <c r="G71" s="6" t="n">
        <v>46249</v>
      </c>
      <c r="H71" s="6"/>
      <c r="I71" s="4"/>
      <c r="J71" s="16" t="s">
        <v>419</v>
      </c>
      <c r="K71" s="7" t="n">
        <v>-331.89</v>
      </c>
      <c r="L71" s="7"/>
      <c r="M71" s="9" t="n">
        <f aca="false">N(K71)-N(L71)</f>
        <v>-331.89</v>
      </c>
      <c r="N71" s="16" t="s">
        <v>426</v>
      </c>
      <c r="O71" s="16" t="s">
        <v>260</v>
      </c>
      <c r="P71" s="14"/>
      <c r="Q71" s="18"/>
      <c r="R71" s="14"/>
      <c r="S71" s="19"/>
    </row>
    <row r="72" customFormat="false" ht="23.85" hidden="false" customHeight="false" outlineLevel="0" collapsed="false">
      <c r="A72" s="4" t="s">
        <v>427</v>
      </c>
      <c r="B72" s="4" t="s">
        <v>28</v>
      </c>
      <c r="C72" s="16" t="s">
        <v>256</v>
      </c>
      <c r="D72" s="21" t="s">
        <v>27</v>
      </c>
      <c r="E72" s="16" t="s">
        <v>428</v>
      </c>
      <c r="F72" s="16"/>
      <c r="G72" s="6" t="n">
        <v>46295</v>
      </c>
      <c r="H72" s="6"/>
      <c r="I72" s="4"/>
      <c r="J72" s="16" t="s">
        <v>429</v>
      </c>
      <c r="K72" s="7" t="n">
        <v>-194.24</v>
      </c>
      <c r="L72" s="7"/>
      <c r="M72" s="9" t="n">
        <f aca="false">N(K72)-N(L72)</f>
        <v>-194.24</v>
      </c>
      <c r="N72" s="16" t="s">
        <v>430</v>
      </c>
      <c r="O72" s="16" t="s">
        <v>260</v>
      </c>
      <c r="P72" s="14"/>
      <c r="Q72" s="18"/>
      <c r="R72" s="14"/>
      <c r="S72" s="19"/>
    </row>
    <row r="73" customFormat="false" ht="23.85" hidden="false" customHeight="false" outlineLevel="0" collapsed="false">
      <c r="A73" s="4" t="s">
        <v>431</v>
      </c>
      <c r="B73" s="4" t="s">
        <v>28</v>
      </c>
      <c r="C73" s="16" t="s">
        <v>256</v>
      </c>
      <c r="D73" s="21" t="s">
        <v>27</v>
      </c>
      <c r="E73" s="16" t="s">
        <v>432</v>
      </c>
      <c r="F73" s="16"/>
      <c r="G73" s="6" t="n">
        <v>46295</v>
      </c>
      <c r="H73" s="6"/>
      <c r="I73" s="4"/>
      <c r="J73" s="16" t="s">
        <v>411</v>
      </c>
      <c r="K73" s="7" t="n">
        <v>-189.3</v>
      </c>
      <c r="L73" s="7"/>
      <c r="M73" s="9" t="n">
        <f aca="false">N(K73)-N(L73)</f>
        <v>-189.3</v>
      </c>
      <c r="N73" s="16" t="s">
        <v>433</v>
      </c>
      <c r="O73" s="16" t="s">
        <v>260</v>
      </c>
      <c r="P73" s="14"/>
      <c r="Q73" s="18"/>
      <c r="R73" s="14"/>
      <c r="S73" s="19"/>
    </row>
    <row r="74" customFormat="false" ht="35.05" hidden="false" customHeight="false" outlineLevel="0" collapsed="false">
      <c r="A74" s="4" t="s">
        <v>434</v>
      </c>
      <c r="B74" s="4" t="s">
        <v>32</v>
      </c>
      <c r="C74" s="16" t="s">
        <v>435</v>
      </c>
      <c r="D74" s="21" t="s">
        <v>27</v>
      </c>
      <c r="E74" s="16" t="s">
        <v>436</v>
      </c>
      <c r="F74" s="16" t="s">
        <v>437</v>
      </c>
      <c r="G74" s="6" t="n">
        <v>46207</v>
      </c>
      <c r="H74" s="6" t="n">
        <v>46206</v>
      </c>
      <c r="I74" s="4" t="s">
        <v>438</v>
      </c>
      <c r="J74" s="16" t="s">
        <v>439</v>
      </c>
      <c r="K74" s="7" t="n">
        <v>41606.63</v>
      </c>
      <c r="L74" s="7" t="n">
        <v>41743.69</v>
      </c>
      <c r="M74" s="9" t="n">
        <f aca="false">N(K74)-N(L74)</f>
        <v>-137.060000000005</v>
      </c>
      <c r="N74" s="16" t="s">
        <v>440</v>
      </c>
      <c r="O74" s="16" t="s">
        <v>441</v>
      </c>
      <c r="P74" s="14"/>
      <c r="Q74" s="18"/>
      <c r="R74" s="14"/>
      <c r="S74" s="19"/>
    </row>
    <row r="75" customFormat="false" ht="35.05" hidden="false" customHeight="false" outlineLevel="0" collapsed="false">
      <c r="A75" s="4" t="s">
        <v>442</v>
      </c>
      <c r="B75" s="4" t="s">
        <v>32</v>
      </c>
      <c r="C75" s="16" t="s">
        <v>435</v>
      </c>
      <c r="D75" s="21" t="s">
        <v>27</v>
      </c>
      <c r="E75" s="16" t="s">
        <v>443</v>
      </c>
      <c r="F75" s="16" t="s">
        <v>444</v>
      </c>
      <c r="G75" s="6" t="n">
        <v>46280</v>
      </c>
      <c r="H75" s="6" t="n">
        <v>46280</v>
      </c>
      <c r="I75" s="4" t="s">
        <v>445</v>
      </c>
      <c r="J75" s="16" t="s">
        <v>446</v>
      </c>
      <c r="K75" s="7" t="n">
        <v>69690.98</v>
      </c>
      <c r="L75" s="7" t="n">
        <v>69799.41</v>
      </c>
      <c r="M75" s="9" t="n">
        <f aca="false">N(K75)-N(L75)</f>
        <v>-108.430000000008</v>
      </c>
      <c r="N75" s="16" t="s">
        <v>447</v>
      </c>
      <c r="O75" s="16" t="s">
        <v>441</v>
      </c>
      <c r="P75" s="14"/>
      <c r="Q75" s="18"/>
      <c r="R75" s="14"/>
      <c r="S75" s="19"/>
    </row>
    <row r="76" customFormat="false" ht="35.05" hidden="false" customHeight="false" outlineLevel="0" collapsed="false">
      <c r="A76" s="4" t="s">
        <v>448</v>
      </c>
      <c r="B76" s="4" t="s">
        <v>32</v>
      </c>
      <c r="C76" s="16" t="s">
        <v>435</v>
      </c>
      <c r="D76" s="21" t="s">
        <v>27</v>
      </c>
      <c r="E76" s="16" t="s">
        <v>449</v>
      </c>
      <c r="F76" s="16" t="s">
        <v>450</v>
      </c>
      <c r="G76" s="6" t="n">
        <v>46272</v>
      </c>
      <c r="H76" s="6" t="n">
        <v>46271</v>
      </c>
      <c r="I76" s="4" t="s">
        <v>451</v>
      </c>
      <c r="J76" s="16" t="s">
        <v>452</v>
      </c>
      <c r="K76" s="7" t="n">
        <v>79611.11</v>
      </c>
      <c r="L76" s="7" t="n">
        <v>79709.64</v>
      </c>
      <c r="M76" s="9" t="n">
        <f aca="false">N(K76)-N(L76)</f>
        <v>-98.5299999999988</v>
      </c>
      <c r="N76" s="16" t="s">
        <v>453</v>
      </c>
      <c r="O76" s="16" t="s">
        <v>441</v>
      </c>
      <c r="P76" s="14"/>
      <c r="Q76" s="18"/>
      <c r="R76" s="14"/>
      <c r="S76" s="19"/>
    </row>
    <row r="77" customFormat="false" ht="35.05" hidden="false" customHeight="false" outlineLevel="0" collapsed="false">
      <c r="A77" s="4" t="s">
        <v>454</v>
      </c>
      <c r="B77" s="4" t="s">
        <v>32</v>
      </c>
      <c r="C77" s="16" t="s">
        <v>435</v>
      </c>
      <c r="D77" s="21" t="s">
        <v>27</v>
      </c>
      <c r="E77" s="16" t="s">
        <v>455</v>
      </c>
      <c r="F77" s="16" t="s">
        <v>456</v>
      </c>
      <c r="G77" s="6" t="n">
        <v>46260</v>
      </c>
      <c r="H77" s="6" t="n">
        <v>46259</v>
      </c>
      <c r="I77" s="4" t="s">
        <v>457</v>
      </c>
      <c r="J77" s="16" t="s">
        <v>458</v>
      </c>
      <c r="K77" s="7" t="n">
        <v>59552.65</v>
      </c>
      <c r="L77" s="7" t="n">
        <v>59617.96</v>
      </c>
      <c r="M77" s="9" t="n">
        <f aca="false">N(K77)-N(L77)</f>
        <v>-65.3099999999977</v>
      </c>
      <c r="N77" s="16" t="s">
        <v>459</v>
      </c>
      <c r="O77" s="16" t="s">
        <v>441</v>
      </c>
      <c r="P77" s="14"/>
      <c r="Q77" s="18"/>
      <c r="R77" s="14"/>
      <c r="S77" s="19"/>
    </row>
    <row r="78" customFormat="false" ht="35.05" hidden="false" customHeight="false" outlineLevel="0" collapsed="false">
      <c r="A78" s="4" t="s">
        <v>460</v>
      </c>
      <c r="B78" s="4" t="s">
        <v>32</v>
      </c>
      <c r="C78" s="16" t="s">
        <v>435</v>
      </c>
      <c r="D78" s="21" t="s">
        <v>27</v>
      </c>
      <c r="E78" s="16" t="s">
        <v>461</v>
      </c>
      <c r="F78" s="16" t="s">
        <v>462</v>
      </c>
      <c r="G78" s="6" t="n">
        <v>46264</v>
      </c>
      <c r="H78" s="6" t="n">
        <v>46264</v>
      </c>
      <c r="I78" s="4" t="s">
        <v>463</v>
      </c>
      <c r="J78" s="16" t="s">
        <v>464</v>
      </c>
      <c r="K78" s="7" t="n">
        <v>20044.73</v>
      </c>
      <c r="L78" s="7" t="n">
        <v>20099.37</v>
      </c>
      <c r="M78" s="9" t="n">
        <f aca="false">N(K78)-N(L78)</f>
        <v>-54.6399999999994</v>
      </c>
      <c r="N78" s="16" t="s">
        <v>465</v>
      </c>
      <c r="O78" s="16" t="s">
        <v>441</v>
      </c>
      <c r="P78" s="14"/>
      <c r="Q78" s="18"/>
      <c r="R78" s="14"/>
      <c r="S78" s="19"/>
    </row>
    <row r="79" customFormat="false" ht="35.05" hidden="false" customHeight="false" outlineLevel="0" collapsed="false">
      <c r="A79" s="4" t="s">
        <v>466</v>
      </c>
      <c r="B79" s="4" t="s">
        <v>32</v>
      </c>
      <c r="C79" s="16" t="s">
        <v>435</v>
      </c>
      <c r="D79" s="21" t="s">
        <v>27</v>
      </c>
      <c r="E79" s="16" t="s">
        <v>467</v>
      </c>
      <c r="F79" s="16" t="s">
        <v>468</v>
      </c>
      <c r="G79" s="6" t="n">
        <v>46216</v>
      </c>
      <c r="H79" s="6" t="n">
        <v>46215</v>
      </c>
      <c r="I79" s="4" t="s">
        <v>469</v>
      </c>
      <c r="J79" s="16" t="s">
        <v>470</v>
      </c>
      <c r="K79" s="7" t="n">
        <v>71661.98</v>
      </c>
      <c r="L79" s="7" t="n">
        <v>71704.47</v>
      </c>
      <c r="M79" s="9" t="n">
        <f aca="false">N(K79)-N(L79)</f>
        <v>-42.4900000000052</v>
      </c>
      <c r="N79" s="16" t="s">
        <v>471</v>
      </c>
      <c r="O79" s="16" t="s">
        <v>441</v>
      </c>
      <c r="P79" s="14"/>
      <c r="Q79" s="18"/>
      <c r="R79" s="14"/>
      <c r="S79" s="19"/>
    </row>
    <row r="80" customFormat="false" ht="35.05" hidden="false" customHeight="false" outlineLevel="0" collapsed="false">
      <c r="A80" s="4" t="s">
        <v>472</v>
      </c>
      <c r="B80" s="4" t="s">
        <v>32</v>
      </c>
      <c r="C80" s="16" t="s">
        <v>435</v>
      </c>
      <c r="D80" s="21" t="s">
        <v>27</v>
      </c>
      <c r="E80" s="16" t="s">
        <v>473</v>
      </c>
      <c r="F80" s="16" t="s">
        <v>474</v>
      </c>
      <c r="G80" s="6" t="n">
        <v>46215</v>
      </c>
      <c r="H80" s="6" t="n">
        <v>46215</v>
      </c>
      <c r="I80" s="4" t="s">
        <v>475</v>
      </c>
      <c r="J80" s="16" t="s">
        <v>476</v>
      </c>
      <c r="K80" s="7" t="n">
        <v>45886.89</v>
      </c>
      <c r="L80" s="7" t="n">
        <v>45928.97</v>
      </c>
      <c r="M80" s="9" t="n">
        <f aca="false">N(K80)-N(L80)</f>
        <v>-42.0800000000017</v>
      </c>
      <c r="N80" s="16" t="s">
        <v>477</v>
      </c>
      <c r="O80" s="16" t="s">
        <v>441</v>
      </c>
      <c r="P80" s="14"/>
      <c r="Q80" s="18"/>
      <c r="R80" s="14"/>
      <c r="S80" s="19"/>
    </row>
    <row r="81" customFormat="false" ht="35.05" hidden="false" customHeight="false" outlineLevel="0" collapsed="false">
      <c r="A81" s="4" t="s">
        <v>478</v>
      </c>
      <c r="B81" s="4" t="s">
        <v>32</v>
      </c>
      <c r="C81" s="16" t="s">
        <v>435</v>
      </c>
      <c r="D81" s="21" t="s">
        <v>27</v>
      </c>
      <c r="E81" s="16" t="s">
        <v>479</v>
      </c>
      <c r="F81" s="16" t="s">
        <v>480</v>
      </c>
      <c r="G81" s="6" t="n">
        <v>46249</v>
      </c>
      <c r="H81" s="6" t="n">
        <v>46249</v>
      </c>
      <c r="I81" s="4" t="s">
        <v>481</v>
      </c>
      <c r="J81" s="16" t="s">
        <v>482</v>
      </c>
      <c r="K81" s="7" t="n">
        <v>13548.95</v>
      </c>
      <c r="L81" s="7" t="n">
        <v>13577.96</v>
      </c>
      <c r="M81" s="9" t="n">
        <f aca="false">N(K81)-N(L81)</f>
        <v>-29.0099999999984</v>
      </c>
      <c r="N81" s="16" t="s">
        <v>483</v>
      </c>
      <c r="O81" s="16" t="s">
        <v>441</v>
      </c>
      <c r="P81" s="14"/>
      <c r="Q81" s="18"/>
      <c r="R81" s="14"/>
      <c r="S81" s="19"/>
    </row>
    <row r="82" customFormat="false" ht="23.85" hidden="false" customHeight="false" outlineLevel="0" collapsed="false">
      <c r="A82" s="4" t="s">
        <v>484</v>
      </c>
      <c r="B82" s="4" t="s">
        <v>32</v>
      </c>
      <c r="C82" s="16" t="s">
        <v>485</v>
      </c>
      <c r="D82" s="21" t="s">
        <v>27</v>
      </c>
      <c r="E82" s="16" t="s">
        <v>486</v>
      </c>
      <c r="F82" s="16" t="s">
        <v>487</v>
      </c>
      <c r="G82" s="6" t="n">
        <v>46250</v>
      </c>
      <c r="H82" s="6" t="n">
        <v>46248</v>
      </c>
      <c r="I82" s="4" t="s">
        <v>488</v>
      </c>
      <c r="J82" s="16" t="s">
        <v>489</v>
      </c>
      <c r="K82" s="7" t="n">
        <v>38725.93</v>
      </c>
      <c r="L82" s="7" t="n">
        <v>38726.83</v>
      </c>
      <c r="M82" s="9" t="n">
        <f aca="false">N(K82)-N(L82)</f>
        <v>-0.900000000001455</v>
      </c>
      <c r="N82" s="16" t="s">
        <v>490</v>
      </c>
      <c r="O82" s="16" t="s">
        <v>491</v>
      </c>
      <c r="P82" s="14"/>
      <c r="Q82" s="18"/>
      <c r="R82" s="14"/>
      <c r="S82" s="19"/>
    </row>
    <row r="83" customFormat="false" ht="23.85" hidden="false" customHeight="false" outlineLevel="0" collapsed="false">
      <c r="A83" s="4" t="s">
        <v>492</v>
      </c>
      <c r="B83" s="4" t="s">
        <v>32</v>
      </c>
      <c r="C83" s="16" t="s">
        <v>485</v>
      </c>
      <c r="D83" s="21" t="s">
        <v>27</v>
      </c>
      <c r="E83" s="16" t="s">
        <v>493</v>
      </c>
      <c r="F83" s="16" t="s">
        <v>494</v>
      </c>
      <c r="G83" s="6" t="n">
        <v>46242</v>
      </c>
      <c r="H83" s="6" t="n">
        <v>46242</v>
      </c>
      <c r="I83" s="4" t="s">
        <v>495</v>
      </c>
      <c r="J83" s="16" t="s">
        <v>496</v>
      </c>
      <c r="K83" s="7" t="n">
        <v>23572.15</v>
      </c>
      <c r="L83" s="7" t="n">
        <v>23572.72</v>
      </c>
      <c r="M83" s="9" t="n">
        <f aca="false">N(K83)-N(L83)</f>
        <v>-0.569999999999709</v>
      </c>
      <c r="N83" s="16" t="s">
        <v>497</v>
      </c>
      <c r="O83" s="16" t="s">
        <v>491</v>
      </c>
      <c r="P83" s="14"/>
      <c r="Q83" s="18"/>
      <c r="R83" s="14"/>
      <c r="S83" s="19"/>
    </row>
    <row r="84" customFormat="false" ht="23.85" hidden="false" customHeight="false" outlineLevel="0" collapsed="false">
      <c r="A84" s="4" t="s">
        <v>498</v>
      </c>
      <c r="B84" s="4" t="s">
        <v>32</v>
      </c>
      <c r="C84" s="16" t="s">
        <v>485</v>
      </c>
      <c r="D84" s="21" t="s">
        <v>27</v>
      </c>
      <c r="E84" s="16" t="s">
        <v>499</v>
      </c>
      <c r="F84" s="16" t="s">
        <v>500</v>
      </c>
      <c r="G84" s="6" t="n">
        <v>46227</v>
      </c>
      <c r="H84" s="6" t="n">
        <v>46226</v>
      </c>
      <c r="I84" s="4" t="s">
        <v>501</v>
      </c>
      <c r="J84" s="16" t="s">
        <v>502</v>
      </c>
      <c r="K84" s="7" t="n">
        <v>12701.31</v>
      </c>
      <c r="L84" s="7" t="n">
        <v>12700.94</v>
      </c>
      <c r="M84" s="9" t="n">
        <f aca="false">N(K84)-N(L84)</f>
        <v>0.369999999998981</v>
      </c>
      <c r="N84" s="16" t="s">
        <v>503</v>
      </c>
      <c r="O84" s="16" t="s">
        <v>491</v>
      </c>
      <c r="P84" s="14"/>
      <c r="Q84" s="18"/>
      <c r="R84" s="14"/>
      <c r="S84" s="19"/>
    </row>
    <row r="85" customFormat="false" ht="23.85" hidden="false" customHeight="false" outlineLevel="0" collapsed="false">
      <c r="A85" s="4" t="s">
        <v>504</v>
      </c>
      <c r="B85" s="4" t="s">
        <v>32</v>
      </c>
      <c r="C85" s="16" t="s">
        <v>485</v>
      </c>
      <c r="D85" s="21" t="s">
        <v>27</v>
      </c>
      <c r="E85" s="16" t="s">
        <v>505</v>
      </c>
      <c r="F85" s="16" t="s">
        <v>506</v>
      </c>
      <c r="G85" s="6" t="n">
        <v>46251</v>
      </c>
      <c r="H85" s="6" t="n">
        <v>46250</v>
      </c>
      <c r="I85" s="4" t="s">
        <v>507</v>
      </c>
      <c r="J85" s="16" t="s">
        <v>508</v>
      </c>
      <c r="K85" s="7" t="n">
        <v>10648.31</v>
      </c>
      <c r="L85" s="7" t="n">
        <v>10648.46</v>
      </c>
      <c r="M85" s="9" t="n">
        <f aca="false">N(K85)-N(L85)</f>
        <v>-0.149999999999636</v>
      </c>
      <c r="N85" s="16" t="s">
        <v>509</v>
      </c>
      <c r="O85" s="16" t="s">
        <v>491</v>
      </c>
      <c r="P85" s="14"/>
      <c r="Q85" s="18"/>
      <c r="R85" s="14"/>
      <c r="S85" s="19"/>
    </row>
    <row r="86" customFormat="false" ht="23.85" hidden="false" customHeight="false" outlineLevel="0" collapsed="false">
      <c r="A86" s="4" t="s">
        <v>510</v>
      </c>
      <c r="B86" s="4" t="s">
        <v>32</v>
      </c>
      <c r="C86" s="16" t="s">
        <v>485</v>
      </c>
      <c r="D86" s="21" t="s">
        <v>27</v>
      </c>
      <c r="E86" s="16" t="s">
        <v>511</v>
      </c>
      <c r="F86" s="16" t="s">
        <v>512</v>
      </c>
      <c r="G86" s="6" t="n">
        <v>46277</v>
      </c>
      <c r="H86" s="6" t="n">
        <v>46275</v>
      </c>
      <c r="I86" s="4" t="s">
        <v>513</v>
      </c>
      <c r="J86" s="16" t="s">
        <v>514</v>
      </c>
      <c r="K86" s="7" t="n">
        <v>32551.52</v>
      </c>
      <c r="L86" s="7" t="n">
        <v>32551.38</v>
      </c>
      <c r="M86" s="9" t="n">
        <f aca="false">N(K86)-N(L86)</f>
        <v>0.139999999999418</v>
      </c>
      <c r="N86" s="16" t="s">
        <v>515</v>
      </c>
      <c r="O86" s="16" t="s">
        <v>491</v>
      </c>
      <c r="P86" s="14"/>
      <c r="Q86" s="18"/>
      <c r="R86" s="14"/>
      <c r="S86" s="19"/>
    </row>
    <row r="87" customFormat="false" ht="23.85" hidden="false" customHeight="false" outlineLevel="0" collapsed="false">
      <c r="A87" s="4" t="s">
        <v>516</v>
      </c>
      <c r="B87" s="4" t="s">
        <v>33</v>
      </c>
      <c r="C87" s="16" t="s">
        <v>357</v>
      </c>
      <c r="D87" s="21" t="s">
        <v>27</v>
      </c>
      <c r="E87" s="16" t="s">
        <v>517</v>
      </c>
      <c r="F87" s="16" t="s">
        <v>518</v>
      </c>
      <c r="G87" s="6" t="n">
        <v>46272</v>
      </c>
      <c r="H87" s="6" t="n">
        <v>46271</v>
      </c>
      <c r="I87" s="4"/>
      <c r="J87" s="16" t="s">
        <v>519</v>
      </c>
      <c r="K87" s="7" t="n">
        <v>-439.6</v>
      </c>
      <c r="L87" s="7" t="n">
        <v>-439.6</v>
      </c>
      <c r="M87" s="9" t="n">
        <f aca="false">N(K87)-N(L87)</f>
        <v>0</v>
      </c>
      <c r="N87" s="16" t="s">
        <v>520</v>
      </c>
      <c r="O87" s="16" t="s">
        <v>362</v>
      </c>
      <c r="P87" s="14"/>
      <c r="Q87" s="18"/>
      <c r="R87" s="14"/>
      <c r="S87" s="19"/>
    </row>
    <row r="88" customFormat="false" ht="23.85" hidden="false" customHeight="false" outlineLevel="0" collapsed="false">
      <c r="A88" s="4" t="s">
        <v>521</v>
      </c>
      <c r="B88" s="4" t="s">
        <v>33</v>
      </c>
      <c r="C88" s="16" t="s">
        <v>357</v>
      </c>
      <c r="D88" s="21" t="s">
        <v>27</v>
      </c>
      <c r="E88" s="16" t="s">
        <v>522</v>
      </c>
      <c r="F88" s="16" t="s">
        <v>523</v>
      </c>
      <c r="G88" s="6" t="n">
        <v>46284</v>
      </c>
      <c r="H88" s="6" t="n">
        <v>46284</v>
      </c>
      <c r="I88" s="4"/>
      <c r="J88" s="16" t="s">
        <v>524</v>
      </c>
      <c r="K88" s="7" t="n">
        <v>-531.77</v>
      </c>
      <c r="L88" s="7" t="n">
        <v>-531.77</v>
      </c>
      <c r="M88" s="9" t="n">
        <f aca="false">N(K88)-N(L88)</f>
        <v>0</v>
      </c>
      <c r="N88" s="16" t="s">
        <v>525</v>
      </c>
      <c r="O88" s="16" t="s">
        <v>362</v>
      </c>
      <c r="P88" s="14"/>
      <c r="Q88" s="18"/>
      <c r="R88" s="14"/>
      <c r="S88" s="19"/>
    </row>
  </sheetData>
  <autoFilter ref="A4:S88"/>
  <dataValidations count="1">
    <dataValidation allowBlank="true" error="Pick a disposition from the list." errorStyle="stop" errorTitle="Invalid disposition" operator="between" showDropDown="false" showErrorMessage="false" showInputMessage="false" sqref="P5:P88" type="list">
      <formula1>"Accepted - no action,Adjusting entry required,Investigate with bank,Reverse duplicate entry,Write-off approved"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8" min="6" style="0" width="12"/>
    <col collapsed="false" customWidth="true" hidden="false" outlineLevel="0" max="10" min="9" style="0" width="14"/>
    <col collapsed="false" customWidth="true" hidden="false" outlineLevel="0" max="11" min="11" style="0" width="13"/>
    <col collapsed="false" customWidth="true" hidden="false" outlineLevel="0" max="13" min="12" style="0" width="38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5" t="s">
        <v>526</v>
      </c>
    </row>
    <row r="2" customFormat="false" ht="15" hidden="false" customHeight="false" outlineLevel="0" collapsed="false">
      <c r="A2" s="2" t="s">
        <v>527</v>
      </c>
    </row>
    <row r="4" customFormat="false" ht="31.5" hidden="false" customHeight="true" outlineLevel="0" collapsed="false">
      <c r="A4" s="11" t="s">
        <v>528</v>
      </c>
      <c r="B4" s="11" t="s">
        <v>529</v>
      </c>
      <c r="C4" s="11" t="s">
        <v>530</v>
      </c>
      <c r="D4" s="11" t="s">
        <v>531</v>
      </c>
      <c r="E4" s="11" t="s">
        <v>532</v>
      </c>
      <c r="F4" s="11" t="s">
        <v>67</v>
      </c>
      <c r="G4" s="11" t="s">
        <v>68</v>
      </c>
      <c r="H4" s="11" t="s">
        <v>533</v>
      </c>
      <c r="I4" s="11" t="s">
        <v>71</v>
      </c>
      <c r="J4" s="11" t="s">
        <v>72</v>
      </c>
      <c r="K4" s="11" t="s">
        <v>534</v>
      </c>
      <c r="L4" s="11" t="s">
        <v>535</v>
      </c>
      <c r="M4" s="11" t="s">
        <v>536</v>
      </c>
      <c r="N4" s="11" t="s">
        <v>537</v>
      </c>
    </row>
    <row r="5" customFormat="false" ht="15" hidden="false" customHeight="false" outlineLevel="0" collapsed="false">
      <c r="A5" s="4" t="s">
        <v>538</v>
      </c>
      <c r="B5" s="4" t="s">
        <v>539</v>
      </c>
      <c r="C5" s="22" t="n">
        <v>1</v>
      </c>
      <c r="D5" s="16" t="s">
        <v>540</v>
      </c>
      <c r="E5" s="16" t="s">
        <v>541</v>
      </c>
      <c r="F5" s="6" t="n">
        <v>46204</v>
      </c>
      <c r="G5" s="6" t="n">
        <v>46204</v>
      </c>
      <c r="H5" s="23" t="n">
        <f aca="false">ABS(F5-G5)</f>
        <v>0</v>
      </c>
      <c r="I5" s="7" t="n">
        <v>74471.27</v>
      </c>
      <c r="J5" s="7" t="n">
        <v>74471.27</v>
      </c>
      <c r="K5" s="7" t="n">
        <f aca="false">I5-J5</f>
        <v>0</v>
      </c>
      <c r="L5" s="4" t="s">
        <v>542</v>
      </c>
      <c r="M5" s="4" t="s">
        <v>543</v>
      </c>
      <c r="N5" s="4"/>
    </row>
    <row r="6" customFormat="false" ht="15" hidden="false" customHeight="false" outlineLevel="0" collapsed="false">
      <c r="A6" s="4" t="s">
        <v>544</v>
      </c>
      <c r="B6" s="4" t="s">
        <v>539</v>
      </c>
      <c r="C6" s="22" t="n">
        <v>1</v>
      </c>
      <c r="D6" s="16" t="s">
        <v>545</v>
      </c>
      <c r="E6" s="16" t="s">
        <v>546</v>
      </c>
      <c r="F6" s="6" t="n">
        <v>46204</v>
      </c>
      <c r="G6" s="6" t="n">
        <v>46204</v>
      </c>
      <c r="H6" s="23" t="n">
        <f aca="false">ABS(F6-G6)</f>
        <v>0</v>
      </c>
      <c r="I6" s="7" t="n">
        <v>85406.51</v>
      </c>
      <c r="J6" s="7" t="n">
        <v>85406.51</v>
      </c>
      <c r="K6" s="7" t="n">
        <f aca="false">I6-J6</f>
        <v>0</v>
      </c>
      <c r="L6" s="4" t="s">
        <v>547</v>
      </c>
      <c r="M6" s="4" t="s">
        <v>548</v>
      </c>
      <c r="N6" s="4"/>
    </row>
    <row r="7" customFormat="false" ht="15" hidden="false" customHeight="false" outlineLevel="0" collapsed="false">
      <c r="A7" s="4" t="s">
        <v>549</v>
      </c>
      <c r="B7" s="4" t="s">
        <v>539</v>
      </c>
      <c r="C7" s="22" t="n">
        <v>1</v>
      </c>
      <c r="D7" s="16" t="s">
        <v>550</v>
      </c>
      <c r="E7" s="16" t="s">
        <v>551</v>
      </c>
      <c r="F7" s="6" t="n">
        <v>46204</v>
      </c>
      <c r="G7" s="6" t="n">
        <v>46204</v>
      </c>
      <c r="H7" s="23" t="n">
        <f aca="false">ABS(F7-G7)</f>
        <v>0</v>
      </c>
      <c r="I7" s="7" t="n">
        <v>25861.73</v>
      </c>
      <c r="J7" s="7" t="n">
        <v>25861.73</v>
      </c>
      <c r="K7" s="7" t="n">
        <f aca="false">I7-J7</f>
        <v>0</v>
      </c>
      <c r="L7" s="4" t="s">
        <v>552</v>
      </c>
      <c r="M7" s="4" t="s">
        <v>553</v>
      </c>
      <c r="N7" s="4"/>
    </row>
    <row r="8" customFormat="false" ht="15" hidden="false" customHeight="false" outlineLevel="0" collapsed="false">
      <c r="A8" s="4" t="s">
        <v>554</v>
      </c>
      <c r="B8" s="4" t="s">
        <v>539</v>
      </c>
      <c r="C8" s="22" t="n">
        <v>1</v>
      </c>
      <c r="D8" s="16" t="s">
        <v>555</v>
      </c>
      <c r="E8" s="16" t="s">
        <v>556</v>
      </c>
      <c r="F8" s="6" t="n">
        <v>46204</v>
      </c>
      <c r="G8" s="6" t="n">
        <v>46204</v>
      </c>
      <c r="H8" s="23" t="n">
        <f aca="false">ABS(F8-G8)</f>
        <v>0</v>
      </c>
      <c r="I8" s="7" t="n">
        <v>80253.44</v>
      </c>
      <c r="J8" s="7" t="n">
        <v>80253.44</v>
      </c>
      <c r="K8" s="7" t="n">
        <f aca="false">I8-J8</f>
        <v>0</v>
      </c>
      <c r="L8" s="4" t="s">
        <v>557</v>
      </c>
      <c r="M8" s="4" t="s">
        <v>558</v>
      </c>
      <c r="N8" s="4"/>
    </row>
    <row r="9" customFormat="false" ht="15" hidden="false" customHeight="false" outlineLevel="0" collapsed="false">
      <c r="A9" s="4" t="s">
        <v>559</v>
      </c>
      <c r="B9" s="4" t="s">
        <v>539</v>
      </c>
      <c r="C9" s="22" t="n">
        <v>1</v>
      </c>
      <c r="D9" s="16" t="s">
        <v>560</v>
      </c>
      <c r="E9" s="16" t="s">
        <v>561</v>
      </c>
      <c r="F9" s="6" t="n">
        <v>46204</v>
      </c>
      <c r="G9" s="6" t="n">
        <v>46204</v>
      </c>
      <c r="H9" s="23" t="n">
        <f aca="false">ABS(F9-G9)</f>
        <v>0</v>
      </c>
      <c r="I9" s="7" t="n">
        <v>70918.12</v>
      </c>
      <c r="J9" s="7" t="n">
        <v>70918.12</v>
      </c>
      <c r="K9" s="7" t="n">
        <f aca="false">I9-J9</f>
        <v>0</v>
      </c>
      <c r="L9" s="4" t="s">
        <v>562</v>
      </c>
      <c r="M9" s="4" t="s">
        <v>563</v>
      </c>
      <c r="N9" s="4"/>
    </row>
    <row r="10" customFormat="false" ht="15" hidden="false" customHeight="false" outlineLevel="0" collapsed="false">
      <c r="A10" s="4" t="s">
        <v>564</v>
      </c>
      <c r="B10" s="4" t="s">
        <v>539</v>
      </c>
      <c r="C10" s="22" t="n">
        <v>1</v>
      </c>
      <c r="D10" s="16" t="s">
        <v>565</v>
      </c>
      <c r="E10" s="16" t="s">
        <v>566</v>
      </c>
      <c r="F10" s="6" t="n">
        <v>46204</v>
      </c>
      <c r="G10" s="6" t="n">
        <v>46204</v>
      </c>
      <c r="H10" s="23" t="n">
        <f aca="false">ABS(F10-G10)</f>
        <v>0</v>
      </c>
      <c r="I10" s="7" t="n">
        <v>58163.35</v>
      </c>
      <c r="J10" s="7" t="n">
        <v>58163.35</v>
      </c>
      <c r="K10" s="7" t="n">
        <f aca="false">I10-J10</f>
        <v>0</v>
      </c>
      <c r="L10" s="4" t="s">
        <v>567</v>
      </c>
      <c r="M10" s="4" t="s">
        <v>568</v>
      </c>
      <c r="N10" s="4"/>
    </row>
    <row r="11" customFormat="false" ht="15" hidden="false" customHeight="false" outlineLevel="0" collapsed="false">
      <c r="A11" s="4" t="s">
        <v>569</v>
      </c>
      <c r="B11" s="4" t="s">
        <v>539</v>
      </c>
      <c r="C11" s="22" t="n">
        <v>1</v>
      </c>
      <c r="D11" s="16" t="s">
        <v>570</v>
      </c>
      <c r="E11" s="16" t="s">
        <v>571</v>
      </c>
      <c r="F11" s="6" t="n">
        <v>46204</v>
      </c>
      <c r="G11" s="6" t="n">
        <v>46204</v>
      </c>
      <c r="H11" s="23" t="n">
        <f aca="false">ABS(F11-G11)</f>
        <v>0</v>
      </c>
      <c r="I11" s="7" t="n">
        <v>30637.39</v>
      </c>
      <c r="J11" s="7" t="n">
        <v>30637.39</v>
      </c>
      <c r="K11" s="7" t="n">
        <f aca="false">I11-J11</f>
        <v>0</v>
      </c>
      <c r="L11" s="4" t="s">
        <v>572</v>
      </c>
      <c r="M11" s="4" t="s">
        <v>573</v>
      </c>
      <c r="N11" s="4"/>
    </row>
    <row r="12" customFormat="false" ht="15" hidden="false" customHeight="false" outlineLevel="0" collapsed="false">
      <c r="A12" s="4" t="s">
        <v>574</v>
      </c>
      <c r="B12" s="4" t="s">
        <v>539</v>
      </c>
      <c r="C12" s="22" t="n">
        <v>1</v>
      </c>
      <c r="D12" s="16" t="s">
        <v>575</v>
      </c>
      <c r="E12" s="16" t="s">
        <v>576</v>
      </c>
      <c r="F12" s="6" t="n">
        <v>46204</v>
      </c>
      <c r="G12" s="6" t="n">
        <v>46204</v>
      </c>
      <c r="H12" s="23" t="n">
        <f aca="false">ABS(F12-G12)</f>
        <v>0</v>
      </c>
      <c r="I12" s="7" t="n">
        <v>16321.38</v>
      </c>
      <c r="J12" s="7" t="n">
        <v>16321.38</v>
      </c>
      <c r="K12" s="7" t="n">
        <f aca="false">I12-J12</f>
        <v>0</v>
      </c>
      <c r="L12" s="4" t="s">
        <v>577</v>
      </c>
      <c r="M12" s="4" t="s">
        <v>578</v>
      </c>
      <c r="N12" s="4"/>
    </row>
    <row r="13" customFormat="false" ht="15" hidden="false" customHeight="false" outlineLevel="0" collapsed="false">
      <c r="A13" s="4" t="s">
        <v>579</v>
      </c>
      <c r="B13" s="4" t="s">
        <v>539</v>
      </c>
      <c r="C13" s="22" t="n">
        <v>1</v>
      </c>
      <c r="D13" s="16" t="s">
        <v>580</v>
      </c>
      <c r="E13" s="16" t="s">
        <v>581</v>
      </c>
      <c r="F13" s="6" t="n">
        <v>46204</v>
      </c>
      <c r="G13" s="6" t="n">
        <v>46204</v>
      </c>
      <c r="H13" s="23" t="n">
        <f aca="false">ABS(F13-G13)</f>
        <v>0</v>
      </c>
      <c r="I13" s="7" t="n">
        <v>-34728.88</v>
      </c>
      <c r="J13" s="7" t="n">
        <v>-34728.88</v>
      </c>
      <c r="K13" s="7" t="n">
        <f aca="false">I13-J13</f>
        <v>0</v>
      </c>
      <c r="L13" s="4" t="s">
        <v>582</v>
      </c>
      <c r="M13" s="4" t="s">
        <v>583</v>
      </c>
      <c r="N13" s="4"/>
    </row>
    <row r="14" customFormat="false" ht="15" hidden="false" customHeight="false" outlineLevel="0" collapsed="false">
      <c r="A14" s="4" t="s">
        <v>584</v>
      </c>
      <c r="B14" s="4" t="s">
        <v>539</v>
      </c>
      <c r="C14" s="22" t="n">
        <v>1</v>
      </c>
      <c r="D14" s="16" t="s">
        <v>585</v>
      </c>
      <c r="E14" s="16" t="s">
        <v>586</v>
      </c>
      <c r="F14" s="6" t="n">
        <v>46205</v>
      </c>
      <c r="G14" s="6" t="n">
        <v>46205</v>
      </c>
      <c r="H14" s="23" t="n">
        <f aca="false">ABS(F14-G14)</f>
        <v>0</v>
      </c>
      <c r="I14" s="7" t="n">
        <v>17593.36</v>
      </c>
      <c r="J14" s="7" t="n">
        <v>17593.36</v>
      </c>
      <c r="K14" s="7" t="n">
        <f aca="false">I14-J14</f>
        <v>0</v>
      </c>
      <c r="L14" s="4" t="s">
        <v>587</v>
      </c>
      <c r="M14" s="4" t="s">
        <v>588</v>
      </c>
      <c r="N14" s="4"/>
    </row>
    <row r="15" customFormat="false" ht="15" hidden="false" customHeight="false" outlineLevel="0" collapsed="false">
      <c r="A15" s="4" t="s">
        <v>589</v>
      </c>
      <c r="B15" s="4" t="s">
        <v>539</v>
      </c>
      <c r="C15" s="22" t="n">
        <v>1</v>
      </c>
      <c r="D15" s="16" t="s">
        <v>590</v>
      </c>
      <c r="E15" s="16" t="s">
        <v>591</v>
      </c>
      <c r="F15" s="6" t="n">
        <v>46205</v>
      </c>
      <c r="G15" s="6" t="n">
        <v>46205</v>
      </c>
      <c r="H15" s="23" t="n">
        <f aca="false">ABS(F15-G15)</f>
        <v>0</v>
      </c>
      <c r="I15" s="7" t="n">
        <v>58735.72</v>
      </c>
      <c r="J15" s="7" t="n">
        <v>58735.72</v>
      </c>
      <c r="K15" s="7" t="n">
        <f aca="false">I15-J15</f>
        <v>0</v>
      </c>
      <c r="L15" s="4" t="s">
        <v>592</v>
      </c>
      <c r="M15" s="4" t="s">
        <v>593</v>
      </c>
      <c r="N15" s="4"/>
    </row>
    <row r="16" customFormat="false" ht="15" hidden="false" customHeight="false" outlineLevel="0" collapsed="false">
      <c r="A16" s="4" t="s">
        <v>594</v>
      </c>
      <c r="B16" s="4" t="s">
        <v>539</v>
      </c>
      <c r="C16" s="22" t="n">
        <v>1</v>
      </c>
      <c r="D16" s="16" t="s">
        <v>595</v>
      </c>
      <c r="E16" s="16" t="s">
        <v>596</v>
      </c>
      <c r="F16" s="6" t="n">
        <v>46205</v>
      </c>
      <c r="G16" s="6" t="n">
        <v>46205</v>
      </c>
      <c r="H16" s="23" t="n">
        <f aca="false">ABS(F16-G16)</f>
        <v>0</v>
      </c>
      <c r="I16" s="7" t="n">
        <v>-56444.22</v>
      </c>
      <c r="J16" s="7" t="n">
        <v>-56444.22</v>
      </c>
      <c r="K16" s="7" t="n">
        <f aca="false">I16-J16</f>
        <v>0</v>
      </c>
      <c r="L16" s="4" t="s">
        <v>597</v>
      </c>
      <c r="M16" s="4" t="s">
        <v>598</v>
      </c>
      <c r="N16" s="4"/>
    </row>
    <row r="17" customFormat="false" ht="15" hidden="false" customHeight="false" outlineLevel="0" collapsed="false">
      <c r="A17" s="4" t="s">
        <v>599</v>
      </c>
      <c r="B17" s="4" t="s">
        <v>539</v>
      </c>
      <c r="C17" s="22" t="n">
        <v>1</v>
      </c>
      <c r="D17" s="16" t="s">
        <v>600</v>
      </c>
      <c r="E17" s="16" t="s">
        <v>601</v>
      </c>
      <c r="F17" s="6" t="n">
        <v>46205</v>
      </c>
      <c r="G17" s="6" t="n">
        <v>46205</v>
      </c>
      <c r="H17" s="23" t="n">
        <f aca="false">ABS(F17-G17)</f>
        <v>0</v>
      </c>
      <c r="I17" s="7" t="n">
        <v>-6914.35</v>
      </c>
      <c r="J17" s="7" t="n">
        <v>-6914.35</v>
      </c>
      <c r="K17" s="7" t="n">
        <f aca="false">I17-J17</f>
        <v>0</v>
      </c>
      <c r="L17" s="4" t="s">
        <v>602</v>
      </c>
      <c r="M17" s="4" t="s">
        <v>603</v>
      </c>
      <c r="N17" s="4"/>
    </row>
    <row r="18" customFormat="false" ht="15" hidden="false" customHeight="false" outlineLevel="0" collapsed="false">
      <c r="A18" s="4" t="s">
        <v>604</v>
      </c>
      <c r="B18" s="4" t="s">
        <v>539</v>
      </c>
      <c r="C18" s="22" t="n">
        <v>1</v>
      </c>
      <c r="D18" s="16" t="s">
        <v>605</v>
      </c>
      <c r="E18" s="16" t="s">
        <v>606</v>
      </c>
      <c r="F18" s="6" t="n">
        <v>46205</v>
      </c>
      <c r="G18" s="6" t="n">
        <v>46205</v>
      </c>
      <c r="H18" s="23" t="n">
        <f aca="false">ABS(F18-G18)</f>
        <v>0</v>
      </c>
      <c r="I18" s="7" t="n">
        <v>-34476.01</v>
      </c>
      <c r="J18" s="7" t="n">
        <v>-34476.01</v>
      </c>
      <c r="K18" s="7" t="n">
        <f aca="false">I18-J18</f>
        <v>0</v>
      </c>
      <c r="L18" s="4" t="s">
        <v>607</v>
      </c>
      <c r="M18" s="4" t="s">
        <v>608</v>
      </c>
      <c r="N18" s="4"/>
    </row>
    <row r="19" customFormat="false" ht="15" hidden="false" customHeight="false" outlineLevel="0" collapsed="false">
      <c r="A19" s="4" t="s">
        <v>609</v>
      </c>
      <c r="B19" s="4" t="s">
        <v>539</v>
      </c>
      <c r="C19" s="22" t="n">
        <v>1</v>
      </c>
      <c r="D19" s="16" t="s">
        <v>610</v>
      </c>
      <c r="E19" s="16" t="s">
        <v>611</v>
      </c>
      <c r="F19" s="6" t="n">
        <v>46206</v>
      </c>
      <c r="G19" s="6" t="n">
        <v>46206</v>
      </c>
      <c r="H19" s="23" t="n">
        <f aca="false">ABS(F19-G19)</f>
        <v>0</v>
      </c>
      <c r="I19" s="7" t="n">
        <v>9662.1</v>
      </c>
      <c r="J19" s="7" t="n">
        <v>9662.1</v>
      </c>
      <c r="K19" s="7" t="n">
        <f aca="false">I19-J19</f>
        <v>0</v>
      </c>
      <c r="L19" s="4" t="s">
        <v>612</v>
      </c>
      <c r="M19" s="4" t="s">
        <v>613</v>
      </c>
      <c r="N19" s="4"/>
    </row>
    <row r="20" customFormat="false" ht="15" hidden="false" customHeight="false" outlineLevel="0" collapsed="false">
      <c r="A20" s="4" t="s">
        <v>614</v>
      </c>
      <c r="B20" s="4" t="s">
        <v>539</v>
      </c>
      <c r="C20" s="22" t="n">
        <v>1</v>
      </c>
      <c r="D20" s="16" t="s">
        <v>615</v>
      </c>
      <c r="E20" s="16" t="s">
        <v>616</v>
      </c>
      <c r="F20" s="6" t="n">
        <v>46206</v>
      </c>
      <c r="G20" s="6" t="n">
        <v>46206</v>
      </c>
      <c r="H20" s="23" t="n">
        <f aca="false">ABS(F20-G20)</f>
        <v>0</v>
      </c>
      <c r="I20" s="7" t="n">
        <v>31705.47</v>
      </c>
      <c r="J20" s="7" t="n">
        <v>31705.47</v>
      </c>
      <c r="K20" s="7" t="n">
        <f aca="false">I20-J20</f>
        <v>0</v>
      </c>
      <c r="L20" s="4" t="s">
        <v>617</v>
      </c>
      <c r="M20" s="4" t="s">
        <v>618</v>
      </c>
      <c r="N20" s="4"/>
    </row>
    <row r="21" customFormat="false" ht="15" hidden="false" customHeight="false" outlineLevel="0" collapsed="false">
      <c r="A21" s="4" t="s">
        <v>619</v>
      </c>
      <c r="B21" s="4" t="s">
        <v>539</v>
      </c>
      <c r="C21" s="22" t="n">
        <v>1</v>
      </c>
      <c r="D21" s="16" t="s">
        <v>620</v>
      </c>
      <c r="E21" s="16" t="s">
        <v>621</v>
      </c>
      <c r="F21" s="6" t="n">
        <v>46206</v>
      </c>
      <c r="G21" s="6" t="n">
        <v>46206</v>
      </c>
      <c r="H21" s="23" t="n">
        <f aca="false">ABS(F21-G21)</f>
        <v>0</v>
      </c>
      <c r="I21" s="7" t="n">
        <v>30251.62</v>
      </c>
      <c r="J21" s="7" t="n">
        <v>30251.62</v>
      </c>
      <c r="K21" s="7" t="n">
        <f aca="false">I21-J21</f>
        <v>0</v>
      </c>
      <c r="L21" s="4" t="s">
        <v>622</v>
      </c>
      <c r="M21" s="4" t="s">
        <v>623</v>
      </c>
      <c r="N21" s="4"/>
    </row>
    <row r="22" customFormat="false" ht="15" hidden="false" customHeight="false" outlineLevel="0" collapsed="false">
      <c r="A22" s="4" t="s">
        <v>624</v>
      </c>
      <c r="B22" s="4" t="s">
        <v>539</v>
      </c>
      <c r="C22" s="22" t="n">
        <v>1</v>
      </c>
      <c r="D22" s="16" t="s">
        <v>625</v>
      </c>
      <c r="E22" s="16" t="s">
        <v>626</v>
      </c>
      <c r="F22" s="6" t="n">
        <v>46206</v>
      </c>
      <c r="G22" s="6" t="n">
        <v>46206</v>
      </c>
      <c r="H22" s="23" t="n">
        <f aca="false">ABS(F22-G22)</f>
        <v>0</v>
      </c>
      <c r="I22" s="7" t="n">
        <v>38427.28</v>
      </c>
      <c r="J22" s="7" t="n">
        <v>38427.28</v>
      </c>
      <c r="K22" s="7" t="n">
        <f aca="false">I22-J22</f>
        <v>0</v>
      </c>
      <c r="L22" s="4" t="s">
        <v>627</v>
      </c>
      <c r="M22" s="4" t="s">
        <v>628</v>
      </c>
      <c r="N22" s="4"/>
    </row>
    <row r="23" customFormat="false" ht="15" hidden="false" customHeight="false" outlineLevel="0" collapsed="false">
      <c r="A23" s="4" t="s">
        <v>629</v>
      </c>
      <c r="B23" s="4" t="s">
        <v>539</v>
      </c>
      <c r="C23" s="22" t="n">
        <v>1</v>
      </c>
      <c r="D23" s="16" t="s">
        <v>630</v>
      </c>
      <c r="E23" s="16" t="s">
        <v>631</v>
      </c>
      <c r="F23" s="6" t="n">
        <v>46206</v>
      </c>
      <c r="G23" s="6" t="n">
        <v>46206</v>
      </c>
      <c r="H23" s="23" t="n">
        <f aca="false">ABS(F23-G23)</f>
        <v>0</v>
      </c>
      <c r="I23" s="7" t="n">
        <v>52434.49</v>
      </c>
      <c r="J23" s="7" t="n">
        <v>52434.49</v>
      </c>
      <c r="K23" s="7" t="n">
        <f aca="false">I23-J23</f>
        <v>0</v>
      </c>
      <c r="L23" s="4" t="s">
        <v>632</v>
      </c>
      <c r="M23" s="4" t="s">
        <v>633</v>
      </c>
      <c r="N23" s="4"/>
    </row>
    <row r="24" customFormat="false" ht="15" hidden="false" customHeight="false" outlineLevel="0" collapsed="false">
      <c r="A24" s="4" t="s">
        <v>634</v>
      </c>
      <c r="B24" s="4" t="s">
        <v>539</v>
      </c>
      <c r="C24" s="22" t="n">
        <v>1</v>
      </c>
      <c r="D24" s="16" t="s">
        <v>635</v>
      </c>
      <c r="E24" s="16" t="s">
        <v>636</v>
      </c>
      <c r="F24" s="6" t="n">
        <v>46207</v>
      </c>
      <c r="G24" s="6" t="n">
        <v>46207</v>
      </c>
      <c r="H24" s="23" t="n">
        <f aca="false">ABS(F24-G24)</f>
        <v>0</v>
      </c>
      <c r="I24" s="7" t="n">
        <v>35711.75</v>
      </c>
      <c r="J24" s="7" t="n">
        <v>35711.75</v>
      </c>
      <c r="K24" s="7" t="n">
        <f aca="false">I24-J24</f>
        <v>0</v>
      </c>
      <c r="L24" s="4" t="s">
        <v>637</v>
      </c>
      <c r="M24" s="4" t="s">
        <v>638</v>
      </c>
      <c r="N24" s="4"/>
    </row>
    <row r="25" customFormat="false" ht="15" hidden="false" customHeight="false" outlineLevel="0" collapsed="false">
      <c r="A25" s="4" t="s">
        <v>639</v>
      </c>
      <c r="B25" s="4" t="s">
        <v>539</v>
      </c>
      <c r="C25" s="22" t="n">
        <v>1</v>
      </c>
      <c r="D25" s="16" t="s">
        <v>640</v>
      </c>
      <c r="E25" s="16" t="s">
        <v>641</v>
      </c>
      <c r="F25" s="6" t="n">
        <v>46207</v>
      </c>
      <c r="G25" s="6" t="n">
        <v>46207</v>
      </c>
      <c r="H25" s="23" t="n">
        <f aca="false">ABS(F25-G25)</f>
        <v>0</v>
      </c>
      <c r="I25" s="7" t="n">
        <v>67468.06</v>
      </c>
      <c r="J25" s="7" t="n">
        <v>67468.06</v>
      </c>
      <c r="K25" s="7" t="n">
        <f aca="false">I25-J25</f>
        <v>0</v>
      </c>
      <c r="L25" s="4" t="s">
        <v>642</v>
      </c>
      <c r="M25" s="4" t="s">
        <v>643</v>
      </c>
      <c r="N25" s="4"/>
    </row>
    <row r="26" customFormat="false" ht="15" hidden="false" customHeight="false" outlineLevel="0" collapsed="false">
      <c r="A26" s="4" t="s">
        <v>644</v>
      </c>
      <c r="B26" s="4" t="s">
        <v>539</v>
      </c>
      <c r="C26" s="22" t="n">
        <v>1</v>
      </c>
      <c r="D26" s="16" t="s">
        <v>645</v>
      </c>
      <c r="E26" s="16" t="s">
        <v>646</v>
      </c>
      <c r="F26" s="6" t="n">
        <v>46207</v>
      </c>
      <c r="G26" s="6" t="n">
        <v>46207</v>
      </c>
      <c r="H26" s="23" t="n">
        <f aca="false">ABS(F26-G26)</f>
        <v>0</v>
      </c>
      <c r="I26" s="7" t="n">
        <v>61523.6</v>
      </c>
      <c r="J26" s="7" t="n">
        <v>61523.6</v>
      </c>
      <c r="K26" s="7" t="n">
        <f aca="false">I26-J26</f>
        <v>0</v>
      </c>
      <c r="L26" s="4" t="s">
        <v>647</v>
      </c>
      <c r="M26" s="4" t="s">
        <v>648</v>
      </c>
      <c r="N26" s="4"/>
    </row>
    <row r="27" customFormat="false" ht="15" hidden="false" customHeight="false" outlineLevel="0" collapsed="false">
      <c r="A27" s="4" t="s">
        <v>649</v>
      </c>
      <c r="B27" s="4" t="s">
        <v>539</v>
      </c>
      <c r="C27" s="22" t="n">
        <v>1</v>
      </c>
      <c r="D27" s="16" t="s">
        <v>650</v>
      </c>
      <c r="E27" s="16" t="s">
        <v>651</v>
      </c>
      <c r="F27" s="6" t="n">
        <v>46207</v>
      </c>
      <c r="G27" s="6" t="n">
        <v>46207</v>
      </c>
      <c r="H27" s="23" t="n">
        <f aca="false">ABS(F27-G27)</f>
        <v>0</v>
      </c>
      <c r="I27" s="7" t="n">
        <v>26042.14</v>
      </c>
      <c r="J27" s="7" t="n">
        <v>26042.14</v>
      </c>
      <c r="K27" s="7" t="n">
        <f aca="false">I27-J27</f>
        <v>0</v>
      </c>
      <c r="L27" s="4" t="s">
        <v>652</v>
      </c>
      <c r="M27" s="4" t="s">
        <v>653</v>
      </c>
      <c r="N27" s="4"/>
    </row>
    <row r="28" customFormat="false" ht="15" hidden="false" customHeight="false" outlineLevel="0" collapsed="false">
      <c r="A28" s="4" t="s">
        <v>654</v>
      </c>
      <c r="B28" s="4" t="s">
        <v>539</v>
      </c>
      <c r="C28" s="22" t="n">
        <v>1</v>
      </c>
      <c r="D28" s="16" t="s">
        <v>655</v>
      </c>
      <c r="E28" s="16" t="s">
        <v>656</v>
      </c>
      <c r="F28" s="6" t="n">
        <v>46208</v>
      </c>
      <c r="G28" s="6" t="n">
        <v>46208</v>
      </c>
      <c r="H28" s="23" t="n">
        <f aca="false">ABS(F28-G28)</f>
        <v>0</v>
      </c>
      <c r="I28" s="7" t="n">
        <v>18782.24</v>
      </c>
      <c r="J28" s="7" t="n">
        <v>18782.24</v>
      </c>
      <c r="K28" s="7" t="n">
        <f aca="false">I28-J28</f>
        <v>0</v>
      </c>
      <c r="L28" s="4" t="s">
        <v>657</v>
      </c>
      <c r="M28" s="4" t="s">
        <v>658</v>
      </c>
      <c r="N28" s="4"/>
    </row>
    <row r="29" customFormat="false" ht="15" hidden="false" customHeight="false" outlineLevel="0" collapsed="false">
      <c r="A29" s="4" t="s">
        <v>659</v>
      </c>
      <c r="B29" s="4" t="s">
        <v>539</v>
      </c>
      <c r="C29" s="22" t="n">
        <v>1</v>
      </c>
      <c r="D29" s="16" t="s">
        <v>660</v>
      </c>
      <c r="E29" s="16" t="s">
        <v>661</v>
      </c>
      <c r="F29" s="6" t="n">
        <v>46208</v>
      </c>
      <c r="G29" s="6" t="n">
        <v>46208</v>
      </c>
      <c r="H29" s="23" t="n">
        <f aca="false">ABS(F29-G29)</f>
        <v>0</v>
      </c>
      <c r="I29" s="7" t="n">
        <v>21690.76</v>
      </c>
      <c r="J29" s="7" t="n">
        <v>21690.76</v>
      </c>
      <c r="K29" s="7" t="n">
        <f aca="false">I29-J29</f>
        <v>0</v>
      </c>
      <c r="L29" s="4" t="s">
        <v>662</v>
      </c>
      <c r="M29" s="4" t="s">
        <v>663</v>
      </c>
      <c r="N29" s="4"/>
    </row>
    <row r="30" customFormat="false" ht="15" hidden="false" customHeight="false" outlineLevel="0" collapsed="false">
      <c r="A30" s="4" t="s">
        <v>664</v>
      </c>
      <c r="B30" s="4" t="s">
        <v>539</v>
      </c>
      <c r="C30" s="22" t="n">
        <v>1</v>
      </c>
      <c r="D30" s="16" t="s">
        <v>665</v>
      </c>
      <c r="E30" s="16" t="s">
        <v>666</v>
      </c>
      <c r="F30" s="6" t="n">
        <v>46208</v>
      </c>
      <c r="G30" s="6" t="n">
        <v>46208</v>
      </c>
      <c r="H30" s="23" t="n">
        <f aca="false">ABS(F30-G30)</f>
        <v>0</v>
      </c>
      <c r="I30" s="7" t="n">
        <v>38727.39</v>
      </c>
      <c r="J30" s="7" t="n">
        <v>38727.39</v>
      </c>
      <c r="K30" s="7" t="n">
        <f aca="false">I30-J30</f>
        <v>0</v>
      </c>
      <c r="L30" s="4" t="s">
        <v>667</v>
      </c>
      <c r="M30" s="4" t="s">
        <v>668</v>
      </c>
      <c r="N30" s="4"/>
    </row>
    <row r="31" customFormat="false" ht="15" hidden="false" customHeight="false" outlineLevel="0" collapsed="false">
      <c r="A31" s="4" t="s">
        <v>669</v>
      </c>
      <c r="B31" s="4" t="s">
        <v>539</v>
      </c>
      <c r="C31" s="22" t="n">
        <v>1</v>
      </c>
      <c r="D31" s="16" t="s">
        <v>670</v>
      </c>
      <c r="E31" s="16" t="s">
        <v>671</v>
      </c>
      <c r="F31" s="6" t="n">
        <v>46208</v>
      </c>
      <c r="G31" s="6" t="n">
        <v>46208</v>
      </c>
      <c r="H31" s="23" t="n">
        <f aca="false">ABS(F31-G31)</f>
        <v>0</v>
      </c>
      <c r="I31" s="7" t="n">
        <v>4892.45</v>
      </c>
      <c r="J31" s="7" t="n">
        <v>4892.45</v>
      </c>
      <c r="K31" s="7" t="n">
        <f aca="false">I31-J31</f>
        <v>0</v>
      </c>
      <c r="L31" s="4" t="s">
        <v>672</v>
      </c>
      <c r="M31" s="4" t="s">
        <v>673</v>
      </c>
      <c r="N31" s="4"/>
    </row>
    <row r="32" customFormat="false" ht="15" hidden="false" customHeight="false" outlineLevel="0" collapsed="false">
      <c r="A32" s="4" t="s">
        <v>674</v>
      </c>
      <c r="B32" s="4" t="s">
        <v>539</v>
      </c>
      <c r="C32" s="22" t="n">
        <v>1</v>
      </c>
      <c r="D32" s="16" t="s">
        <v>675</v>
      </c>
      <c r="E32" s="16" t="s">
        <v>676</v>
      </c>
      <c r="F32" s="6" t="n">
        <v>46208</v>
      </c>
      <c r="G32" s="6" t="n">
        <v>46208</v>
      </c>
      <c r="H32" s="23" t="n">
        <f aca="false">ABS(F32-G32)</f>
        <v>0</v>
      </c>
      <c r="I32" s="7" t="n">
        <v>86957.99</v>
      </c>
      <c r="J32" s="7" t="n">
        <v>86957.99</v>
      </c>
      <c r="K32" s="7" t="n">
        <f aca="false">I32-J32</f>
        <v>0</v>
      </c>
      <c r="L32" s="4" t="s">
        <v>677</v>
      </c>
      <c r="M32" s="4" t="s">
        <v>678</v>
      </c>
      <c r="N32" s="4"/>
    </row>
    <row r="33" customFormat="false" ht="15" hidden="false" customHeight="false" outlineLevel="0" collapsed="false">
      <c r="A33" s="4" t="s">
        <v>679</v>
      </c>
      <c r="B33" s="4" t="s">
        <v>539</v>
      </c>
      <c r="C33" s="22" t="n">
        <v>1</v>
      </c>
      <c r="D33" s="16" t="s">
        <v>680</v>
      </c>
      <c r="E33" s="16" t="s">
        <v>681</v>
      </c>
      <c r="F33" s="6" t="n">
        <v>46208</v>
      </c>
      <c r="G33" s="6" t="n">
        <v>46208</v>
      </c>
      <c r="H33" s="23" t="n">
        <f aca="false">ABS(F33-G33)</f>
        <v>0</v>
      </c>
      <c r="I33" s="7" t="n">
        <v>-48127.03</v>
      </c>
      <c r="J33" s="7" t="n">
        <v>-48127.03</v>
      </c>
      <c r="K33" s="7" t="n">
        <f aca="false">I33-J33</f>
        <v>0</v>
      </c>
      <c r="L33" s="4" t="s">
        <v>682</v>
      </c>
      <c r="M33" s="4" t="s">
        <v>683</v>
      </c>
      <c r="N33" s="4"/>
    </row>
    <row r="34" customFormat="false" ht="15" hidden="false" customHeight="false" outlineLevel="0" collapsed="false">
      <c r="A34" s="4" t="s">
        <v>684</v>
      </c>
      <c r="B34" s="4" t="s">
        <v>539</v>
      </c>
      <c r="C34" s="22" t="n">
        <v>1</v>
      </c>
      <c r="D34" s="16" t="s">
        <v>685</v>
      </c>
      <c r="E34" s="16" t="s">
        <v>686</v>
      </c>
      <c r="F34" s="6" t="n">
        <v>46209</v>
      </c>
      <c r="G34" s="6" t="n">
        <v>46209</v>
      </c>
      <c r="H34" s="23" t="n">
        <f aca="false">ABS(F34-G34)</f>
        <v>0</v>
      </c>
      <c r="I34" s="7" t="n">
        <v>59351.79</v>
      </c>
      <c r="J34" s="7" t="n">
        <v>59351.79</v>
      </c>
      <c r="K34" s="7" t="n">
        <f aca="false">I34-J34</f>
        <v>0</v>
      </c>
      <c r="L34" s="4" t="s">
        <v>687</v>
      </c>
      <c r="M34" s="4" t="s">
        <v>688</v>
      </c>
      <c r="N34" s="4"/>
    </row>
    <row r="35" customFormat="false" ht="15" hidden="false" customHeight="false" outlineLevel="0" collapsed="false">
      <c r="A35" s="4" t="s">
        <v>689</v>
      </c>
      <c r="B35" s="4" t="s">
        <v>539</v>
      </c>
      <c r="C35" s="22" t="n">
        <v>1</v>
      </c>
      <c r="D35" s="16" t="s">
        <v>690</v>
      </c>
      <c r="E35" s="16" t="s">
        <v>691</v>
      </c>
      <c r="F35" s="6" t="n">
        <v>46209</v>
      </c>
      <c r="G35" s="6" t="n">
        <v>46209</v>
      </c>
      <c r="H35" s="23" t="n">
        <f aca="false">ABS(F35-G35)</f>
        <v>0</v>
      </c>
      <c r="I35" s="7" t="n">
        <v>62206.12</v>
      </c>
      <c r="J35" s="7" t="n">
        <v>62206.12</v>
      </c>
      <c r="K35" s="7" t="n">
        <f aca="false">I35-J35</f>
        <v>0</v>
      </c>
      <c r="L35" s="4" t="s">
        <v>692</v>
      </c>
      <c r="M35" s="4" t="s">
        <v>693</v>
      </c>
      <c r="N35" s="4"/>
    </row>
    <row r="36" customFormat="false" ht="15" hidden="false" customHeight="false" outlineLevel="0" collapsed="false">
      <c r="A36" s="4" t="s">
        <v>694</v>
      </c>
      <c r="B36" s="4" t="s">
        <v>539</v>
      </c>
      <c r="C36" s="22" t="n">
        <v>1</v>
      </c>
      <c r="D36" s="16" t="s">
        <v>695</v>
      </c>
      <c r="E36" s="16" t="s">
        <v>696</v>
      </c>
      <c r="F36" s="6" t="n">
        <v>46209</v>
      </c>
      <c r="G36" s="6" t="n">
        <v>46209</v>
      </c>
      <c r="H36" s="23" t="n">
        <f aca="false">ABS(F36-G36)</f>
        <v>0</v>
      </c>
      <c r="I36" s="7" t="n">
        <v>84362.31</v>
      </c>
      <c r="J36" s="7" t="n">
        <v>84362.31</v>
      </c>
      <c r="K36" s="7" t="n">
        <f aca="false">I36-J36</f>
        <v>0</v>
      </c>
      <c r="L36" s="4" t="s">
        <v>697</v>
      </c>
      <c r="M36" s="4" t="s">
        <v>698</v>
      </c>
      <c r="N36" s="4"/>
    </row>
    <row r="37" customFormat="false" ht="15" hidden="false" customHeight="false" outlineLevel="0" collapsed="false">
      <c r="A37" s="4" t="s">
        <v>699</v>
      </c>
      <c r="B37" s="4" t="s">
        <v>539</v>
      </c>
      <c r="C37" s="22" t="n">
        <v>1</v>
      </c>
      <c r="D37" s="16" t="s">
        <v>700</v>
      </c>
      <c r="E37" s="16" t="s">
        <v>701</v>
      </c>
      <c r="F37" s="6" t="n">
        <v>46209</v>
      </c>
      <c r="G37" s="6" t="n">
        <v>46209</v>
      </c>
      <c r="H37" s="23" t="n">
        <f aca="false">ABS(F37-G37)</f>
        <v>0</v>
      </c>
      <c r="I37" s="7" t="n">
        <v>-51866.64</v>
      </c>
      <c r="J37" s="7" t="n">
        <v>-51866.64</v>
      </c>
      <c r="K37" s="7" t="n">
        <f aca="false">I37-J37</f>
        <v>0</v>
      </c>
      <c r="L37" s="4" t="s">
        <v>702</v>
      </c>
      <c r="M37" s="4" t="s">
        <v>703</v>
      </c>
      <c r="N37" s="4"/>
    </row>
    <row r="38" customFormat="false" ht="15" hidden="false" customHeight="false" outlineLevel="0" collapsed="false">
      <c r="A38" s="4" t="s">
        <v>704</v>
      </c>
      <c r="B38" s="4" t="s">
        <v>539</v>
      </c>
      <c r="C38" s="22" t="n">
        <v>1</v>
      </c>
      <c r="D38" s="16" t="s">
        <v>705</v>
      </c>
      <c r="E38" s="16" t="s">
        <v>706</v>
      </c>
      <c r="F38" s="6" t="n">
        <v>46210</v>
      </c>
      <c r="G38" s="6" t="n">
        <v>46210</v>
      </c>
      <c r="H38" s="23" t="n">
        <f aca="false">ABS(F38-G38)</f>
        <v>0</v>
      </c>
      <c r="I38" s="7" t="n">
        <v>34284.94</v>
      </c>
      <c r="J38" s="7" t="n">
        <v>34284.94</v>
      </c>
      <c r="K38" s="7" t="n">
        <f aca="false">I38-J38</f>
        <v>0</v>
      </c>
      <c r="L38" s="4" t="s">
        <v>707</v>
      </c>
      <c r="M38" s="4" t="s">
        <v>708</v>
      </c>
      <c r="N38" s="4"/>
    </row>
    <row r="39" customFormat="false" ht="15" hidden="false" customHeight="false" outlineLevel="0" collapsed="false">
      <c r="A39" s="4" t="s">
        <v>709</v>
      </c>
      <c r="B39" s="4" t="s">
        <v>539</v>
      </c>
      <c r="C39" s="22" t="n">
        <v>1</v>
      </c>
      <c r="D39" s="16" t="s">
        <v>710</v>
      </c>
      <c r="E39" s="16" t="s">
        <v>711</v>
      </c>
      <c r="F39" s="6" t="n">
        <v>46210</v>
      </c>
      <c r="G39" s="6" t="n">
        <v>46210</v>
      </c>
      <c r="H39" s="23" t="n">
        <f aca="false">ABS(F39-G39)</f>
        <v>0</v>
      </c>
      <c r="I39" s="7" t="n">
        <v>34974.8</v>
      </c>
      <c r="J39" s="7" t="n">
        <v>34974.8</v>
      </c>
      <c r="K39" s="7" t="n">
        <f aca="false">I39-J39</f>
        <v>0</v>
      </c>
      <c r="L39" s="4" t="s">
        <v>712</v>
      </c>
      <c r="M39" s="4" t="s">
        <v>713</v>
      </c>
      <c r="N39" s="4"/>
    </row>
    <row r="40" customFormat="false" ht="15" hidden="false" customHeight="false" outlineLevel="0" collapsed="false">
      <c r="A40" s="4" t="s">
        <v>714</v>
      </c>
      <c r="B40" s="4" t="s">
        <v>539</v>
      </c>
      <c r="C40" s="22" t="n">
        <v>1</v>
      </c>
      <c r="D40" s="16" t="s">
        <v>715</v>
      </c>
      <c r="E40" s="16" t="s">
        <v>716</v>
      </c>
      <c r="F40" s="6" t="n">
        <v>46210</v>
      </c>
      <c r="G40" s="6" t="n">
        <v>46210</v>
      </c>
      <c r="H40" s="23" t="n">
        <f aca="false">ABS(F40-G40)</f>
        <v>0</v>
      </c>
      <c r="I40" s="7" t="n">
        <v>16055.82</v>
      </c>
      <c r="J40" s="7" t="n">
        <v>16055.82</v>
      </c>
      <c r="K40" s="7" t="n">
        <f aca="false">I40-J40</f>
        <v>0</v>
      </c>
      <c r="L40" s="4" t="s">
        <v>717</v>
      </c>
      <c r="M40" s="4" t="s">
        <v>718</v>
      </c>
      <c r="N40" s="4"/>
    </row>
    <row r="41" customFormat="false" ht="15" hidden="false" customHeight="false" outlineLevel="0" collapsed="false">
      <c r="A41" s="4" t="s">
        <v>719</v>
      </c>
      <c r="B41" s="4" t="s">
        <v>539</v>
      </c>
      <c r="C41" s="22" t="n">
        <v>1</v>
      </c>
      <c r="D41" s="16" t="s">
        <v>720</v>
      </c>
      <c r="E41" s="16" t="s">
        <v>721</v>
      </c>
      <c r="F41" s="6" t="n">
        <v>46210</v>
      </c>
      <c r="G41" s="6" t="n">
        <v>46210</v>
      </c>
      <c r="H41" s="23" t="n">
        <f aca="false">ABS(F41-G41)</f>
        <v>0</v>
      </c>
      <c r="I41" s="7" t="n">
        <v>36497.11</v>
      </c>
      <c r="J41" s="7" t="n">
        <v>36497.11</v>
      </c>
      <c r="K41" s="7" t="n">
        <f aca="false">I41-J41</f>
        <v>0</v>
      </c>
      <c r="L41" s="4" t="s">
        <v>722</v>
      </c>
      <c r="M41" s="4" t="s">
        <v>723</v>
      </c>
      <c r="N41" s="4"/>
    </row>
    <row r="42" customFormat="false" ht="15" hidden="false" customHeight="false" outlineLevel="0" collapsed="false">
      <c r="A42" s="4" t="s">
        <v>724</v>
      </c>
      <c r="B42" s="4" t="s">
        <v>539</v>
      </c>
      <c r="C42" s="22" t="n">
        <v>1</v>
      </c>
      <c r="D42" s="16" t="s">
        <v>725</v>
      </c>
      <c r="E42" s="16" t="s">
        <v>726</v>
      </c>
      <c r="F42" s="6" t="n">
        <v>46210</v>
      </c>
      <c r="G42" s="6" t="n">
        <v>46210</v>
      </c>
      <c r="H42" s="23" t="n">
        <f aca="false">ABS(F42-G42)</f>
        <v>0</v>
      </c>
      <c r="I42" s="7" t="n">
        <v>84880.64</v>
      </c>
      <c r="J42" s="7" t="n">
        <v>84880.64</v>
      </c>
      <c r="K42" s="7" t="n">
        <f aca="false">I42-J42</f>
        <v>0</v>
      </c>
      <c r="L42" s="4" t="s">
        <v>727</v>
      </c>
      <c r="M42" s="4" t="s">
        <v>728</v>
      </c>
      <c r="N42" s="4"/>
    </row>
    <row r="43" customFormat="false" ht="15" hidden="false" customHeight="false" outlineLevel="0" collapsed="false">
      <c r="A43" s="4" t="s">
        <v>729</v>
      </c>
      <c r="B43" s="4" t="s">
        <v>539</v>
      </c>
      <c r="C43" s="22" t="n">
        <v>1</v>
      </c>
      <c r="D43" s="16" t="s">
        <v>730</v>
      </c>
      <c r="E43" s="16" t="s">
        <v>731</v>
      </c>
      <c r="F43" s="6" t="n">
        <v>46211</v>
      </c>
      <c r="G43" s="6" t="n">
        <v>46211</v>
      </c>
      <c r="H43" s="23" t="n">
        <f aca="false">ABS(F43-G43)</f>
        <v>0</v>
      </c>
      <c r="I43" s="7" t="n">
        <v>13772.81</v>
      </c>
      <c r="J43" s="7" t="n">
        <v>13772.81</v>
      </c>
      <c r="K43" s="7" t="n">
        <f aca="false">I43-J43</f>
        <v>0</v>
      </c>
      <c r="L43" s="4" t="s">
        <v>732</v>
      </c>
      <c r="M43" s="4" t="s">
        <v>733</v>
      </c>
      <c r="N43" s="4"/>
    </row>
    <row r="44" customFormat="false" ht="15" hidden="false" customHeight="false" outlineLevel="0" collapsed="false">
      <c r="A44" s="4" t="s">
        <v>734</v>
      </c>
      <c r="B44" s="4" t="s">
        <v>539</v>
      </c>
      <c r="C44" s="22" t="n">
        <v>1</v>
      </c>
      <c r="D44" s="16" t="s">
        <v>735</v>
      </c>
      <c r="E44" s="16" t="s">
        <v>736</v>
      </c>
      <c r="F44" s="6" t="n">
        <v>46211</v>
      </c>
      <c r="G44" s="6" t="n">
        <v>46211</v>
      </c>
      <c r="H44" s="23" t="n">
        <f aca="false">ABS(F44-G44)</f>
        <v>0</v>
      </c>
      <c r="I44" s="7" t="n">
        <v>11230.52</v>
      </c>
      <c r="J44" s="7" t="n">
        <v>11230.52</v>
      </c>
      <c r="K44" s="7" t="n">
        <f aca="false">I44-J44</f>
        <v>0</v>
      </c>
      <c r="L44" s="4" t="s">
        <v>737</v>
      </c>
      <c r="M44" s="4" t="s">
        <v>738</v>
      </c>
      <c r="N44" s="4"/>
    </row>
    <row r="45" customFormat="false" ht="15" hidden="false" customHeight="false" outlineLevel="0" collapsed="false">
      <c r="A45" s="4" t="s">
        <v>739</v>
      </c>
      <c r="B45" s="4" t="s">
        <v>539</v>
      </c>
      <c r="C45" s="22" t="n">
        <v>1</v>
      </c>
      <c r="D45" s="16" t="s">
        <v>740</v>
      </c>
      <c r="E45" s="16" t="s">
        <v>741</v>
      </c>
      <c r="F45" s="6" t="n">
        <v>46211</v>
      </c>
      <c r="G45" s="6" t="n">
        <v>46211</v>
      </c>
      <c r="H45" s="23" t="n">
        <f aca="false">ABS(F45-G45)</f>
        <v>0</v>
      </c>
      <c r="I45" s="7" t="n">
        <v>38128.98</v>
      </c>
      <c r="J45" s="7" t="n">
        <v>38128.98</v>
      </c>
      <c r="K45" s="7" t="n">
        <f aca="false">I45-J45</f>
        <v>0</v>
      </c>
      <c r="L45" s="4" t="s">
        <v>742</v>
      </c>
      <c r="M45" s="4" t="s">
        <v>743</v>
      </c>
      <c r="N45" s="4"/>
    </row>
    <row r="46" customFormat="false" ht="15" hidden="false" customHeight="false" outlineLevel="0" collapsed="false">
      <c r="A46" s="4" t="s">
        <v>744</v>
      </c>
      <c r="B46" s="4" t="s">
        <v>539</v>
      </c>
      <c r="C46" s="22" t="n">
        <v>1</v>
      </c>
      <c r="D46" s="16" t="s">
        <v>745</v>
      </c>
      <c r="E46" s="16" t="s">
        <v>746</v>
      </c>
      <c r="F46" s="6" t="n">
        <v>46212</v>
      </c>
      <c r="G46" s="6" t="n">
        <v>46212</v>
      </c>
      <c r="H46" s="23" t="n">
        <f aca="false">ABS(F46-G46)</f>
        <v>0</v>
      </c>
      <c r="I46" s="7" t="n">
        <v>42895.4</v>
      </c>
      <c r="J46" s="7" t="n">
        <v>42895.4</v>
      </c>
      <c r="K46" s="7" t="n">
        <f aca="false">I46-J46</f>
        <v>0</v>
      </c>
      <c r="L46" s="4" t="s">
        <v>747</v>
      </c>
      <c r="M46" s="4" t="s">
        <v>748</v>
      </c>
      <c r="N46" s="4"/>
    </row>
    <row r="47" customFormat="false" ht="15" hidden="false" customHeight="false" outlineLevel="0" collapsed="false">
      <c r="A47" s="4" t="s">
        <v>749</v>
      </c>
      <c r="B47" s="4" t="s">
        <v>539</v>
      </c>
      <c r="C47" s="22" t="n">
        <v>1</v>
      </c>
      <c r="D47" s="16" t="s">
        <v>750</v>
      </c>
      <c r="E47" s="16" t="s">
        <v>751</v>
      </c>
      <c r="F47" s="6" t="n">
        <v>46212</v>
      </c>
      <c r="G47" s="6" t="n">
        <v>46212</v>
      </c>
      <c r="H47" s="23" t="n">
        <f aca="false">ABS(F47-G47)</f>
        <v>0</v>
      </c>
      <c r="I47" s="7" t="n">
        <v>6206.6</v>
      </c>
      <c r="J47" s="7" t="n">
        <v>6206.6</v>
      </c>
      <c r="K47" s="7" t="n">
        <f aca="false">I47-J47</f>
        <v>0</v>
      </c>
      <c r="L47" s="4" t="s">
        <v>752</v>
      </c>
      <c r="M47" s="4" t="s">
        <v>753</v>
      </c>
      <c r="N47" s="4"/>
    </row>
    <row r="48" customFormat="false" ht="15" hidden="false" customHeight="false" outlineLevel="0" collapsed="false">
      <c r="A48" s="4" t="s">
        <v>754</v>
      </c>
      <c r="B48" s="4" t="s">
        <v>539</v>
      </c>
      <c r="C48" s="22" t="n">
        <v>1</v>
      </c>
      <c r="D48" s="16" t="s">
        <v>755</v>
      </c>
      <c r="E48" s="16" t="s">
        <v>756</v>
      </c>
      <c r="F48" s="6" t="n">
        <v>46212</v>
      </c>
      <c r="G48" s="6" t="n">
        <v>46212</v>
      </c>
      <c r="H48" s="23" t="n">
        <f aca="false">ABS(F48-G48)</f>
        <v>0</v>
      </c>
      <c r="I48" s="7" t="n">
        <v>39831.5</v>
      </c>
      <c r="J48" s="7" t="n">
        <v>39831.5</v>
      </c>
      <c r="K48" s="7" t="n">
        <f aca="false">I48-J48</f>
        <v>0</v>
      </c>
      <c r="L48" s="4" t="s">
        <v>757</v>
      </c>
      <c r="M48" s="4" t="s">
        <v>758</v>
      </c>
      <c r="N48" s="4"/>
    </row>
    <row r="49" customFormat="false" ht="15" hidden="false" customHeight="false" outlineLevel="0" collapsed="false">
      <c r="A49" s="4" t="s">
        <v>759</v>
      </c>
      <c r="B49" s="4" t="s">
        <v>539</v>
      </c>
      <c r="C49" s="22" t="n">
        <v>1</v>
      </c>
      <c r="D49" s="16" t="s">
        <v>760</v>
      </c>
      <c r="E49" s="16" t="s">
        <v>761</v>
      </c>
      <c r="F49" s="6" t="n">
        <v>46212</v>
      </c>
      <c r="G49" s="6" t="n">
        <v>46212</v>
      </c>
      <c r="H49" s="23" t="n">
        <f aca="false">ABS(F49-G49)</f>
        <v>0</v>
      </c>
      <c r="I49" s="7" t="n">
        <v>44478.49</v>
      </c>
      <c r="J49" s="7" t="n">
        <v>44478.49</v>
      </c>
      <c r="K49" s="7" t="n">
        <f aca="false">I49-J49</f>
        <v>0</v>
      </c>
      <c r="L49" s="4" t="s">
        <v>762</v>
      </c>
      <c r="M49" s="4" t="s">
        <v>763</v>
      </c>
      <c r="N49" s="4"/>
    </row>
    <row r="50" customFormat="false" ht="15" hidden="false" customHeight="false" outlineLevel="0" collapsed="false">
      <c r="A50" s="4" t="s">
        <v>764</v>
      </c>
      <c r="B50" s="4" t="s">
        <v>539</v>
      </c>
      <c r="C50" s="22" t="n">
        <v>1</v>
      </c>
      <c r="D50" s="16" t="s">
        <v>765</v>
      </c>
      <c r="E50" s="16" t="s">
        <v>766</v>
      </c>
      <c r="F50" s="6" t="n">
        <v>46212</v>
      </c>
      <c r="G50" s="6" t="n">
        <v>46212</v>
      </c>
      <c r="H50" s="23" t="n">
        <f aca="false">ABS(F50-G50)</f>
        <v>0</v>
      </c>
      <c r="I50" s="7" t="n">
        <v>18137.07</v>
      </c>
      <c r="J50" s="7" t="n">
        <v>18137.07</v>
      </c>
      <c r="K50" s="7" t="n">
        <f aca="false">I50-J50</f>
        <v>0</v>
      </c>
      <c r="L50" s="4" t="s">
        <v>767</v>
      </c>
      <c r="M50" s="4" t="s">
        <v>768</v>
      </c>
      <c r="N50" s="4"/>
    </row>
    <row r="51" customFormat="false" ht="15" hidden="false" customHeight="false" outlineLevel="0" collapsed="false">
      <c r="A51" s="4" t="s">
        <v>769</v>
      </c>
      <c r="B51" s="4" t="s">
        <v>539</v>
      </c>
      <c r="C51" s="22" t="n">
        <v>1</v>
      </c>
      <c r="D51" s="16" t="s">
        <v>770</v>
      </c>
      <c r="E51" s="16" t="s">
        <v>771</v>
      </c>
      <c r="F51" s="6" t="n">
        <v>46212</v>
      </c>
      <c r="G51" s="6" t="n">
        <v>46212</v>
      </c>
      <c r="H51" s="23" t="n">
        <f aca="false">ABS(F51-G51)</f>
        <v>0</v>
      </c>
      <c r="I51" s="7" t="n">
        <v>40227.66</v>
      </c>
      <c r="J51" s="7" t="n">
        <v>40227.66</v>
      </c>
      <c r="K51" s="7" t="n">
        <f aca="false">I51-J51</f>
        <v>0</v>
      </c>
      <c r="L51" s="4" t="s">
        <v>772</v>
      </c>
      <c r="M51" s="4" t="s">
        <v>773</v>
      </c>
      <c r="N51" s="4"/>
    </row>
    <row r="52" customFormat="false" ht="15" hidden="false" customHeight="false" outlineLevel="0" collapsed="false">
      <c r="A52" s="4" t="s">
        <v>774</v>
      </c>
      <c r="B52" s="4" t="s">
        <v>539</v>
      </c>
      <c r="C52" s="22" t="n">
        <v>1</v>
      </c>
      <c r="D52" s="16" t="s">
        <v>775</v>
      </c>
      <c r="E52" s="16" t="s">
        <v>776</v>
      </c>
      <c r="F52" s="6" t="n">
        <v>46212</v>
      </c>
      <c r="G52" s="6" t="n">
        <v>46212</v>
      </c>
      <c r="H52" s="23" t="n">
        <f aca="false">ABS(F52-G52)</f>
        <v>0</v>
      </c>
      <c r="I52" s="7" t="n">
        <v>-24490.17</v>
      </c>
      <c r="J52" s="7" t="n">
        <v>-24490.17</v>
      </c>
      <c r="K52" s="7" t="n">
        <f aca="false">I52-J52</f>
        <v>0</v>
      </c>
      <c r="L52" s="4" t="s">
        <v>777</v>
      </c>
      <c r="M52" s="4" t="s">
        <v>778</v>
      </c>
      <c r="N52" s="4"/>
    </row>
    <row r="53" customFormat="false" ht="15" hidden="false" customHeight="false" outlineLevel="0" collapsed="false">
      <c r="A53" s="4" t="s">
        <v>779</v>
      </c>
      <c r="B53" s="4" t="s">
        <v>539</v>
      </c>
      <c r="C53" s="22" t="n">
        <v>1</v>
      </c>
      <c r="D53" s="16" t="s">
        <v>780</v>
      </c>
      <c r="E53" s="16" t="s">
        <v>781</v>
      </c>
      <c r="F53" s="6" t="n">
        <v>46213</v>
      </c>
      <c r="G53" s="6" t="n">
        <v>46213</v>
      </c>
      <c r="H53" s="23" t="n">
        <f aca="false">ABS(F53-G53)</f>
        <v>0</v>
      </c>
      <c r="I53" s="7" t="n">
        <v>62174.86</v>
      </c>
      <c r="J53" s="7" t="n">
        <v>62174.86</v>
      </c>
      <c r="K53" s="7" t="n">
        <f aca="false">I53-J53</f>
        <v>0</v>
      </c>
      <c r="L53" s="4" t="s">
        <v>782</v>
      </c>
      <c r="M53" s="4" t="s">
        <v>783</v>
      </c>
      <c r="N53" s="4"/>
    </row>
    <row r="54" customFormat="false" ht="15" hidden="false" customHeight="false" outlineLevel="0" collapsed="false">
      <c r="A54" s="4" t="s">
        <v>784</v>
      </c>
      <c r="B54" s="4" t="s">
        <v>539</v>
      </c>
      <c r="C54" s="22" t="n">
        <v>1</v>
      </c>
      <c r="D54" s="16" t="s">
        <v>785</v>
      </c>
      <c r="E54" s="16" t="s">
        <v>786</v>
      </c>
      <c r="F54" s="6" t="n">
        <v>46213</v>
      </c>
      <c r="G54" s="6" t="n">
        <v>46213</v>
      </c>
      <c r="H54" s="23" t="n">
        <f aca="false">ABS(F54-G54)</f>
        <v>0</v>
      </c>
      <c r="I54" s="7" t="n">
        <v>91376.45</v>
      </c>
      <c r="J54" s="7" t="n">
        <v>91376.45</v>
      </c>
      <c r="K54" s="7" t="n">
        <f aca="false">I54-J54</f>
        <v>0</v>
      </c>
      <c r="L54" s="4" t="s">
        <v>131</v>
      </c>
      <c r="M54" s="4" t="s">
        <v>787</v>
      </c>
      <c r="N54" s="4"/>
    </row>
    <row r="55" customFormat="false" ht="15" hidden="false" customHeight="false" outlineLevel="0" collapsed="false">
      <c r="A55" s="4" t="s">
        <v>788</v>
      </c>
      <c r="B55" s="4" t="s">
        <v>539</v>
      </c>
      <c r="C55" s="22" t="n">
        <v>1</v>
      </c>
      <c r="D55" s="16" t="s">
        <v>789</v>
      </c>
      <c r="E55" s="16" t="s">
        <v>790</v>
      </c>
      <c r="F55" s="6" t="n">
        <v>46213</v>
      </c>
      <c r="G55" s="6" t="n">
        <v>46213</v>
      </c>
      <c r="H55" s="23" t="n">
        <f aca="false">ABS(F55-G55)</f>
        <v>0</v>
      </c>
      <c r="I55" s="7" t="n">
        <v>92123.62</v>
      </c>
      <c r="J55" s="7" t="n">
        <v>92123.62</v>
      </c>
      <c r="K55" s="7" t="n">
        <f aca="false">I55-J55</f>
        <v>0</v>
      </c>
      <c r="L55" s="4" t="s">
        <v>791</v>
      </c>
      <c r="M55" s="4" t="s">
        <v>792</v>
      </c>
      <c r="N55" s="4"/>
    </row>
    <row r="56" customFormat="false" ht="15" hidden="false" customHeight="false" outlineLevel="0" collapsed="false">
      <c r="A56" s="4" t="s">
        <v>793</v>
      </c>
      <c r="B56" s="4" t="s">
        <v>539</v>
      </c>
      <c r="C56" s="22" t="n">
        <v>1</v>
      </c>
      <c r="D56" s="16" t="s">
        <v>794</v>
      </c>
      <c r="E56" s="16" t="s">
        <v>795</v>
      </c>
      <c r="F56" s="6" t="n">
        <v>46214</v>
      </c>
      <c r="G56" s="6" t="n">
        <v>46214</v>
      </c>
      <c r="H56" s="23" t="n">
        <f aca="false">ABS(F56-G56)</f>
        <v>0</v>
      </c>
      <c r="I56" s="7" t="n">
        <v>83170.82</v>
      </c>
      <c r="J56" s="7" t="n">
        <v>83170.82</v>
      </c>
      <c r="K56" s="7" t="n">
        <f aca="false">I56-J56</f>
        <v>0</v>
      </c>
      <c r="L56" s="4" t="s">
        <v>796</v>
      </c>
      <c r="M56" s="4" t="s">
        <v>797</v>
      </c>
      <c r="N56" s="4"/>
    </row>
    <row r="57" customFormat="false" ht="15" hidden="false" customHeight="false" outlineLevel="0" collapsed="false">
      <c r="A57" s="4" t="s">
        <v>798</v>
      </c>
      <c r="B57" s="4" t="s">
        <v>539</v>
      </c>
      <c r="C57" s="22" t="n">
        <v>1</v>
      </c>
      <c r="D57" s="16" t="s">
        <v>799</v>
      </c>
      <c r="E57" s="16" t="s">
        <v>800</v>
      </c>
      <c r="F57" s="6" t="n">
        <v>46214</v>
      </c>
      <c r="G57" s="6" t="n">
        <v>46214</v>
      </c>
      <c r="H57" s="23" t="n">
        <f aca="false">ABS(F57-G57)</f>
        <v>0</v>
      </c>
      <c r="I57" s="7" t="n">
        <v>19627.66</v>
      </c>
      <c r="J57" s="7" t="n">
        <v>19627.66</v>
      </c>
      <c r="K57" s="7" t="n">
        <f aca="false">I57-J57</f>
        <v>0</v>
      </c>
      <c r="L57" s="4" t="s">
        <v>801</v>
      </c>
      <c r="M57" s="4" t="s">
        <v>802</v>
      </c>
      <c r="N57" s="4"/>
    </row>
    <row r="58" customFormat="false" ht="15" hidden="false" customHeight="false" outlineLevel="0" collapsed="false">
      <c r="A58" s="4" t="s">
        <v>803</v>
      </c>
      <c r="B58" s="4" t="s">
        <v>539</v>
      </c>
      <c r="C58" s="22" t="n">
        <v>1</v>
      </c>
      <c r="D58" s="16" t="s">
        <v>804</v>
      </c>
      <c r="E58" s="16" t="s">
        <v>805</v>
      </c>
      <c r="F58" s="6" t="n">
        <v>46215</v>
      </c>
      <c r="G58" s="6" t="n">
        <v>46215</v>
      </c>
      <c r="H58" s="23" t="n">
        <f aca="false">ABS(F58-G58)</f>
        <v>0</v>
      </c>
      <c r="I58" s="7" t="n">
        <v>20701.45</v>
      </c>
      <c r="J58" s="7" t="n">
        <v>20701.45</v>
      </c>
      <c r="K58" s="7" t="n">
        <f aca="false">I58-J58</f>
        <v>0</v>
      </c>
      <c r="L58" s="4" t="s">
        <v>806</v>
      </c>
      <c r="M58" s="4" t="s">
        <v>807</v>
      </c>
      <c r="N58" s="4"/>
    </row>
    <row r="59" customFormat="false" ht="15" hidden="false" customHeight="false" outlineLevel="0" collapsed="false">
      <c r="A59" s="4" t="s">
        <v>808</v>
      </c>
      <c r="B59" s="4" t="s">
        <v>539</v>
      </c>
      <c r="C59" s="22" t="n">
        <v>1</v>
      </c>
      <c r="D59" s="16" t="s">
        <v>809</v>
      </c>
      <c r="E59" s="16" t="s">
        <v>810</v>
      </c>
      <c r="F59" s="6" t="n">
        <v>46216</v>
      </c>
      <c r="G59" s="6" t="n">
        <v>46216</v>
      </c>
      <c r="H59" s="23" t="n">
        <f aca="false">ABS(F59-G59)</f>
        <v>0</v>
      </c>
      <c r="I59" s="7" t="n">
        <v>92470.83</v>
      </c>
      <c r="J59" s="7" t="n">
        <v>92470.83</v>
      </c>
      <c r="K59" s="7" t="n">
        <f aca="false">I59-J59</f>
        <v>0</v>
      </c>
      <c r="L59" s="4" t="s">
        <v>811</v>
      </c>
      <c r="M59" s="4" t="s">
        <v>812</v>
      </c>
      <c r="N59" s="4"/>
    </row>
    <row r="60" customFormat="false" ht="15" hidden="false" customHeight="false" outlineLevel="0" collapsed="false">
      <c r="A60" s="4" t="s">
        <v>813</v>
      </c>
      <c r="B60" s="4" t="s">
        <v>539</v>
      </c>
      <c r="C60" s="22" t="n">
        <v>1</v>
      </c>
      <c r="D60" s="16" t="s">
        <v>814</v>
      </c>
      <c r="E60" s="16" t="s">
        <v>815</v>
      </c>
      <c r="F60" s="6" t="n">
        <v>46216</v>
      </c>
      <c r="G60" s="6" t="n">
        <v>46216</v>
      </c>
      <c r="H60" s="23" t="n">
        <f aca="false">ABS(F60-G60)</f>
        <v>0</v>
      </c>
      <c r="I60" s="7" t="n">
        <v>-6845.45</v>
      </c>
      <c r="J60" s="7" t="n">
        <v>-6845.45</v>
      </c>
      <c r="K60" s="7" t="n">
        <f aca="false">I60-J60</f>
        <v>0</v>
      </c>
      <c r="L60" s="4" t="s">
        <v>816</v>
      </c>
      <c r="M60" s="4" t="s">
        <v>817</v>
      </c>
      <c r="N60" s="4"/>
    </row>
    <row r="61" customFormat="false" ht="15" hidden="false" customHeight="false" outlineLevel="0" collapsed="false">
      <c r="A61" s="4" t="s">
        <v>818</v>
      </c>
      <c r="B61" s="4" t="s">
        <v>539</v>
      </c>
      <c r="C61" s="22" t="n">
        <v>1</v>
      </c>
      <c r="D61" s="16" t="s">
        <v>819</v>
      </c>
      <c r="E61" s="16" t="s">
        <v>820</v>
      </c>
      <c r="F61" s="6" t="n">
        <v>46217</v>
      </c>
      <c r="G61" s="6" t="n">
        <v>46217</v>
      </c>
      <c r="H61" s="23" t="n">
        <f aca="false">ABS(F61-G61)</f>
        <v>0</v>
      </c>
      <c r="I61" s="7" t="n">
        <v>25858.81</v>
      </c>
      <c r="J61" s="7" t="n">
        <v>25858.81</v>
      </c>
      <c r="K61" s="7" t="n">
        <f aca="false">I61-J61</f>
        <v>0</v>
      </c>
      <c r="L61" s="4" t="s">
        <v>821</v>
      </c>
      <c r="M61" s="4" t="s">
        <v>822</v>
      </c>
      <c r="N61" s="4"/>
    </row>
    <row r="62" customFormat="false" ht="15" hidden="false" customHeight="false" outlineLevel="0" collapsed="false">
      <c r="A62" s="4" t="s">
        <v>823</v>
      </c>
      <c r="B62" s="4" t="s">
        <v>539</v>
      </c>
      <c r="C62" s="22" t="n">
        <v>1</v>
      </c>
      <c r="D62" s="16" t="s">
        <v>824</v>
      </c>
      <c r="E62" s="16" t="s">
        <v>825</v>
      </c>
      <c r="F62" s="6" t="n">
        <v>46217</v>
      </c>
      <c r="G62" s="6" t="n">
        <v>46217</v>
      </c>
      <c r="H62" s="23" t="n">
        <f aca="false">ABS(F62-G62)</f>
        <v>0</v>
      </c>
      <c r="I62" s="7" t="n">
        <v>93183.53</v>
      </c>
      <c r="J62" s="7" t="n">
        <v>93183.53</v>
      </c>
      <c r="K62" s="7" t="n">
        <f aca="false">I62-J62</f>
        <v>0</v>
      </c>
      <c r="L62" s="4" t="s">
        <v>826</v>
      </c>
      <c r="M62" s="4" t="s">
        <v>827</v>
      </c>
      <c r="N62" s="4"/>
    </row>
    <row r="63" customFormat="false" ht="15" hidden="false" customHeight="false" outlineLevel="0" collapsed="false">
      <c r="A63" s="4" t="s">
        <v>828</v>
      </c>
      <c r="B63" s="4" t="s">
        <v>539</v>
      </c>
      <c r="C63" s="22" t="n">
        <v>1</v>
      </c>
      <c r="D63" s="16" t="s">
        <v>829</v>
      </c>
      <c r="E63" s="16" t="s">
        <v>830</v>
      </c>
      <c r="F63" s="6" t="n">
        <v>46217</v>
      </c>
      <c r="G63" s="6" t="n">
        <v>46217</v>
      </c>
      <c r="H63" s="23" t="n">
        <f aca="false">ABS(F63-G63)</f>
        <v>0</v>
      </c>
      <c r="I63" s="7" t="n">
        <v>86880.26</v>
      </c>
      <c r="J63" s="7" t="n">
        <v>86880.26</v>
      </c>
      <c r="K63" s="7" t="n">
        <f aca="false">I63-J63</f>
        <v>0</v>
      </c>
      <c r="L63" s="4" t="s">
        <v>831</v>
      </c>
      <c r="M63" s="4" t="s">
        <v>832</v>
      </c>
      <c r="N63" s="4"/>
    </row>
    <row r="64" customFormat="false" ht="15" hidden="false" customHeight="false" outlineLevel="0" collapsed="false">
      <c r="A64" s="4" t="s">
        <v>833</v>
      </c>
      <c r="B64" s="4" t="s">
        <v>539</v>
      </c>
      <c r="C64" s="22" t="n">
        <v>1</v>
      </c>
      <c r="D64" s="16" t="s">
        <v>834</v>
      </c>
      <c r="E64" s="16" t="s">
        <v>835</v>
      </c>
      <c r="F64" s="6" t="n">
        <v>46217</v>
      </c>
      <c r="G64" s="6" t="n">
        <v>46217</v>
      </c>
      <c r="H64" s="23" t="n">
        <f aca="false">ABS(F64-G64)</f>
        <v>0</v>
      </c>
      <c r="I64" s="7" t="n">
        <v>90857.1</v>
      </c>
      <c r="J64" s="7" t="n">
        <v>90857.1</v>
      </c>
      <c r="K64" s="7" t="n">
        <f aca="false">I64-J64</f>
        <v>0</v>
      </c>
      <c r="L64" s="4" t="s">
        <v>836</v>
      </c>
      <c r="M64" s="4" t="s">
        <v>837</v>
      </c>
      <c r="N64" s="4"/>
    </row>
    <row r="65" customFormat="false" ht="15" hidden="false" customHeight="false" outlineLevel="0" collapsed="false">
      <c r="A65" s="4" t="s">
        <v>838</v>
      </c>
      <c r="B65" s="4" t="s">
        <v>539</v>
      </c>
      <c r="C65" s="22" t="n">
        <v>1</v>
      </c>
      <c r="D65" s="16" t="s">
        <v>839</v>
      </c>
      <c r="E65" s="16" t="s">
        <v>840</v>
      </c>
      <c r="F65" s="6" t="n">
        <v>46217</v>
      </c>
      <c r="G65" s="6" t="n">
        <v>46217</v>
      </c>
      <c r="H65" s="23" t="n">
        <f aca="false">ABS(F65-G65)</f>
        <v>0</v>
      </c>
      <c r="I65" s="7" t="n">
        <v>86553.66</v>
      </c>
      <c r="J65" s="7" t="n">
        <v>86553.66</v>
      </c>
      <c r="K65" s="7" t="n">
        <f aca="false">I65-J65</f>
        <v>0</v>
      </c>
      <c r="L65" s="4" t="s">
        <v>841</v>
      </c>
      <c r="M65" s="4" t="s">
        <v>842</v>
      </c>
      <c r="N65" s="4"/>
    </row>
    <row r="66" customFormat="false" ht="15" hidden="false" customHeight="false" outlineLevel="0" collapsed="false">
      <c r="A66" s="4" t="s">
        <v>843</v>
      </c>
      <c r="B66" s="4" t="s">
        <v>539</v>
      </c>
      <c r="C66" s="22" t="n">
        <v>1</v>
      </c>
      <c r="D66" s="16" t="s">
        <v>844</v>
      </c>
      <c r="E66" s="16" t="s">
        <v>845</v>
      </c>
      <c r="F66" s="6" t="n">
        <v>46217</v>
      </c>
      <c r="G66" s="6" t="n">
        <v>46217</v>
      </c>
      <c r="H66" s="23" t="n">
        <f aca="false">ABS(F66-G66)</f>
        <v>0</v>
      </c>
      <c r="I66" s="7" t="n">
        <v>40942.37</v>
      </c>
      <c r="J66" s="7" t="n">
        <v>40942.37</v>
      </c>
      <c r="K66" s="7" t="n">
        <f aca="false">I66-J66</f>
        <v>0</v>
      </c>
      <c r="L66" s="4" t="s">
        <v>846</v>
      </c>
      <c r="M66" s="4" t="s">
        <v>847</v>
      </c>
      <c r="N66" s="4"/>
    </row>
    <row r="67" customFormat="false" ht="15" hidden="false" customHeight="false" outlineLevel="0" collapsed="false">
      <c r="A67" s="4" t="s">
        <v>848</v>
      </c>
      <c r="B67" s="4" t="s">
        <v>539</v>
      </c>
      <c r="C67" s="22" t="n">
        <v>1</v>
      </c>
      <c r="D67" s="16" t="s">
        <v>849</v>
      </c>
      <c r="E67" s="16" t="s">
        <v>850</v>
      </c>
      <c r="F67" s="6" t="n">
        <v>46218</v>
      </c>
      <c r="G67" s="6" t="n">
        <v>46218</v>
      </c>
      <c r="H67" s="23" t="n">
        <f aca="false">ABS(F67-G67)</f>
        <v>0</v>
      </c>
      <c r="I67" s="7" t="n">
        <v>-48279.75</v>
      </c>
      <c r="J67" s="7" t="n">
        <v>-48279.75</v>
      </c>
      <c r="K67" s="7" t="n">
        <f aca="false">I67-J67</f>
        <v>0</v>
      </c>
      <c r="L67" s="4" t="s">
        <v>851</v>
      </c>
      <c r="M67" s="4" t="s">
        <v>852</v>
      </c>
      <c r="N67" s="4"/>
    </row>
    <row r="68" customFormat="false" ht="15" hidden="false" customHeight="false" outlineLevel="0" collapsed="false">
      <c r="A68" s="4" t="s">
        <v>853</v>
      </c>
      <c r="B68" s="4" t="s">
        <v>539</v>
      </c>
      <c r="C68" s="22" t="n">
        <v>1</v>
      </c>
      <c r="D68" s="16" t="s">
        <v>854</v>
      </c>
      <c r="E68" s="16" t="s">
        <v>855</v>
      </c>
      <c r="F68" s="6" t="n">
        <v>46219</v>
      </c>
      <c r="G68" s="6" t="n">
        <v>46219</v>
      </c>
      <c r="H68" s="23" t="n">
        <f aca="false">ABS(F68-G68)</f>
        <v>0</v>
      </c>
      <c r="I68" s="7" t="n">
        <v>80198.19</v>
      </c>
      <c r="J68" s="7" t="n">
        <v>80198.19</v>
      </c>
      <c r="K68" s="7" t="n">
        <f aca="false">I68-J68</f>
        <v>0</v>
      </c>
      <c r="L68" s="4" t="s">
        <v>856</v>
      </c>
      <c r="M68" s="4" t="s">
        <v>857</v>
      </c>
      <c r="N68" s="4"/>
    </row>
    <row r="69" customFormat="false" ht="15" hidden="false" customHeight="false" outlineLevel="0" collapsed="false">
      <c r="A69" s="4" t="s">
        <v>858</v>
      </c>
      <c r="B69" s="4" t="s">
        <v>539</v>
      </c>
      <c r="C69" s="22" t="n">
        <v>1</v>
      </c>
      <c r="D69" s="16" t="s">
        <v>859</v>
      </c>
      <c r="E69" s="16" t="s">
        <v>860</v>
      </c>
      <c r="F69" s="6" t="n">
        <v>46220</v>
      </c>
      <c r="G69" s="6" t="n">
        <v>46220</v>
      </c>
      <c r="H69" s="23" t="n">
        <f aca="false">ABS(F69-G69)</f>
        <v>0</v>
      </c>
      <c r="I69" s="7" t="n">
        <v>41549.15</v>
      </c>
      <c r="J69" s="7" t="n">
        <v>41549.15</v>
      </c>
      <c r="K69" s="7" t="n">
        <f aca="false">I69-J69</f>
        <v>0</v>
      </c>
      <c r="L69" s="4" t="s">
        <v>861</v>
      </c>
      <c r="M69" s="4" t="s">
        <v>862</v>
      </c>
      <c r="N69" s="4"/>
    </row>
    <row r="70" customFormat="false" ht="15" hidden="false" customHeight="false" outlineLevel="0" collapsed="false">
      <c r="A70" s="4" t="s">
        <v>863</v>
      </c>
      <c r="B70" s="4" t="s">
        <v>539</v>
      </c>
      <c r="C70" s="22" t="n">
        <v>1</v>
      </c>
      <c r="D70" s="16" t="s">
        <v>864</v>
      </c>
      <c r="E70" s="16" t="s">
        <v>865</v>
      </c>
      <c r="F70" s="6" t="n">
        <v>46220</v>
      </c>
      <c r="G70" s="6" t="n">
        <v>46220</v>
      </c>
      <c r="H70" s="23" t="n">
        <f aca="false">ABS(F70-G70)</f>
        <v>0</v>
      </c>
      <c r="I70" s="7" t="n">
        <v>88263.49</v>
      </c>
      <c r="J70" s="7" t="n">
        <v>88263.49</v>
      </c>
      <c r="K70" s="7" t="n">
        <f aca="false">I70-J70</f>
        <v>0</v>
      </c>
      <c r="L70" s="4" t="s">
        <v>866</v>
      </c>
      <c r="M70" s="4" t="s">
        <v>867</v>
      </c>
      <c r="N70" s="4"/>
    </row>
    <row r="71" customFormat="false" ht="15" hidden="false" customHeight="false" outlineLevel="0" collapsed="false">
      <c r="A71" s="4" t="s">
        <v>868</v>
      </c>
      <c r="B71" s="4" t="s">
        <v>539</v>
      </c>
      <c r="C71" s="22" t="n">
        <v>1</v>
      </c>
      <c r="D71" s="16" t="s">
        <v>869</v>
      </c>
      <c r="E71" s="16" t="s">
        <v>870</v>
      </c>
      <c r="F71" s="6" t="n">
        <v>46220</v>
      </c>
      <c r="G71" s="6" t="n">
        <v>46220</v>
      </c>
      <c r="H71" s="23" t="n">
        <f aca="false">ABS(F71-G71)</f>
        <v>0</v>
      </c>
      <c r="I71" s="7" t="n">
        <v>-30856.54</v>
      </c>
      <c r="J71" s="7" t="n">
        <v>-30856.54</v>
      </c>
      <c r="K71" s="7" t="n">
        <f aca="false">I71-J71</f>
        <v>0</v>
      </c>
      <c r="L71" s="4" t="s">
        <v>871</v>
      </c>
      <c r="M71" s="4" t="s">
        <v>872</v>
      </c>
      <c r="N71" s="4"/>
    </row>
    <row r="72" customFormat="false" ht="15" hidden="false" customHeight="false" outlineLevel="0" collapsed="false">
      <c r="A72" s="4" t="s">
        <v>873</v>
      </c>
      <c r="B72" s="4" t="s">
        <v>539</v>
      </c>
      <c r="C72" s="22" t="n">
        <v>1</v>
      </c>
      <c r="D72" s="16" t="s">
        <v>874</v>
      </c>
      <c r="E72" s="16" t="s">
        <v>875</v>
      </c>
      <c r="F72" s="6" t="n">
        <v>46221</v>
      </c>
      <c r="G72" s="6" t="n">
        <v>46221</v>
      </c>
      <c r="H72" s="23" t="n">
        <f aca="false">ABS(F72-G72)</f>
        <v>0</v>
      </c>
      <c r="I72" s="7" t="n">
        <v>55563.27</v>
      </c>
      <c r="J72" s="7" t="n">
        <v>55563.27</v>
      </c>
      <c r="K72" s="7" t="n">
        <f aca="false">I72-J72</f>
        <v>0</v>
      </c>
      <c r="L72" s="4" t="s">
        <v>876</v>
      </c>
      <c r="M72" s="4" t="s">
        <v>877</v>
      </c>
      <c r="N72" s="4"/>
    </row>
    <row r="73" customFormat="false" ht="15" hidden="false" customHeight="false" outlineLevel="0" collapsed="false">
      <c r="A73" s="4" t="s">
        <v>878</v>
      </c>
      <c r="B73" s="4" t="s">
        <v>539</v>
      </c>
      <c r="C73" s="22" t="n">
        <v>1</v>
      </c>
      <c r="D73" s="16" t="s">
        <v>879</v>
      </c>
      <c r="E73" s="16" t="s">
        <v>880</v>
      </c>
      <c r="F73" s="6" t="n">
        <v>46221</v>
      </c>
      <c r="G73" s="6" t="n">
        <v>46221</v>
      </c>
      <c r="H73" s="23" t="n">
        <f aca="false">ABS(F73-G73)</f>
        <v>0</v>
      </c>
      <c r="I73" s="7" t="n">
        <v>-20799.04</v>
      </c>
      <c r="J73" s="7" t="n">
        <v>-20799.04</v>
      </c>
      <c r="K73" s="7" t="n">
        <f aca="false">I73-J73</f>
        <v>0</v>
      </c>
      <c r="L73" s="4" t="s">
        <v>881</v>
      </c>
      <c r="M73" s="4" t="s">
        <v>882</v>
      </c>
      <c r="N73" s="4"/>
    </row>
    <row r="74" customFormat="false" ht="15" hidden="false" customHeight="false" outlineLevel="0" collapsed="false">
      <c r="A74" s="4" t="s">
        <v>883</v>
      </c>
      <c r="B74" s="4" t="s">
        <v>539</v>
      </c>
      <c r="C74" s="22" t="n">
        <v>1</v>
      </c>
      <c r="D74" s="16" t="s">
        <v>884</v>
      </c>
      <c r="E74" s="16" t="s">
        <v>885</v>
      </c>
      <c r="F74" s="6" t="n">
        <v>46222</v>
      </c>
      <c r="G74" s="6" t="n">
        <v>46222</v>
      </c>
      <c r="H74" s="23" t="n">
        <f aca="false">ABS(F74-G74)</f>
        <v>0</v>
      </c>
      <c r="I74" s="7" t="n">
        <v>31690.41</v>
      </c>
      <c r="J74" s="7" t="n">
        <v>31690.41</v>
      </c>
      <c r="K74" s="7" t="n">
        <f aca="false">I74-J74</f>
        <v>0</v>
      </c>
      <c r="L74" s="4" t="s">
        <v>886</v>
      </c>
      <c r="M74" s="4" t="s">
        <v>887</v>
      </c>
      <c r="N74" s="4"/>
    </row>
    <row r="75" customFormat="false" ht="15" hidden="false" customHeight="false" outlineLevel="0" collapsed="false">
      <c r="A75" s="4" t="s">
        <v>888</v>
      </c>
      <c r="B75" s="4" t="s">
        <v>539</v>
      </c>
      <c r="C75" s="22" t="n">
        <v>1</v>
      </c>
      <c r="D75" s="16" t="s">
        <v>889</v>
      </c>
      <c r="E75" s="16" t="s">
        <v>890</v>
      </c>
      <c r="F75" s="6" t="n">
        <v>46222</v>
      </c>
      <c r="G75" s="6" t="n">
        <v>46222</v>
      </c>
      <c r="H75" s="23" t="n">
        <f aca="false">ABS(F75-G75)</f>
        <v>0</v>
      </c>
      <c r="I75" s="7" t="n">
        <v>59921.06</v>
      </c>
      <c r="J75" s="7" t="n">
        <v>59921.06</v>
      </c>
      <c r="K75" s="7" t="n">
        <f aca="false">I75-J75</f>
        <v>0</v>
      </c>
      <c r="L75" s="4" t="s">
        <v>891</v>
      </c>
      <c r="M75" s="4" t="s">
        <v>892</v>
      </c>
      <c r="N75" s="4"/>
    </row>
    <row r="76" customFormat="false" ht="15" hidden="false" customHeight="false" outlineLevel="0" collapsed="false">
      <c r="A76" s="4" t="s">
        <v>893</v>
      </c>
      <c r="B76" s="4" t="s">
        <v>539</v>
      </c>
      <c r="C76" s="22" t="n">
        <v>1</v>
      </c>
      <c r="D76" s="16" t="s">
        <v>894</v>
      </c>
      <c r="E76" s="16" t="s">
        <v>895</v>
      </c>
      <c r="F76" s="6" t="n">
        <v>46222</v>
      </c>
      <c r="G76" s="6" t="n">
        <v>46222</v>
      </c>
      <c r="H76" s="23" t="n">
        <f aca="false">ABS(F76-G76)</f>
        <v>0</v>
      </c>
      <c r="I76" s="7" t="n">
        <v>36921.19</v>
      </c>
      <c r="J76" s="7" t="n">
        <v>36921.19</v>
      </c>
      <c r="K76" s="7" t="n">
        <f aca="false">I76-J76</f>
        <v>0</v>
      </c>
      <c r="L76" s="4" t="s">
        <v>896</v>
      </c>
      <c r="M76" s="4" t="s">
        <v>897</v>
      </c>
      <c r="N76" s="4"/>
    </row>
    <row r="77" customFormat="false" ht="15" hidden="false" customHeight="false" outlineLevel="0" collapsed="false">
      <c r="A77" s="4" t="s">
        <v>898</v>
      </c>
      <c r="B77" s="4" t="s">
        <v>539</v>
      </c>
      <c r="C77" s="22" t="n">
        <v>1</v>
      </c>
      <c r="D77" s="16" t="s">
        <v>899</v>
      </c>
      <c r="E77" s="16" t="s">
        <v>900</v>
      </c>
      <c r="F77" s="6" t="n">
        <v>46222</v>
      </c>
      <c r="G77" s="6" t="n">
        <v>46222</v>
      </c>
      <c r="H77" s="23" t="n">
        <f aca="false">ABS(F77-G77)</f>
        <v>0</v>
      </c>
      <c r="I77" s="7" t="n">
        <v>12339.1</v>
      </c>
      <c r="J77" s="7" t="n">
        <v>12339.1</v>
      </c>
      <c r="K77" s="7" t="n">
        <f aca="false">I77-J77</f>
        <v>0</v>
      </c>
      <c r="L77" s="4" t="s">
        <v>901</v>
      </c>
      <c r="M77" s="4" t="s">
        <v>902</v>
      </c>
      <c r="N77" s="4"/>
    </row>
    <row r="78" customFormat="false" ht="15" hidden="false" customHeight="false" outlineLevel="0" collapsed="false">
      <c r="A78" s="4" t="s">
        <v>903</v>
      </c>
      <c r="B78" s="4" t="s">
        <v>539</v>
      </c>
      <c r="C78" s="22" t="n">
        <v>1</v>
      </c>
      <c r="D78" s="16" t="s">
        <v>904</v>
      </c>
      <c r="E78" s="16" t="s">
        <v>905</v>
      </c>
      <c r="F78" s="6" t="n">
        <v>46222</v>
      </c>
      <c r="G78" s="6" t="n">
        <v>46222</v>
      </c>
      <c r="H78" s="23" t="n">
        <f aca="false">ABS(F78-G78)</f>
        <v>0</v>
      </c>
      <c r="I78" s="7" t="n">
        <v>47590.15</v>
      </c>
      <c r="J78" s="7" t="n">
        <v>47590.15</v>
      </c>
      <c r="K78" s="7" t="n">
        <f aca="false">I78-J78</f>
        <v>0</v>
      </c>
      <c r="L78" s="4" t="s">
        <v>906</v>
      </c>
      <c r="M78" s="4" t="s">
        <v>907</v>
      </c>
      <c r="N78" s="4"/>
    </row>
    <row r="79" customFormat="false" ht="15" hidden="false" customHeight="false" outlineLevel="0" collapsed="false">
      <c r="A79" s="4" t="s">
        <v>908</v>
      </c>
      <c r="B79" s="4" t="s">
        <v>539</v>
      </c>
      <c r="C79" s="22" t="n">
        <v>1</v>
      </c>
      <c r="D79" s="16" t="s">
        <v>909</v>
      </c>
      <c r="E79" s="16" t="s">
        <v>910</v>
      </c>
      <c r="F79" s="6" t="n">
        <v>46222</v>
      </c>
      <c r="G79" s="6" t="n">
        <v>46222</v>
      </c>
      <c r="H79" s="23" t="n">
        <f aca="false">ABS(F79-G79)</f>
        <v>0</v>
      </c>
      <c r="I79" s="7" t="n">
        <v>68646.79</v>
      </c>
      <c r="J79" s="7" t="n">
        <v>68646.79</v>
      </c>
      <c r="K79" s="7" t="n">
        <f aca="false">I79-J79</f>
        <v>0</v>
      </c>
      <c r="L79" s="4" t="s">
        <v>911</v>
      </c>
      <c r="M79" s="4" t="s">
        <v>912</v>
      </c>
      <c r="N79" s="4"/>
    </row>
    <row r="80" customFormat="false" ht="15" hidden="false" customHeight="false" outlineLevel="0" collapsed="false">
      <c r="A80" s="4" t="s">
        <v>913</v>
      </c>
      <c r="B80" s="4" t="s">
        <v>539</v>
      </c>
      <c r="C80" s="22" t="n">
        <v>1</v>
      </c>
      <c r="D80" s="16" t="s">
        <v>914</v>
      </c>
      <c r="E80" s="16" t="s">
        <v>915</v>
      </c>
      <c r="F80" s="6" t="n">
        <v>46222</v>
      </c>
      <c r="G80" s="6" t="n">
        <v>46222</v>
      </c>
      <c r="H80" s="23" t="n">
        <f aca="false">ABS(F80-G80)</f>
        <v>0</v>
      </c>
      <c r="I80" s="7" t="n">
        <v>24938.09</v>
      </c>
      <c r="J80" s="7" t="n">
        <v>24938.09</v>
      </c>
      <c r="K80" s="7" t="n">
        <f aca="false">I80-J80</f>
        <v>0</v>
      </c>
      <c r="L80" s="4" t="s">
        <v>916</v>
      </c>
      <c r="M80" s="4" t="s">
        <v>917</v>
      </c>
      <c r="N80" s="4"/>
    </row>
    <row r="81" customFormat="false" ht="15" hidden="false" customHeight="false" outlineLevel="0" collapsed="false">
      <c r="A81" s="4" t="s">
        <v>918</v>
      </c>
      <c r="B81" s="4" t="s">
        <v>539</v>
      </c>
      <c r="C81" s="22" t="n">
        <v>1</v>
      </c>
      <c r="D81" s="16" t="s">
        <v>919</v>
      </c>
      <c r="E81" s="16" t="s">
        <v>920</v>
      </c>
      <c r="F81" s="6" t="n">
        <v>46222</v>
      </c>
      <c r="G81" s="6" t="n">
        <v>46222</v>
      </c>
      <c r="H81" s="23" t="n">
        <f aca="false">ABS(F81-G81)</f>
        <v>0</v>
      </c>
      <c r="I81" s="7" t="n">
        <v>-34456.98</v>
      </c>
      <c r="J81" s="7" t="n">
        <v>-34456.98</v>
      </c>
      <c r="K81" s="7" t="n">
        <f aca="false">I81-J81</f>
        <v>0</v>
      </c>
      <c r="L81" s="4" t="s">
        <v>921</v>
      </c>
      <c r="M81" s="4" t="s">
        <v>922</v>
      </c>
      <c r="N81" s="4"/>
    </row>
    <row r="82" customFormat="false" ht="15" hidden="false" customHeight="false" outlineLevel="0" collapsed="false">
      <c r="A82" s="4" t="s">
        <v>923</v>
      </c>
      <c r="B82" s="4" t="s">
        <v>539</v>
      </c>
      <c r="C82" s="22" t="n">
        <v>1</v>
      </c>
      <c r="D82" s="16" t="s">
        <v>924</v>
      </c>
      <c r="E82" s="16" t="s">
        <v>925</v>
      </c>
      <c r="F82" s="6" t="n">
        <v>46223</v>
      </c>
      <c r="G82" s="6" t="n">
        <v>46223</v>
      </c>
      <c r="H82" s="23" t="n">
        <f aca="false">ABS(F82-G82)</f>
        <v>0</v>
      </c>
      <c r="I82" s="7" t="n">
        <v>58987.03</v>
      </c>
      <c r="J82" s="7" t="n">
        <v>58987.03</v>
      </c>
      <c r="K82" s="7" t="n">
        <f aca="false">I82-J82</f>
        <v>0</v>
      </c>
      <c r="L82" s="4" t="s">
        <v>926</v>
      </c>
      <c r="M82" s="4" t="s">
        <v>927</v>
      </c>
      <c r="N82" s="4"/>
    </row>
    <row r="83" customFormat="false" ht="15" hidden="false" customHeight="false" outlineLevel="0" collapsed="false">
      <c r="A83" s="4" t="s">
        <v>928</v>
      </c>
      <c r="B83" s="4" t="s">
        <v>539</v>
      </c>
      <c r="C83" s="22" t="n">
        <v>1</v>
      </c>
      <c r="D83" s="16" t="s">
        <v>929</v>
      </c>
      <c r="E83" s="16" t="s">
        <v>930</v>
      </c>
      <c r="F83" s="6" t="n">
        <v>46223</v>
      </c>
      <c r="G83" s="6" t="n">
        <v>46223</v>
      </c>
      <c r="H83" s="23" t="n">
        <f aca="false">ABS(F83-G83)</f>
        <v>0</v>
      </c>
      <c r="I83" s="7" t="n">
        <v>36047.11</v>
      </c>
      <c r="J83" s="7" t="n">
        <v>36047.11</v>
      </c>
      <c r="K83" s="7" t="n">
        <f aca="false">I83-J83</f>
        <v>0</v>
      </c>
      <c r="L83" s="4" t="s">
        <v>931</v>
      </c>
      <c r="M83" s="4" t="s">
        <v>932</v>
      </c>
      <c r="N83" s="4"/>
    </row>
    <row r="84" customFormat="false" ht="15" hidden="false" customHeight="false" outlineLevel="0" collapsed="false">
      <c r="A84" s="4" t="s">
        <v>933</v>
      </c>
      <c r="B84" s="4" t="s">
        <v>539</v>
      </c>
      <c r="C84" s="22" t="n">
        <v>1</v>
      </c>
      <c r="D84" s="16" t="s">
        <v>934</v>
      </c>
      <c r="E84" s="16" t="s">
        <v>935</v>
      </c>
      <c r="F84" s="6" t="n">
        <v>46223</v>
      </c>
      <c r="G84" s="6" t="n">
        <v>46223</v>
      </c>
      <c r="H84" s="23" t="n">
        <f aca="false">ABS(F84-G84)</f>
        <v>0</v>
      </c>
      <c r="I84" s="7" t="n">
        <v>44580.3</v>
      </c>
      <c r="J84" s="7" t="n">
        <v>44580.3</v>
      </c>
      <c r="K84" s="7" t="n">
        <f aca="false">I84-J84</f>
        <v>0</v>
      </c>
      <c r="L84" s="4" t="s">
        <v>936</v>
      </c>
      <c r="M84" s="4" t="s">
        <v>937</v>
      </c>
      <c r="N84" s="4"/>
    </row>
    <row r="85" customFormat="false" ht="15" hidden="false" customHeight="false" outlineLevel="0" collapsed="false">
      <c r="A85" s="4" t="s">
        <v>938</v>
      </c>
      <c r="B85" s="4" t="s">
        <v>539</v>
      </c>
      <c r="C85" s="22" t="n">
        <v>1</v>
      </c>
      <c r="D85" s="16" t="s">
        <v>939</v>
      </c>
      <c r="E85" s="16" t="s">
        <v>940</v>
      </c>
      <c r="F85" s="6" t="n">
        <v>46223</v>
      </c>
      <c r="G85" s="6" t="n">
        <v>46223</v>
      </c>
      <c r="H85" s="23" t="n">
        <f aca="false">ABS(F85-G85)</f>
        <v>0</v>
      </c>
      <c r="I85" s="7" t="n">
        <v>22529.48</v>
      </c>
      <c r="J85" s="7" t="n">
        <v>22529.48</v>
      </c>
      <c r="K85" s="7" t="n">
        <f aca="false">I85-J85</f>
        <v>0</v>
      </c>
      <c r="L85" s="4" t="s">
        <v>941</v>
      </c>
      <c r="M85" s="4" t="s">
        <v>942</v>
      </c>
      <c r="N85" s="4"/>
    </row>
    <row r="86" customFormat="false" ht="15" hidden="false" customHeight="false" outlineLevel="0" collapsed="false">
      <c r="A86" s="4" t="s">
        <v>943</v>
      </c>
      <c r="B86" s="4" t="s">
        <v>539</v>
      </c>
      <c r="C86" s="22" t="n">
        <v>1</v>
      </c>
      <c r="D86" s="16" t="s">
        <v>944</v>
      </c>
      <c r="E86" s="16" t="s">
        <v>945</v>
      </c>
      <c r="F86" s="6" t="n">
        <v>46224</v>
      </c>
      <c r="G86" s="6" t="n">
        <v>46224</v>
      </c>
      <c r="H86" s="23" t="n">
        <f aca="false">ABS(F86-G86)</f>
        <v>0</v>
      </c>
      <c r="I86" s="7" t="n">
        <v>90105.32</v>
      </c>
      <c r="J86" s="7" t="n">
        <v>90105.32</v>
      </c>
      <c r="K86" s="7" t="n">
        <f aca="false">I86-J86</f>
        <v>0</v>
      </c>
      <c r="L86" s="4" t="s">
        <v>946</v>
      </c>
      <c r="M86" s="4" t="s">
        <v>947</v>
      </c>
      <c r="N86" s="4"/>
    </row>
    <row r="87" customFormat="false" ht="15" hidden="false" customHeight="false" outlineLevel="0" collapsed="false">
      <c r="A87" s="4" t="s">
        <v>948</v>
      </c>
      <c r="B87" s="4" t="s">
        <v>539</v>
      </c>
      <c r="C87" s="22" t="n">
        <v>1</v>
      </c>
      <c r="D87" s="16" t="s">
        <v>949</v>
      </c>
      <c r="E87" s="16" t="s">
        <v>950</v>
      </c>
      <c r="F87" s="6" t="n">
        <v>46224</v>
      </c>
      <c r="G87" s="6" t="n">
        <v>46224</v>
      </c>
      <c r="H87" s="23" t="n">
        <f aca="false">ABS(F87-G87)</f>
        <v>0</v>
      </c>
      <c r="I87" s="7" t="n">
        <v>36554.9</v>
      </c>
      <c r="J87" s="7" t="n">
        <v>36554.9</v>
      </c>
      <c r="K87" s="7" t="n">
        <f aca="false">I87-J87</f>
        <v>0</v>
      </c>
      <c r="L87" s="4" t="s">
        <v>951</v>
      </c>
      <c r="M87" s="4" t="s">
        <v>952</v>
      </c>
      <c r="N87" s="4"/>
    </row>
    <row r="88" customFormat="false" ht="15" hidden="false" customHeight="false" outlineLevel="0" collapsed="false">
      <c r="A88" s="4" t="s">
        <v>953</v>
      </c>
      <c r="B88" s="4" t="s">
        <v>539</v>
      </c>
      <c r="C88" s="22" t="n">
        <v>1</v>
      </c>
      <c r="D88" s="16" t="s">
        <v>954</v>
      </c>
      <c r="E88" s="16" t="s">
        <v>955</v>
      </c>
      <c r="F88" s="6" t="n">
        <v>46224</v>
      </c>
      <c r="G88" s="6" t="n">
        <v>46224</v>
      </c>
      <c r="H88" s="23" t="n">
        <f aca="false">ABS(F88-G88)</f>
        <v>0</v>
      </c>
      <c r="I88" s="7" t="n">
        <v>60071.55</v>
      </c>
      <c r="J88" s="7" t="n">
        <v>60071.55</v>
      </c>
      <c r="K88" s="7" t="n">
        <f aca="false">I88-J88</f>
        <v>0</v>
      </c>
      <c r="L88" s="4" t="s">
        <v>956</v>
      </c>
      <c r="M88" s="4" t="s">
        <v>957</v>
      </c>
      <c r="N88" s="4"/>
    </row>
    <row r="89" customFormat="false" ht="15" hidden="false" customHeight="false" outlineLevel="0" collapsed="false">
      <c r="A89" s="4" t="s">
        <v>958</v>
      </c>
      <c r="B89" s="4" t="s">
        <v>539</v>
      </c>
      <c r="C89" s="22" t="n">
        <v>1</v>
      </c>
      <c r="D89" s="16" t="s">
        <v>959</v>
      </c>
      <c r="E89" s="16" t="s">
        <v>960</v>
      </c>
      <c r="F89" s="6" t="n">
        <v>46225</v>
      </c>
      <c r="G89" s="6" t="n">
        <v>46225</v>
      </c>
      <c r="H89" s="23" t="n">
        <f aca="false">ABS(F89-G89)</f>
        <v>0</v>
      </c>
      <c r="I89" s="7" t="n">
        <v>87275.79</v>
      </c>
      <c r="J89" s="7" t="n">
        <v>87275.79</v>
      </c>
      <c r="K89" s="7" t="n">
        <f aca="false">I89-J89</f>
        <v>0</v>
      </c>
      <c r="L89" s="4" t="s">
        <v>961</v>
      </c>
      <c r="M89" s="4" t="s">
        <v>962</v>
      </c>
      <c r="N89" s="4"/>
    </row>
    <row r="90" customFormat="false" ht="15" hidden="false" customHeight="false" outlineLevel="0" collapsed="false">
      <c r="A90" s="4" t="s">
        <v>963</v>
      </c>
      <c r="B90" s="4" t="s">
        <v>539</v>
      </c>
      <c r="C90" s="22" t="n">
        <v>1</v>
      </c>
      <c r="D90" s="16" t="s">
        <v>964</v>
      </c>
      <c r="E90" s="16" t="s">
        <v>965</v>
      </c>
      <c r="F90" s="6" t="n">
        <v>46225</v>
      </c>
      <c r="G90" s="6" t="n">
        <v>46225</v>
      </c>
      <c r="H90" s="23" t="n">
        <f aca="false">ABS(F90-G90)</f>
        <v>0</v>
      </c>
      <c r="I90" s="7" t="n">
        <v>-31763.46</v>
      </c>
      <c r="J90" s="7" t="n">
        <v>-31763.46</v>
      </c>
      <c r="K90" s="7" t="n">
        <f aca="false">I90-J90</f>
        <v>0</v>
      </c>
      <c r="L90" s="4" t="s">
        <v>966</v>
      </c>
      <c r="M90" s="4" t="s">
        <v>967</v>
      </c>
      <c r="N90" s="4"/>
    </row>
    <row r="91" customFormat="false" ht="15" hidden="false" customHeight="false" outlineLevel="0" collapsed="false">
      <c r="A91" s="4" t="s">
        <v>968</v>
      </c>
      <c r="B91" s="4" t="s">
        <v>539</v>
      </c>
      <c r="C91" s="22" t="n">
        <v>1</v>
      </c>
      <c r="D91" s="16" t="s">
        <v>969</v>
      </c>
      <c r="E91" s="16" t="s">
        <v>970</v>
      </c>
      <c r="F91" s="6" t="n">
        <v>46226</v>
      </c>
      <c r="G91" s="6" t="n">
        <v>46226</v>
      </c>
      <c r="H91" s="23" t="n">
        <f aca="false">ABS(F91-G91)</f>
        <v>0</v>
      </c>
      <c r="I91" s="7" t="n">
        <v>24198.67</v>
      </c>
      <c r="J91" s="7" t="n">
        <v>24198.67</v>
      </c>
      <c r="K91" s="7" t="n">
        <f aca="false">I91-J91</f>
        <v>0</v>
      </c>
      <c r="L91" s="4" t="s">
        <v>971</v>
      </c>
      <c r="M91" s="4" t="s">
        <v>972</v>
      </c>
      <c r="N91" s="4"/>
    </row>
    <row r="92" customFormat="false" ht="15" hidden="false" customHeight="false" outlineLevel="0" collapsed="false">
      <c r="A92" s="4" t="s">
        <v>973</v>
      </c>
      <c r="B92" s="4" t="s">
        <v>539</v>
      </c>
      <c r="C92" s="22" t="n">
        <v>1</v>
      </c>
      <c r="D92" s="16" t="s">
        <v>974</v>
      </c>
      <c r="E92" s="16" t="s">
        <v>975</v>
      </c>
      <c r="F92" s="6" t="n">
        <v>46226</v>
      </c>
      <c r="G92" s="6" t="n">
        <v>46226</v>
      </c>
      <c r="H92" s="23" t="n">
        <f aca="false">ABS(F92-G92)</f>
        <v>0</v>
      </c>
      <c r="I92" s="7" t="n">
        <v>-48122.69</v>
      </c>
      <c r="J92" s="7" t="n">
        <v>-48122.69</v>
      </c>
      <c r="K92" s="7" t="n">
        <f aca="false">I92-J92</f>
        <v>0</v>
      </c>
      <c r="L92" s="4" t="s">
        <v>976</v>
      </c>
      <c r="M92" s="4" t="s">
        <v>977</v>
      </c>
      <c r="N92" s="4"/>
    </row>
    <row r="93" customFormat="false" ht="15" hidden="false" customHeight="false" outlineLevel="0" collapsed="false">
      <c r="A93" s="4" t="s">
        <v>978</v>
      </c>
      <c r="B93" s="4" t="s">
        <v>539</v>
      </c>
      <c r="C93" s="22" t="n">
        <v>1</v>
      </c>
      <c r="D93" s="16" t="s">
        <v>979</v>
      </c>
      <c r="E93" s="16" t="s">
        <v>980</v>
      </c>
      <c r="F93" s="6" t="n">
        <v>46226</v>
      </c>
      <c r="G93" s="6" t="n">
        <v>46226</v>
      </c>
      <c r="H93" s="23" t="n">
        <f aca="false">ABS(F93-G93)</f>
        <v>0</v>
      </c>
      <c r="I93" s="7" t="n">
        <v>-59698.35</v>
      </c>
      <c r="J93" s="7" t="n">
        <v>-59698.35</v>
      </c>
      <c r="K93" s="7" t="n">
        <f aca="false">I93-J93</f>
        <v>0</v>
      </c>
      <c r="L93" s="4" t="s">
        <v>981</v>
      </c>
      <c r="M93" s="4" t="s">
        <v>982</v>
      </c>
      <c r="N93" s="4"/>
    </row>
    <row r="94" customFormat="false" ht="15" hidden="false" customHeight="false" outlineLevel="0" collapsed="false">
      <c r="A94" s="4" t="s">
        <v>983</v>
      </c>
      <c r="B94" s="4" t="s">
        <v>539</v>
      </c>
      <c r="C94" s="22" t="n">
        <v>1</v>
      </c>
      <c r="D94" s="16" t="s">
        <v>984</v>
      </c>
      <c r="E94" s="16" t="s">
        <v>985</v>
      </c>
      <c r="F94" s="6" t="n">
        <v>46227</v>
      </c>
      <c r="G94" s="6" t="n">
        <v>46227</v>
      </c>
      <c r="H94" s="23" t="n">
        <f aca="false">ABS(F94-G94)</f>
        <v>0</v>
      </c>
      <c r="I94" s="7" t="n">
        <v>27094.37</v>
      </c>
      <c r="J94" s="7" t="n">
        <v>27094.37</v>
      </c>
      <c r="K94" s="7" t="n">
        <f aca="false">I94-J94</f>
        <v>0</v>
      </c>
      <c r="L94" s="4" t="s">
        <v>986</v>
      </c>
      <c r="M94" s="4" t="s">
        <v>987</v>
      </c>
      <c r="N94" s="4"/>
    </row>
    <row r="95" customFormat="false" ht="15" hidden="false" customHeight="false" outlineLevel="0" collapsed="false">
      <c r="A95" s="4" t="s">
        <v>988</v>
      </c>
      <c r="B95" s="4" t="s">
        <v>539</v>
      </c>
      <c r="C95" s="22" t="n">
        <v>1</v>
      </c>
      <c r="D95" s="16" t="s">
        <v>989</v>
      </c>
      <c r="E95" s="16" t="s">
        <v>990</v>
      </c>
      <c r="F95" s="6" t="n">
        <v>46227</v>
      </c>
      <c r="G95" s="6" t="n">
        <v>46227</v>
      </c>
      <c r="H95" s="23" t="n">
        <f aca="false">ABS(F95-G95)</f>
        <v>0</v>
      </c>
      <c r="I95" s="7" t="n">
        <v>48610.36</v>
      </c>
      <c r="J95" s="7" t="n">
        <v>48610.36</v>
      </c>
      <c r="K95" s="7" t="n">
        <f aca="false">I95-J95</f>
        <v>0</v>
      </c>
      <c r="L95" s="4" t="s">
        <v>991</v>
      </c>
      <c r="M95" s="4" t="s">
        <v>992</v>
      </c>
      <c r="N95" s="4"/>
    </row>
    <row r="96" customFormat="false" ht="15" hidden="false" customHeight="false" outlineLevel="0" collapsed="false">
      <c r="A96" s="4" t="s">
        <v>993</v>
      </c>
      <c r="B96" s="4" t="s">
        <v>539</v>
      </c>
      <c r="C96" s="22" t="n">
        <v>1</v>
      </c>
      <c r="D96" s="16" t="s">
        <v>994</v>
      </c>
      <c r="E96" s="16" t="s">
        <v>995</v>
      </c>
      <c r="F96" s="6" t="n">
        <v>46227</v>
      </c>
      <c r="G96" s="6" t="n">
        <v>46227</v>
      </c>
      <c r="H96" s="23" t="n">
        <f aca="false">ABS(F96-G96)</f>
        <v>0</v>
      </c>
      <c r="I96" s="7" t="n">
        <v>5320.72</v>
      </c>
      <c r="J96" s="7" t="n">
        <v>5320.72</v>
      </c>
      <c r="K96" s="7" t="n">
        <f aca="false">I96-J96</f>
        <v>0</v>
      </c>
      <c r="L96" s="4" t="s">
        <v>996</v>
      </c>
      <c r="M96" s="4" t="s">
        <v>997</v>
      </c>
      <c r="N96" s="4"/>
    </row>
    <row r="97" customFormat="false" ht="15" hidden="false" customHeight="false" outlineLevel="0" collapsed="false">
      <c r="A97" s="4" t="s">
        <v>998</v>
      </c>
      <c r="B97" s="4" t="s">
        <v>539</v>
      </c>
      <c r="C97" s="22" t="n">
        <v>1</v>
      </c>
      <c r="D97" s="16" t="s">
        <v>999</v>
      </c>
      <c r="E97" s="16" t="s">
        <v>1000</v>
      </c>
      <c r="F97" s="6" t="n">
        <v>46227</v>
      </c>
      <c r="G97" s="6" t="n">
        <v>46227</v>
      </c>
      <c r="H97" s="23" t="n">
        <f aca="false">ABS(F97-G97)</f>
        <v>0</v>
      </c>
      <c r="I97" s="7" t="n">
        <v>23580.31</v>
      </c>
      <c r="J97" s="7" t="n">
        <v>23580.31</v>
      </c>
      <c r="K97" s="7" t="n">
        <f aca="false">I97-J97</f>
        <v>0</v>
      </c>
      <c r="L97" s="4" t="s">
        <v>1001</v>
      </c>
      <c r="M97" s="4" t="s">
        <v>1002</v>
      </c>
      <c r="N97" s="4"/>
    </row>
    <row r="98" customFormat="false" ht="15" hidden="false" customHeight="false" outlineLevel="0" collapsed="false">
      <c r="A98" s="4" t="s">
        <v>1003</v>
      </c>
      <c r="B98" s="4" t="s">
        <v>539</v>
      </c>
      <c r="C98" s="22" t="n">
        <v>1</v>
      </c>
      <c r="D98" s="16" t="s">
        <v>1004</v>
      </c>
      <c r="E98" s="16" t="s">
        <v>1005</v>
      </c>
      <c r="F98" s="6" t="n">
        <v>46228</v>
      </c>
      <c r="G98" s="6" t="n">
        <v>46228</v>
      </c>
      <c r="H98" s="23" t="n">
        <f aca="false">ABS(F98-G98)</f>
        <v>0</v>
      </c>
      <c r="I98" s="7" t="n">
        <v>75532.73</v>
      </c>
      <c r="J98" s="7" t="n">
        <v>75532.73</v>
      </c>
      <c r="K98" s="7" t="n">
        <f aca="false">I98-J98</f>
        <v>0</v>
      </c>
      <c r="L98" s="4" t="s">
        <v>1006</v>
      </c>
      <c r="M98" s="4" t="s">
        <v>1007</v>
      </c>
      <c r="N98" s="4"/>
    </row>
    <row r="99" customFormat="false" ht="15" hidden="false" customHeight="false" outlineLevel="0" collapsed="false">
      <c r="A99" s="4" t="s">
        <v>1008</v>
      </c>
      <c r="B99" s="4" t="s">
        <v>539</v>
      </c>
      <c r="C99" s="22" t="n">
        <v>1</v>
      </c>
      <c r="D99" s="16" t="s">
        <v>1009</v>
      </c>
      <c r="E99" s="16" t="s">
        <v>1010</v>
      </c>
      <c r="F99" s="6" t="n">
        <v>46228</v>
      </c>
      <c r="G99" s="6" t="n">
        <v>46228</v>
      </c>
      <c r="H99" s="23" t="n">
        <f aca="false">ABS(F99-G99)</f>
        <v>0</v>
      </c>
      <c r="I99" s="7" t="n">
        <v>31677.85</v>
      </c>
      <c r="J99" s="7" t="n">
        <v>31677.85</v>
      </c>
      <c r="K99" s="7" t="n">
        <f aca="false">I99-J99</f>
        <v>0</v>
      </c>
      <c r="L99" s="4" t="s">
        <v>1011</v>
      </c>
      <c r="M99" s="4" t="s">
        <v>1012</v>
      </c>
      <c r="N99" s="4"/>
    </row>
    <row r="100" customFormat="false" ht="15" hidden="false" customHeight="false" outlineLevel="0" collapsed="false">
      <c r="A100" s="4" t="s">
        <v>1013</v>
      </c>
      <c r="B100" s="4" t="s">
        <v>539</v>
      </c>
      <c r="C100" s="22" t="n">
        <v>1</v>
      </c>
      <c r="D100" s="16" t="s">
        <v>1014</v>
      </c>
      <c r="E100" s="16" t="s">
        <v>1015</v>
      </c>
      <c r="F100" s="6" t="n">
        <v>46228</v>
      </c>
      <c r="G100" s="6" t="n">
        <v>46228</v>
      </c>
      <c r="H100" s="23" t="n">
        <f aca="false">ABS(F100-G100)</f>
        <v>0</v>
      </c>
      <c r="I100" s="7" t="n">
        <v>78039.78</v>
      </c>
      <c r="J100" s="7" t="n">
        <v>78039.78</v>
      </c>
      <c r="K100" s="7" t="n">
        <f aca="false">I100-J100</f>
        <v>0</v>
      </c>
      <c r="L100" s="4" t="s">
        <v>1016</v>
      </c>
      <c r="M100" s="4" t="s">
        <v>1017</v>
      </c>
      <c r="N100" s="4"/>
    </row>
    <row r="101" customFormat="false" ht="15" hidden="false" customHeight="false" outlineLevel="0" collapsed="false">
      <c r="A101" s="4" t="s">
        <v>1018</v>
      </c>
      <c r="B101" s="4" t="s">
        <v>539</v>
      </c>
      <c r="C101" s="22" t="n">
        <v>1</v>
      </c>
      <c r="D101" s="16" t="s">
        <v>1019</v>
      </c>
      <c r="E101" s="16" t="s">
        <v>1020</v>
      </c>
      <c r="F101" s="6" t="n">
        <v>46228</v>
      </c>
      <c r="G101" s="6" t="n">
        <v>46228</v>
      </c>
      <c r="H101" s="23" t="n">
        <f aca="false">ABS(F101-G101)</f>
        <v>0</v>
      </c>
      <c r="I101" s="7" t="n">
        <v>-45627.98</v>
      </c>
      <c r="J101" s="7" t="n">
        <v>-45627.98</v>
      </c>
      <c r="K101" s="7" t="n">
        <f aca="false">I101-J101</f>
        <v>0</v>
      </c>
      <c r="L101" s="4" t="s">
        <v>1021</v>
      </c>
      <c r="M101" s="4" t="s">
        <v>179</v>
      </c>
      <c r="N101" s="4"/>
    </row>
    <row r="102" customFormat="false" ht="15" hidden="false" customHeight="false" outlineLevel="0" collapsed="false">
      <c r="A102" s="4" t="s">
        <v>1022</v>
      </c>
      <c r="B102" s="4" t="s">
        <v>539</v>
      </c>
      <c r="C102" s="22" t="n">
        <v>1</v>
      </c>
      <c r="D102" s="16" t="s">
        <v>1023</v>
      </c>
      <c r="E102" s="16" t="s">
        <v>1024</v>
      </c>
      <c r="F102" s="6" t="n">
        <v>46229</v>
      </c>
      <c r="G102" s="6" t="n">
        <v>46229</v>
      </c>
      <c r="H102" s="23" t="n">
        <f aca="false">ABS(F102-G102)</f>
        <v>0</v>
      </c>
      <c r="I102" s="7" t="n">
        <v>49254.29</v>
      </c>
      <c r="J102" s="7" t="n">
        <v>49254.29</v>
      </c>
      <c r="K102" s="7" t="n">
        <f aca="false">I102-J102</f>
        <v>0</v>
      </c>
      <c r="L102" s="4" t="s">
        <v>1025</v>
      </c>
      <c r="M102" s="4" t="s">
        <v>1026</v>
      </c>
      <c r="N102" s="4"/>
    </row>
    <row r="103" customFormat="false" ht="15" hidden="false" customHeight="false" outlineLevel="0" collapsed="false">
      <c r="A103" s="4" t="s">
        <v>1027</v>
      </c>
      <c r="B103" s="4" t="s">
        <v>539</v>
      </c>
      <c r="C103" s="22" t="n">
        <v>1</v>
      </c>
      <c r="D103" s="16" t="s">
        <v>1028</v>
      </c>
      <c r="E103" s="16" t="s">
        <v>1029</v>
      </c>
      <c r="F103" s="6" t="n">
        <v>46229</v>
      </c>
      <c r="G103" s="6" t="n">
        <v>46229</v>
      </c>
      <c r="H103" s="23" t="n">
        <f aca="false">ABS(F103-G103)</f>
        <v>0</v>
      </c>
      <c r="I103" s="7" t="n">
        <v>63425.59</v>
      </c>
      <c r="J103" s="7" t="n">
        <v>63425.59</v>
      </c>
      <c r="K103" s="7" t="n">
        <f aca="false">I103-J103</f>
        <v>0</v>
      </c>
      <c r="L103" s="4" t="s">
        <v>1030</v>
      </c>
      <c r="M103" s="4" t="s">
        <v>1031</v>
      </c>
      <c r="N103" s="4"/>
    </row>
    <row r="104" customFormat="false" ht="15" hidden="false" customHeight="false" outlineLevel="0" collapsed="false">
      <c r="A104" s="4" t="s">
        <v>1032</v>
      </c>
      <c r="B104" s="4" t="s">
        <v>539</v>
      </c>
      <c r="C104" s="22" t="n">
        <v>1</v>
      </c>
      <c r="D104" s="16" t="s">
        <v>1033</v>
      </c>
      <c r="E104" s="16" t="s">
        <v>1034</v>
      </c>
      <c r="F104" s="6" t="n">
        <v>46229</v>
      </c>
      <c r="G104" s="6" t="n">
        <v>46229</v>
      </c>
      <c r="H104" s="23" t="n">
        <f aca="false">ABS(F104-G104)</f>
        <v>0</v>
      </c>
      <c r="I104" s="7" t="n">
        <v>49567.52</v>
      </c>
      <c r="J104" s="7" t="n">
        <v>49567.52</v>
      </c>
      <c r="K104" s="7" t="n">
        <f aca="false">I104-J104</f>
        <v>0</v>
      </c>
      <c r="L104" s="4" t="s">
        <v>1035</v>
      </c>
      <c r="M104" s="4" t="s">
        <v>1036</v>
      </c>
      <c r="N104" s="4"/>
    </row>
    <row r="105" customFormat="false" ht="15" hidden="false" customHeight="false" outlineLevel="0" collapsed="false">
      <c r="A105" s="4" t="s">
        <v>1037</v>
      </c>
      <c r="B105" s="4" t="s">
        <v>539</v>
      </c>
      <c r="C105" s="22" t="n">
        <v>1</v>
      </c>
      <c r="D105" s="16" t="s">
        <v>1038</v>
      </c>
      <c r="E105" s="16" t="s">
        <v>1039</v>
      </c>
      <c r="F105" s="6" t="n">
        <v>46230</v>
      </c>
      <c r="G105" s="6" t="n">
        <v>46230</v>
      </c>
      <c r="H105" s="23" t="n">
        <f aca="false">ABS(F105-G105)</f>
        <v>0</v>
      </c>
      <c r="I105" s="7" t="n">
        <v>38590.05</v>
      </c>
      <c r="J105" s="7" t="n">
        <v>38590.05</v>
      </c>
      <c r="K105" s="7" t="n">
        <f aca="false">I105-J105</f>
        <v>0</v>
      </c>
      <c r="L105" s="4" t="s">
        <v>1040</v>
      </c>
      <c r="M105" s="4" t="s">
        <v>1041</v>
      </c>
      <c r="N105" s="4"/>
    </row>
    <row r="106" customFormat="false" ht="15" hidden="false" customHeight="false" outlineLevel="0" collapsed="false">
      <c r="A106" s="4" t="s">
        <v>1042</v>
      </c>
      <c r="B106" s="4" t="s">
        <v>539</v>
      </c>
      <c r="C106" s="22" t="n">
        <v>1</v>
      </c>
      <c r="D106" s="16" t="s">
        <v>1043</v>
      </c>
      <c r="E106" s="16" t="s">
        <v>1044</v>
      </c>
      <c r="F106" s="6" t="n">
        <v>46230</v>
      </c>
      <c r="G106" s="6" t="n">
        <v>46230</v>
      </c>
      <c r="H106" s="23" t="n">
        <f aca="false">ABS(F106-G106)</f>
        <v>0</v>
      </c>
      <c r="I106" s="7" t="n">
        <v>31722.01</v>
      </c>
      <c r="J106" s="7" t="n">
        <v>31722.01</v>
      </c>
      <c r="K106" s="7" t="n">
        <f aca="false">I106-J106</f>
        <v>0</v>
      </c>
      <c r="L106" s="4" t="s">
        <v>1045</v>
      </c>
      <c r="M106" s="4" t="s">
        <v>1046</v>
      </c>
      <c r="N106" s="4"/>
    </row>
    <row r="107" customFormat="false" ht="15" hidden="false" customHeight="false" outlineLevel="0" collapsed="false">
      <c r="A107" s="4" t="s">
        <v>1047</v>
      </c>
      <c r="B107" s="4" t="s">
        <v>539</v>
      </c>
      <c r="C107" s="22" t="n">
        <v>1</v>
      </c>
      <c r="D107" s="16" t="s">
        <v>1048</v>
      </c>
      <c r="E107" s="16" t="s">
        <v>1049</v>
      </c>
      <c r="F107" s="6" t="n">
        <v>46230</v>
      </c>
      <c r="G107" s="6" t="n">
        <v>46230</v>
      </c>
      <c r="H107" s="23" t="n">
        <f aca="false">ABS(F107-G107)</f>
        <v>0</v>
      </c>
      <c r="I107" s="7" t="n">
        <v>-21948.61</v>
      </c>
      <c r="J107" s="7" t="n">
        <v>-21948.61</v>
      </c>
      <c r="K107" s="7" t="n">
        <f aca="false">I107-J107</f>
        <v>0</v>
      </c>
      <c r="L107" s="4" t="s">
        <v>1050</v>
      </c>
      <c r="M107" s="4" t="s">
        <v>1051</v>
      </c>
      <c r="N107" s="4"/>
    </row>
    <row r="108" customFormat="false" ht="15" hidden="false" customHeight="false" outlineLevel="0" collapsed="false">
      <c r="A108" s="4" t="s">
        <v>1052</v>
      </c>
      <c r="B108" s="4" t="s">
        <v>539</v>
      </c>
      <c r="C108" s="22" t="n">
        <v>1</v>
      </c>
      <c r="D108" s="16" t="s">
        <v>1053</v>
      </c>
      <c r="E108" s="16" t="s">
        <v>1054</v>
      </c>
      <c r="F108" s="6" t="n">
        <v>46231</v>
      </c>
      <c r="G108" s="6" t="n">
        <v>46231</v>
      </c>
      <c r="H108" s="23" t="n">
        <f aca="false">ABS(F108-G108)</f>
        <v>0</v>
      </c>
      <c r="I108" s="7" t="n">
        <v>82383.24</v>
      </c>
      <c r="J108" s="7" t="n">
        <v>82383.24</v>
      </c>
      <c r="K108" s="7" t="n">
        <f aca="false">I108-J108</f>
        <v>0</v>
      </c>
      <c r="L108" s="4" t="s">
        <v>1055</v>
      </c>
      <c r="M108" s="4" t="s">
        <v>1056</v>
      </c>
      <c r="N108" s="4"/>
    </row>
    <row r="109" customFormat="false" ht="15" hidden="false" customHeight="false" outlineLevel="0" collapsed="false">
      <c r="A109" s="4" t="s">
        <v>1057</v>
      </c>
      <c r="B109" s="4" t="s">
        <v>539</v>
      </c>
      <c r="C109" s="22" t="n">
        <v>1</v>
      </c>
      <c r="D109" s="16" t="s">
        <v>1058</v>
      </c>
      <c r="E109" s="16" t="s">
        <v>1059</v>
      </c>
      <c r="F109" s="6" t="n">
        <v>46231</v>
      </c>
      <c r="G109" s="6" t="n">
        <v>46231</v>
      </c>
      <c r="H109" s="23" t="n">
        <f aca="false">ABS(F109-G109)</f>
        <v>0</v>
      </c>
      <c r="I109" s="7" t="n">
        <v>39198.32</v>
      </c>
      <c r="J109" s="7" t="n">
        <v>39198.32</v>
      </c>
      <c r="K109" s="7" t="n">
        <f aca="false">I109-J109</f>
        <v>0</v>
      </c>
      <c r="L109" s="4" t="s">
        <v>162</v>
      </c>
      <c r="M109" s="4" t="s">
        <v>1060</v>
      </c>
      <c r="N109" s="4"/>
    </row>
    <row r="110" customFormat="false" ht="15" hidden="false" customHeight="false" outlineLevel="0" collapsed="false">
      <c r="A110" s="4" t="s">
        <v>1061</v>
      </c>
      <c r="B110" s="4" t="s">
        <v>539</v>
      </c>
      <c r="C110" s="22" t="n">
        <v>1</v>
      </c>
      <c r="D110" s="16" t="s">
        <v>1062</v>
      </c>
      <c r="E110" s="16" t="s">
        <v>1063</v>
      </c>
      <c r="F110" s="6" t="n">
        <v>46231</v>
      </c>
      <c r="G110" s="6" t="n">
        <v>46231</v>
      </c>
      <c r="H110" s="23" t="n">
        <f aca="false">ABS(F110-G110)</f>
        <v>0</v>
      </c>
      <c r="I110" s="7" t="n">
        <v>30196.76</v>
      </c>
      <c r="J110" s="7" t="n">
        <v>30196.76</v>
      </c>
      <c r="K110" s="7" t="n">
        <f aca="false">I110-J110</f>
        <v>0</v>
      </c>
      <c r="L110" s="4" t="s">
        <v>1064</v>
      </c>
      <c r="M110" s="4" t="s">
        <v>1065</v>
      </c>
      <c r="N110" s="4"/>
    </row>
    <row r="111" customFormat="false" ht="15" hidden="false" customHeight="false" outlineLevel="0" collapsed="false">
      <c r="A111" s="4" t="s">
        <v>1066</v>
      </c>
      <c r="B111" s="4" t="s">
        <v>539</v>
      </c>
      <c r="C111" s="22" t="n">
        <v>1</v>
      </c>
      <c r="D111" s="16" t="s">
        <v>1067</v>
      </c>
      <c r="E111" s="16" t="s">
        <v>1068</v>
      </c>
      <c r="F111" s="6" t="n">
        <v>46231</v>
      </c>
      <c r="G111" s="6" t="n">
        <v>46231</v>
      </c>
      <c r="H111" s="23" t="n">
        <f aca="false">ABS(F111-G111)</f>
        <v>0</v>
      </c>
      <c r="I111" s="7" t="n">
        <v>17618.37</v>
      </c>
      <c r="J111" s="7" t="n">
        <v>17618.37</v>
      </c>
      <c r="K111" s="7" t="n">
        <f aca="false">I111-J111</f>
        <v>0</v>
      </c>
      <c r="L111" s="4" t="s">
        <v>1069</v>
      </c>
      <c r="M111" s="4" t="s">
        <v>1070</v>
      </c>
      <c r="N111" s="4"/>
    </row>
    <row r="112" customFormat="false" ht="15" hidden="false" customHeight="false" outlineLevel="0" collapsed="false">
      <c r="A112" s="4" t="s">
        <v>1071</v>
      </c>
      <c r="B112" s="4" t="s">
        <v>539</v>
      </c>
      <c r="C112" s="22" t="n">
        <v>1</v>
      </c>
      <c r="D112" s="16" t="s">
        <v>1072</v>
      </c>
      <c r="E112" s="16" t="s">
        <v>1073</v>
      </c>
      <c r="F112" s="6" t="n">
        <v>46231</v>
      </c>
      <c r="G112" s="6" t="n">
        <v>46231</v>
      </c>
      <c r="H112" s="23" t="n">
        <f aca="false">ABS(F112-G112)</f>
        <v>0</v>
      </c>
      <c r="I112" s="7" t="n">
        <v>81978.96</v>
      </c>
      <c r="J112" s="7" t="n">
        <v>81978.96</v>
      </c>
      <c r="K112" s="7" t="n">
        <f aca="false">I112-J112</f>
        <v>0</v>
      </c>
      <c r="L112" s="4" t="s">
        <v>1074</v>
      </c>
      <c r="M112" s="4" t="s">
        <v>1075</v>
      </c>
      <c r="N112" s="4"/>
    </row>
    <row r="113" customFormat="false" ht="15" hidden="false" customHeight="false" outlineLevel="0" collapsed="false">
      <c r="A113" s="4" t="s">
        <v>1076</v>
      </c>
      <c r="B113" s="4" t="s">
        <v>539</v>
      </c>
      <c r="C113" s="22" t="n">
        <v>1</v>
      </c>
      <c r="D113" s="16" t="s">
        <v>1077</v>
      </c>
      <c r="E113" s="16" t="s">
        <v>1078</v>
      </c>
      <c r="F113" s="6" t="n">
        <v>46232</v>
      </c>
      <c r="G113" s="6" t="n">
        <v>46232</v>
      </c>
      <c r="H113" s="23" t="n">
        <f aca="false">ABS(F113-G113)</f>
        <v>0</v>
      </c>
      <c r="I113" s="7" t="n">
        <v>39494.6</v>
      </c>
      <c r="J113" s="7" t="n">
        <v>39494.6</v>
      </c>
      <c r="K113" s="7" t="n">
        <f aca="false">I113-J113</f>
        <v>0</v>
      </c>
      <c r="L113" s="4" t="s">
        <v>1079</v>
      </c>
      <c r="M113" s="4" t="s">
        <v>1080</v>
      </c>
      <c r="N113" s="4"/>
    </row>
    <row r="114" customFormat="false" ht="15" hidden="false" customHeight="false" outlineLevel="0" collapsed="false">
      <c r="A114" s="4" t="s">
        <v>1081</v>
      </c>
      <c r="B114" s="4" t="s">
        <v>539</v>
      </c>
      <c r="C114" s="22" t="n">
        <v>1</v>
      </c>
      <c r="D114" s="16" t="s">
        <v>1082</v>
      </c>
      <c r="E114" s="16" t="s">
        <v>1083</v>
      </c>
      <c r="F114" s="6" t="n">
        <v>46232</v>
      </c>
      <c r="G114" s="6" t="n">
        <v>46232</v>
      </c>
      <c r="H114" s="23" t="n">
        <f aca="false">ABS(F114-G114)</f>
        <v>0</v>
      </c>
      <c r="I114" s="7" t="n">
        <v>10704.31</v>
      </c>
      <c r="J114" s="7" t="n">
        <v>10704.31</v>
      </c>
      <c r="K114" s="7" t="n">
        <f aca="false">I114-J114</f>
        <v>0</v>
      </c>
      <c r="L114" s="4" t="s">
        <v>1084</v>
      </c>
      <c r="M114" s="4" t="s">
        <v>1085</v>
      </c>
      <c r="N114" s="4"/>
    </row>
    <row r="115" customFormat="false" ht="15" hidden="false" customHeight="false" outlineLevel="0" collapsed="false">
      <c r="A115" s="4" t="s">
        <v>1086</v>
      </c>
      <c r="B115" s="4" t="s">
        <v>539</v>
      </c>
      <c r="C115" s="22" t="n">
        <v>1</v>
      </c>
      <c r="D115" s="16" t="s">
        <v>1087</v>
      </c>
      <c r="E115" s="16" t="s">
        <v>1088</v>
      </c>
      <c r="F115" s="6" t="n">
        <v>46232</v>
      </c>
      <c r="G115" s="6" t="n">
        <v>46232</v>
      </c>
      <c r="H115" s="23" t="n">
        <f aca="false">ABS(F115-G115)</f>
        <v>0</v>
      </c>
      <c r="I115" s="7" t="n">
        <v>44628.83</v>
      </c>
      <c r="J115" s="7" t="n">
        <v>44628.83</v>
      </c>
      <c r="K115" s="7" t="n">
        <f aca="false">I115-J115</f>
        <v>0</v>
      </c>
      <c r="L115" s="4" t="s">
        <v>1089</v>
      </c>
      <c r="M115" s="4" t="s">
        <v>1090</v>
      </c>
      <c r="N115" s="4"/>
    </row>
    <row r="116" customFormat="false" ht="15" hidden="false" customHeight="false" outlineLevel="0" collapsed="false">
      <c r="A116" s="4" t="s">
        <v>1091</v>
      </c>
      <c r="B116" s="4" t="s">
        <v>539</v>
      </c>
      <c r="C116" s="22" t="n">
        <v>1</v>
      </c>
      <c r="D116" s="16" t="s">
        <v>1092</v>
      </c>
      <c r="E116" s="16" t="s">
        <v>1093</v>
      </c>
      <c r="F116" s="6" t="n">
        <v>46232</v>
      </c>
      <c r="G116" s="6" t="n">
        <v>46232</v>
      </c>
      <c r="H116" s="23" t="n">
        <f aca="false">ABS(F116-G116)</f>
        <v>0</v>
      </c>
      <c r="I116" s="7" t="n">
        <v>54708.96</v>
      </c>
      <c r="J116" s="7" t="n">
        <v>54708.96</v>
      </c>
      <c r="K116" s="7" t="n">
        <f aca="false">I116-J116</f>
        <v>0</v>
      </c>
      <c r="L116" s="4" t="s">
        <v>1094</v>
      </c>
      <c r="M116" s="4" t="s">
        <v>1095</v>
      </c>
      <c r="N116" s="4"/>
    </row>
    <row r="117" customFormat="false" ht="15" hidden="false" customHeight="false" outlineLevel="0" collapsed="false">
      <c r="A117" s="4" t="s">
        <v>1096</v>
      </c>
      <c r="B117" s="4" t="s">
        <v>539</v>
      </c>
      <c r="C117" s="22" t="n">
        <v>1</v>
      </c>
      <c r="D117" s="16" t="s">
        <v>1097</v>
      </c>
      <c r="E117" s="16" t="s">
        <v>1098</v>
      </c>
      <c r="F117" s="6" t="n">
        <v>46232</v>
      </c>
      <c r="G117" s="6" t="n">
        <v>46232</v>
      </c>
      <c r="H117" s="23" t="n">
        <f aca="false">ABS(F117-G117)</f>
        <v>0</v>
      </c>
      <c r="I117" s="7" t="n">
        <v>94237.85</v>
      </c>
      <c r="J117" s="7" t="n">
        <v>94237.85</v>
      </c>
      <c r="K117" s="7" t="n">
        <f aca="false">I117-J117</f>
        <v>0</v>
      </c>
      <c r="L117" s="4" t="s">
        <v>1099</v>
      </c>
      <c r="M117" s="4" t="s">
        <v>1100</v>
      </c>
      <c r="N117" s="4"/>
    </row>
    <row r="118" customFormat="false" ht="15" hidden="false" customHeight="false" outlineLevel="0" collapsed="false">
      <c r="A118" s="4" t="s">
        <v>1101</v>
      </c>
      <c r="B118" s="4" t="s">
        <v>539</v>
      </c>
      <c r="C118" s="22" t="n">
        <v>1</v>
      </c>
      <c r="D118" s="16" t="s">
        <v>1102</v>
      </c>
      <c r="E118" s="16" t="s">
        <v>1103</v>
      </c>
      <c r="F118" s="6" t="n">
        <v>46232</v>
      </c>
      <c r="G118" s="6" t="n">
        <v>46232</v>
      </c>
      <c r="H118" s="23" t="n">
        <f aca="false">ABS(F118-G118)</f>
        <v>0</v>
      </c>
      <c r="I118" s="7" t="n">
        <v>-7528.09</v>
      </c>
      <c r="J118" s="7" t="n">
        <v>-7528.09</v>
      </c>
      <c r="K118" s="7" t="n">
        <f aca="false">I118-J118</f>
        <v>0</v>
      </c>
      <c r="L118" s="4" t="s">
        <v>1104</v>
      </c>
      <c r="M118" s="4" t="s">
        <v>1105</v>
      </c>
      <c r="N118" s="4"/>
    </row>
    <row r="119" customFormat="false" ht="15" hidden="false" customHeight="false" outlineLevel="0" collapsed="false">
      <c r="A119" s="4" t="s">
        <v>1106</v>
      </c>
      <c r="B119" s="4" t="s">
        <v>539</v>
      </c>
      <c r="C119" s="22" t="n">
        <v>1</v>
      </c>
      <c r="D119" s="16" t="s">
        <v>1107</v>
      </c>
      <c r="E119" s="16" t="s">
        <v>1108</v>
      </c>
      <c r="F119" s="6" t="n">
        <v>46233</v>
      </c>
      <c r="G119" s="6" t="n">
        <v>46233</v>
      </c>
      <c r="H119" s="23" t="n">
        <f aca="false">ABS(F119-G119)</f>
        <v>0</v>
      </c>
      <c r="I119" s="7" t="n">
        <v>38000.6</v>
      </c>
      <c r="J119" s="7" t="n">
        <v>38000.6</v>
      </c>
      <c r="K119" s="7" t="n">
        <f aca="false">I119-J119</f>
        <v>0</v>
      </c>
      <c r="L119" s="4" t="s">
        <v>1109</v>
      </c>
      <c r="M119" s="4" t="s">
        <v>1110</v>
      </c>
      <c r="N119" s="4"/>
    </row>
    <row r="120" customFormat="false" ht="15" hidden="false" customHeight="false" outlineLevel="0" collapsed="false">
      <c r="A120" s="4" t="s">
        <v>1111</v>
      </c>
      <c r="B120" s="4" t="s">
        <v>539</v>
      </c>
      <c r="C120" s="22" t="n">
        <v>1</v>
      </c>
      <c r="D120" s="16" t="s">
        <v>1112</v>
      </c>
      <c r="E120" s="16" t="s">
        <v>1113</v>
      </c>
      <c r="F120" s="6" t="n">
        <v>46233</v>
      </c>
      <c r="G120" s="6" t="n">
        <v>46233</v>
      </c>
      <c r="H120" s="23" t="n">
        <f aca="false">ABS(F120-G120)</f>
        <v>0</v>
      </c>
      <c r="I120" s="7" t="n">
        <v>71068.32</v>
      </c>
      <c r="J120" s="7" t="n">
        <v>71068.32</v>
      </c>
      <c r="K120" s="7" t="n">
        <f aca="false">I120-J120</f>
        <v>0</v>
      </c>
      <c r="L120" s="4" t="s">
        <v>147</v>
      </c>
      <c r="M120" s="4" t="s">
        <v>1114</v>
      </c>
      <c r="N120" s="4"/>
    </row>
    <row r="121" customFormat="false" ht="15" hidden="false" customHeight="false" outlineLevel="0" collapsed="false">
      <c r="A121" s="4" t="s">
        <v>1115</v>
      </c>
      <c r="B121" s="4" t="s">
        <v>539</v>
      </c>
      <c r="C121" s="22" t="n">
        <v>1</v>
      </c>
      <c r="D121" s="16" t="s">
        <v>1116</v>
      </c>
      <c r="E121" s="16" t="s">
        <v>1117</v>
      </c>
      <c r="F121" s="6" t="n">
        <v>46233</v>
      </c>
      <c r="G121" s="6" t="n">
        <v>46233</v>
      </c>
      <c r="H121" s="23" t="n">
        <f aca="false">ABS(F121-G121)</f>
        <v>0</v>
      </c>
      <c r="I121" s="7" t="n">
        <v>87506.43</v>
      </c>
      <c r="J121" s="7" t="n">
        <v>87506.43</v>
      </c>
      <c r="K121" s="7" t="n">
        <f aca="false">I121-J121</f>
        <v>0</v>
      </c>
      <c r="L121" s="4" t="s">
        <v>1118</v>
      </c>
      <c r="M121" s="4" t="s">
        <v>1119</v>
      </c>
      <c r="N121" s="4"/>
    </row>
    <row r="122" customFormat="false" ht="15" hidden="false" customHeight="false" outlineLevel="0" collapsed="false">
      <c r="A122" s="4" t="s">
        <v>1120</v>
      </c>
      <c r="B122" s="4" t="s">
        <v>539</v>
      </c>
      <c r="C122" s="22" t="n">
        <v>1</v>
      </c>
      <c r="D122" s="16" t="s">
        <v>1121</v>
      </c>
      <c r="E122" s="16" t="s">
        <v>1122</v>
      </c>
      <c r="F122" s="6" t="n">
        <v>46233</v>
      </c>
      <c r="G122" s="6" t="n">
        <v>46233</v>
      </c>
      <c r="H122" s="23" t="n">
        <f aca="false">ABS(F122-G122)</f>
        <v>0</v>
      </c>
      <c r="I122" s="7" t="n">
        <v>27333.48</v>
      </c>
      <c r="J122" s="7" t="n">
        <v>27333.48</v>
      </c>
      <c r="K122" s="7" t="n">
        <f aca="false">I122-J122</f>
        <v>0</v>
      </c>
      <c r="L122" s="4" t="s">
        <v>1123</v>
      </c>
      <c r="M122" s="4" t="s">
        <v>1124</v>
      </c>
      <c r="N122" s="4"/>
    </row>
    <row r="123" customFormat="false" ht="15" hidden="false" customHeight="false" outlineLevel="0" collapsed="false">
      <c r="A123" s="4" t="s">
        <v>1125</v>
      </c>
      <c r="B123" s="4" t="s">
        <v>539</v>
      </c>
      <c r="C123" s="22" t="n">
        <v>1</v>
      </c>
      <c r="D123" s="16" t="s">
        <v>1126</v>
      </c>
      <c r="E123" s="16" t="s">
        <v>1127</v>
      </c>
      <c r="F123" s="6" t="n">
        <v>46233</v>
      </c>
      <c r="G123" s="6" t="n">
        <v>46233</v>
      </c>
      <c r="H123" s="23" t="n">
        <f aca="false">ABS(F123-G123)</f>
        <v>0</v>
      </c>
      <c r="I123" s="7" t="n">
        <v>37683.91</v>
      </c>
      <c r="J123" s="7" t="n">
        <v>37683.91</v>
      </c>
      <c r="K123" s="7" t="n">
        <f aca="false">I123-J123</f>
        <v>0</v>
      </c>
      <c r="L123" s="4" t="s">
        <v>1128</v>
      </c>
      <c r="M123" s="4" t="s">
        <v>1129</v>
      </c>
      <c r="N123" s="4"/>
    </row>
    <row r="124" customFormat="false" ht="15" hidden="false" customHeight="false" outlineLevel="0" collapsed="false">
      <c r="A124" s="4" t="s">
        <v>1130</v>
      </c>
      <c r="B124" s="4" t="s">
        <v>539</v>
      </c>
      <c r="C124" s="22" t="n">
        <v>1</v>
      </c>
      <c r="D124" s="16" t="s">
        <v>1131</v>
      </c>
      <c r="E124" s="16" t="s">
        <v>1132</v>
      </c>
      <c r="F124" s="6" t="n">
        <v>46233</v>
      </c>
      <c r="G124" s="6" t="n">
        <v>46233</v>
      </c>
      <c r="H124" s="23" t="n">
        <f aca="false">ABS(F124-G124)</f>
        <v>0</v>
      </c>
      <c r="I124" s="7" t="n">
        <v>-29264.55</v>
      </c>
      <c r="J124" s="7" t="n">
        <v>-29264.55</v>
      </c>
      <c r="K124" s="7" t="n">
        <f aca="false">I124-J124</f>
        <v>0</v>
      </c>
      <c r="L124" s="4" t="s">
        <v>1133</v>
      </c>
      <c r="M124" s="4" t="s">
        <v>1134</v>
      </c>
      <c r="N124" s="4"/>
    </row>
    <row r="125" customFormat="false" ht="15" hidden="false" customHeight="false" outlineLevel="0" collapsed="false">
      <c r="A125" s="4" t="s">
        <v>1135</v>
      </c>
      <c r="B125" s="4" t="s">
        <v>539</v>
      </c>
      <c r="C125" s="22" t="n">
        <v>1</v>
      </c>
      <c r="D125" s="16" t="s">
        <v>1136</v>
      </c>
      <c r="E125" s="16" t="s">
        <v>1137</v>
      </c>
      <c r="F125" s="6" t="n">
        <v>46234</v>
      </c>
      <c r="G125" s="6" t="n">
        <v>46234</v>
      </c>
      <c r="H125" s="23" t="n">
        <f aca="false">ABS(F125-G125)</f>
        <v>0</v>
      </c>
      <c r="I125" s="7" t="n">
        <v>51476.18</v>
      </c>
      <c r="J125" s="7" t="n">
        <v>51476.18</v>
      </c>
      <c r="K125" s="7" t="n">
        <f aca="false">I125-J125</f>
        <v>0</v>
      </c>
      <c r="L125" s="4" t="s">
        <v>1138</v>
      </c>
      <c r="M125" s="4" t="s">
        <v>1139</v>
      </c>
      <c r="N125" s="4"/>
    </row>
    <row r="126" customFormat="false" ht="15" hidden="false" customHeight="false" outlineLevel="0" collapsed="false">
      <c r="A126" s="4" t="s">
        <v>1140</v>
      </c>
      <c r="B126" s="4" t="s">
        <v>539</v>
      </c>
      <c r="C126" s="22" t="n">
        <v>1</v>
      </c>
      <c r="D126" s="16" t="s">
        <v>1141</v>
      </c>
      <c r="E126" s="16" t="s">
        <v>1142</v>
      </c>
      <c r="F126" s="6" t="n">
        <v>46234</v>
      </c>
      <c r="G126" s="6" t="n">
        <v>46234</v>
      </c>
      <c r="H126" s="23" t="n">
        <f aca="false">ABS(F126-G126)</f>
        <v>0</v>
      </c>
      <c r="I126" s="7" t="n">
        <v>20087.75</v>
      </c>
      <c r="J126" s="7" t="n">
        <v>20087.75</v>
      </c>
      <c r="K126" s="7" t="n">
        <f aca="false">I126-J126</f>
        <v>0</v>
      </c>
      <c r="L126" s="4" t="s">
        <v>1143</v>
      </c>
      <c r="M126" s="4" t="s">
        <v>1144</v>
      </c>
      <c r="N126" s="4"/>
    </row>
    <row r="127" customFormat="false" ht="15" hidden="false" customHeight="false" outlineLevel="0" collapsed="false">
      <c r="A127" s="4" t="s">
        <v>1145</v>
      </c>
      <c r="B127" s="4" t="s">
        <v>539</v>
      </c>
      <c r="C127" s="22" t="n">
        <v>1</v>
      </c>
      <c r="D127" s="16" t="s">
        <v>1146</v>
      </c>
      <c r="E127" s="16" t="s">
        <v>1147</v>
      </c>
      <c r="F127" s="6" t="n">
        <v>46234</v>
      </c>
      <c r="G127" s="6" t="n">
        <v>46234</v>
      </c>
      <c r="H127" s="23" t="n">
        <f aca="false">ABS(F127-G127)</f>
        <v>0</v>
      </c>
      <c r="I127" s="7" t="n">
        <v>-29225.29</v>
      </c>
      <c r="J127" s="7" t="n">
        <v>-29225.29</v>
      </c>
      <c r="K127" s="7" t="n">
        <f aca="false">I127-J127</f>
        <v>0</v>
      </c>
      <c r="L127" s="4" t="s">
        <v>1148</v>
      </c>
      <c r="M127" s="4" t="s">
        <v>1149</v>
      </c>
      <c r="N127" s="4"/>
    </row>
    <row r="128" customFormat="false" ht="15" hidden="false" customHeight="false" outlineLevel="0" collapsed="false">
      <c r="A128" s="4" t="s">
        <v>1150</v>
      </c>
      <c r="B128" s="4" t="s">
        <v>539</v>
      </c>
      <c r="C128" s="22" t="n">
        <v>1</v>
      </c>
      <c r="D128" s="16" t="s">
        <v>1151</v>
      </c>
      <c r="E128" s="16" t="s">
        <v>1152</v>
      </c>
      <c r="F128" s="6" t="n">
        <v>46235</v>
      </c>
      <c r="G128" s="6" t="n">
        <v>46235</v>
      </c>
      <c r="H128" s="23" t="n">
        <f aca="false">ABS(F128-G128)</f>
        <v>0</v>
      </c>
      <c r="I128" s="7" t="n">
        <v>76082.91</v>
      </c>
      <c r="J128" s="7" t="n">
        <v>76082.91</v>
      </c>
      <c r="K128" s="7" t="n">
        <f aca="false">I128-J128</f>
        <v>0</v>
      </c>
      <c r="L128" s="4" t="s">
        <v>1153</v>
      </c>
      <c r="M128" s="4" t="s">
        <v>1154</v>
      </c>
      <c r="N128" s="4"/>
    </row>
    <row r="129" customFormat="false" ht="15" hidden="false" customHeight="false" outlineLevel="0" collapsed="false">
      <c r="A129" s="4" t="s">
        <v>1155</v>
      </c>
      <c r="B129" s="4" t="s">
        <v>539</v>
      </c>
      <c r="C129" s="22" t="n">
        <v>1</v>
      </c>
      <c r="D129" s="16" t="s">
        <v>1156</v>
      </c>
      <c r="E129" s="16" t="s">
        <v>1157</v>
      </c>
      <c r="F129" s="6" t="n">
        <v>46235</v>
      </c>
      <c r="G129" s="6" t="n">
        <v>46235</v>
      </c>
      <c r="H129" s="23" t="n">
        <f aca="false">ABS(F129-G129)</f>
        <v>0</v>
      </c>
      <c r="I129" s="7" t="n">
        <v>24598.66</v>
      </c>
      <c r="J129" s="7" t="n">
        <v>24598.66</v>
      </c>
      <c r="K129" s="7" t="n">
        <f aca="false">I129-J129</f>
        <v>0</v>
      </c>
      <c r="L129" s="4" t="s">
        <v>1158</v>
      </c>
      <c r="M129" s="4" t="s">
        <v>1159</v>
      </c>
      <c r="N129" s="4"/>
    </row>
    <row r="130" customFormat="false" ht="15" hidden="false" customHeight="false" outlineLevel="0" collapsed="false">
      <c r="A130" s="4" t="s">
        <v>1160</v>
      </c>
      <c r="B130" s="4" t="s">
        <v>539</v>
      </c>
      <c r="C130" s="22" t="n">
        <v>1</v>
      </c>
      <c r="D130" s="16" t="s">
        <v>1161</v>
      </c>
      <c r="E130" s="16" t="s">
        <v>1162</v>
      </c>
      <c r="F130" s="6" t="n">
        <v>46235</v>
      </c>
      <c r="G130" s="6" t="n">
        <v>46235</v>
      </c>
      <c r="H130" s="23" t="n">
        <f aca="false">ABS(F130-G130)</f>
        <v>0</v>
      </c>
      <c r="I130" s="7" t="n">
        <v>-29321.18</v>
      </c>
      <c r="J130" s="7" t="n">
        <v>-29321.18</v>
      </c>
      <c r="K130" s="7" t="n">
        <f aca="false">I130-J130</f>
        <v>0</v>
      </c>
      <c r="L130" s="4" t="s">
        <v>1163</v>
      </c>
      <c r="M130" s="4" t="s">
        <v>1164</v>
      </c>
      <c r="N130" s="4"/>
    </row>
    <row r="131" customFormat="false" ht="15" hidden="false" customHeight="false" outlineLevel="0" collapsed="false">
      <c r="A131" s="4" t="s">
        <v>1165</v>
      </c>
      <c r="B131" s="4" t="s">
        <v>539</v>
      </c>
      <c r="C131" s="22" t="n">
        <v>1</v>
      </c>
      <c r="D131" s="16" t="s">
        <v>1166</v>
      </c>
      <c r="E131" s="16" t="s">
        <v>1167</v>
      </c>
      <c r="F131" s="6" t="n">
        <v>46236</v>
      </c>
      <c r="G131" s="6" t="n">
        <v>46236</v>
      </c>
      <c r="H131" s="23" t="n">
        <f aca="false">ABS(F131-G131)</f>
        <v>0</v>
      </c>
      <c r="I131" s="7" t="n">
        <v>22415.9</v>
      </c>
      <c r="J131" s="7" t="n">
        <v>22415.9</v>
      </c>
      <c r="K131" s="7" t="n">
        <f aca="false">I131-J131</f>
        <v>0</v>
      </c>
      <c r="L131" s="4" t="s">
        <v>1168</v>
      </c>
      <c r="M131" s="4" t="s">
        <v>1169</v>
      </c>
      <c r="N131" s="4"/>
    </row>
    <row r="132" customFormat="false" ht="15" hidden="false" customHeight="false" outlineLevel="0" collapsed="false">
      <c r="A132" s="4" t="s">
        <v>1170</v>
      </c>
      <c r="B132" s="4" t="s">
        <v>539</v>
      </c>
      <c r="C132" s="22" t="n">
        <v>1</v>
      </c>
      <c r="D132" s="16" t="s">
        <v>1171</v>
      </c>
      <c r="E132" s="16" t="s">
        <v>1172</v>
      </c>
      <c r="F132" s="6" t="n">
        <v>46236</v>
      </c>
      <c r="G132" s="6" t="n">
        <v>46236</v>
      </c>
      <c r="H132" s="23" t="n">
        <f aca="false">ABS(F132-G132)</f>
        <v>0</v>
      </c>
      <c r="I132" s="7" t="n">
        <v>4671.01</v>
      </c>
      <c r="J132" s="7" t="n">
        <v>4671.01</v>
      </c>
      <c r="K132" s="7" t="n">
        <f aca="false">I132-J132</f>
        <v>0</v>
      </c>
      <c r="L132" s="4" t="s">
        <v>1173</v>
      </c>
      <c r="M132" s="4" t="s">
        <v>1174</v>
      </c>
      <c r="N132" s="4"/>
    </row>
    <row r="133" customFormat="false" ht="15" hidden="false" customHeight="false" outlineLevel="0" collapsed="false">
      <c r="A133" s="4" t="s">
        <v>1175</v>
      </c>
      <c r="B133" s="4" t="s">
        <v>539</v>
      </c>
      <c r="C133" s="22" t="n">
        <v>1</v>
      </c>
      <c r="D133" s="16" t="s">
        <v>1176</v>
      </c>
      <c r="E133" s="16" t="s">
        <v>1177</v>
      </c>
      <c r="F133" s="6" t="n">
        <v>46236</v>
      </c>
      <c r="G133" s="6" t="n">
        <v>46236</v>
      </c>
      <c r="H133" s="23" t="n">
        <f aca="false">ABS(F133-G133)</f>
        <v>0</v>
      </c>
      <c r="I133" s="7" t="n">
        <v>35282.56</v>
      </c>
      <c r="J133" s="7" t="n">
        <v>35282.56</v>
      </c>
      <c r="K133" s="7" t="n">
        <f aca="false">I133-J133</f>
        <v>0</v>
      </c>
      <c r="L133" s="4" t="s">
        <v>1178</v>
      </c>
      <c r="M133" s="4" t="s">
        <v>1179</v>
      </c>
      <c r="N133" s="4"/>
    </row>
    <row r="134" customFormat="false" ht="15" hidden="false" customHeight="false" outlineLevel="0" collapsed="false">
      <c r="A134" s="4" t="s">
        <v>1180</v>
      </c>
      <c r="B134" s="4" t="s">
        <v>539</v>
      </c>
      <c r="C134" s="22" t="n">
        <v>1</v>
      </c>
      <c r="D134" s="16" t="s">
        <v>1181</v>
      </c>
      <c r="E134" s="16" t="s">
        <v>1182</v>
      </c>
      <c r="F134" s="6" t="n">
        <v>46236</v>
      </c>
      <c r="G134" s="6" t="n">
        <v>46236</v>
      </c>
      <c r="H134" s="23" t="n">
        <f aca="false">ABS(F134-G134)</f>
        <v>0</v>
      </c>
      <c r="I134" s="7" t="n">
        <v>-40990.92</v>
      </c>
      <c r="J134" s="7" t="n">
        <v>-40990.92</v>
      </c>
      <c r="K134" s="7" t="n">
        <f aca="false">I134-J134</f>
        <v>0</v>
      </c>
      <c r="L134" s="4" t="s">
        <v>1183</v>
      </c>
      <c r="M134" s="4" t="s">
        <v>1184</v>
      </c>
      <c r="N134" s="4"/>
    </row>
    <row r="135" customFormat="false" ht="15" hidden="false" customHeight="false" outlineLevel="0" collapsed="false">
      <c r="A135" s="4" t="s">
        <v>1185</v>
      </c>
      <c r="B135" s="4" t="s">
        <v>539</v>
      </c>
      <c r="C135" s="22" t="n">
        <v>1</v>
      </c>
      <c r="D135" s="16" t="s">
        <v>1186</v>
      </c>
      <c r="E135" s="16" t="s">
        <v>1187</v>
      </c>
      <c r="F135" s="6" t="n">
        <v>46236</v>
      </c>
      <c r="G135" s="6" t="n">
        <v>46236</v>
      </c>
      <c r="H135" s="23" t="n">
        <f aca="false">ABS(F135-G135)</f>
        <v>0</v>
      </c>
      <c r="I135" s="7" t="n">
        <v>-48192.63</v>
      </c>
      <c r="J135" s="7" t="n">
        <v>-48192.63</v>
      </c>
      <c r="K135" s="7" t="n">
        <f aca="false">I135-J135</f>
        <v>0</v>
      </c>
      <c r="L135" s="4" t="s">
        <v>1188</v>
      </c>
      <c r="M135" s="4" t="s">
        <v>1189</v>
      </c>
      <c r="N135" s="4"/>
    </row>
    <row r="136" customFormat="false" ht="15" hidden="false" customHeight="false" outlineLevel="0" collapsed="false">
      <c r="A136" s="4" t="s">
        <v>1190</v>
      </c>
      <c r="B136" s="4" t="s">
        <v>539</v>
      </c>
      <c r="C136" s="22" t="n">
        <v>1</v>
      </c>
      <c r="D136" s="16" t="s">
        <v>1191</v>
      </c>
      <c r="E136" s="16" t="s">
        <v>1192</v>
      </c>
      <c r="F136" s="6" t="n">
        <v>46237</v>
      </c>
      <c r="G136" s="6" t="n">
        <v>46237</v>
      </c>
      <c r="H136" s="23" t="n">
        <f aca="false">ABS(F136-G136)</f>
        <v>0</v>
      </c>
      <c r="I136" s="7" t="n">
        <v>3455.45</v>
      </c>
      <c r="J136" s="7" t="n">
        <v>3455.45</v>
      </c>
      <c r="K136" s="7" t="n">
        <f aca="false">I136-J136</f>
        <v>0</v>
      </c>
      <c r="L136" s="4" t="s">
        <v>1193</v>
      </c>
      <c r="M136" s="4" t="s">
        <v>1194</v>
      </c>
      <c r="N136" s="4"/>
    </row>
    <row r="137" customFormat="false" ht="15" hidden="false" customHeight="false" outlineLevel="0" collapsed="false">
      <c r="A137" s="4" t="s">
        <v>1195</v>
      </c>
      <c r="B137" s="4" t="s">
        <v>539</v>
      </c>
      <c r="C137" s="22" t="n">
        <v>1</v>
      </c>
      <c r="D137" s="16" t="s">
        <v>1196</v>
      </c>
      <c r="E137" s="16" t="s">
        <v>1197</v>
      </c>
      <c r="F137" s="6" t="n">
        <v>46237</v>
      </c>
      <c r="G137" s="6" t="n">
        <v>46237</v>
      </c>
      <c r="H137" s="23" t="n">
        <f aca="false">ABS(F137-G137)</f>
        <v>0</v>
      </c>
      <c r="I137" s="7" t="n">
        <v>26373.2</v>
      </c>
      <c r="J137" s="7" t="n">
        <v>26373.2</v>
      </c>
      <c r="K137" s="7" t="n">
        <f aca="false">I137-J137</f>
        <v>0</v>
      </c>
      <c r="L137" s="4" t="s">
        <v>1198</v>
      </c>
      <c r="M137" s="4" t="s">
        <v>1199</v>
      </c>
      <c r="N137" s="4"/>
    </row>
    <row r="138" customFormat="false" ht="15" hidden="false" customHeight="false" outlineLevel="0" collapsed="false">
      <c r="A138" s="4" t="s">
        <v>1200</v>
      </c>
      <c r="B138" s="4" t="s">
        <v>539</v>
      </c>
      <c r="C138" s="22" t="n">
        <v>1</v>
      </c>
      <c r="D138" s="16" t="s">
        <v>1201</v>
      </c>
      <c r="E138" s="16" t="s">
        <v>1202</v>
      </c>
      <c r="F138" s="6" t="n">
        <v>46237</v>
      </c>
      <c r="G138" s="6" t="n">
        <v>46237</v>
      </c>
      <c r="H138" s="23" t="n">
        <f aca="false">ABS(F138-G138)</f>
        <v>0</v>
      </c>
      <c r="I138" s="7" t="n">
        <v>88116.39</v>
      </c>
      <c r="J138" s="7" t="n">
        <v>88116.39</v>
      </c>
      <c r="K138" s="7" t="n">
        <f aca="false">I138-J138</f>
        <v>0</v>
      </c>
      <c r="L138" s="4" t="s">
        <v>1203</v>
      </c>
      <c r="M138" s="4" t="s">
        <v>1204</v>
      </c>
      <c r="N138" s="4"/>
    </row>
    <row r="139" customFormat="false" ht="15" hidden="false" customHeight="false" outlineLevel="0" collapsed="false">
      <c r="A139" s="4" t="s">
        <v>1205</v>
      </c>
      <c r="B139" s="4" t="s">
        <v>539</v>
      </c>
      <c r="C139" s="22" t="n">
        <v>1</v>
      </c>
      <c r="D139" s="16" t="s">
        <v>1206</v>
      </c>
      <c r="E139" s="16" t="s">
        <v>1207</v>
      </c>
      <c r="F139" s="6" t="n">
        <v>46237</v>
      </c>
      <c r="G139" s="6" t="n">
        <v>46237</v>
      </c>
      <c r="H139" s="23" t="n">
        <f aca="false">ABS(F139-G139)</f>
        <v>0</v>
      </c>
      <c r="I139" s="7" t="n">
        <v>4400.95</v>
      </c>
      <c r="J139" s="7" t="n">
        <v>4400.95</v>
      </c>
      <c r="K139" s="7" t="n">
        <f aca="false">I139-J139</f>
        <v>0</v>
      </c>
      <c r="L139" s="4" t="s">
        <v>1208</v>
      </c>
      <c r="M139" s="4" t="s">
        <v>1209</v>
      </c>
      <c r="N139" s="4"/>
    </row>
    <row r="140" customFormat="false" ht="15" hidden="false" customHeight="false" outlineLevel="0" collapsed="false">
      <c r="A140" s="4" t="s">
        <v>1210</v>
      </c>
      <c r="B140" s="4" t="s">
        <v>539</v>
      </c>
      <c r="C140" s="22" t="n">
        <v>1</v>
      </c>
      <c r="D140" s="16" t="s">
        <v>1211</v>
      </c>
      <c r="E140" s="16" t="s">
        <v>1212</v>
      </c>
      <c r="F140" s="6" t="n">
        <v>46237</v>
      </c>
      <c r="G140" s="6" t="n">
        <v>46237</v>
      </c>
      <c r="H140" s="23" t="n">
        <f aca="false">ABS(F140-G140)</f>
        <v>0</v>
      </c>
      <c r="I140" s="7" t="n">
        <v>33959.45</v>
      </c>
      <c r="J140" s="7" t="n">
        <v>33959.45</v>
      </c>
      <c r="K140" s="7" t="n">
        <f aca="false">I140-J140</f>
        <v>0</v>
      </c>
      <c r="L140" s="4" t="s">
        <v>1213</v>
      </c>
      <c r="M140" s="4" t="s">
        <v>1214</v>
      </c>
      <c r="N140" s="4"/>
    </row>
    <row r="141" customFormat="false" ht="15" hidden="false" customHeight="false" outlineLevel="0" collapsed="false">
      <c r="A141" s="4" t="s">
        <v>1215</v>
      </c>
      <c r="B141" s="4" t="s">
        <v>539</v>
      </c>
      <c r="C141" s="22" t="n">
        <v>1</v>
      </c>
      <c r="D141" s="16" t="s">
        <v>1216</v>
      </c>
      <c r="E141" s="16" t="s">
        <v>1217</v>
      </c>
      <c r="F141" s="6" t="n">
        <v>46238</v>
      </c>
      <c r="G141" s="6" t="n">
        <v>46238</v>
      </c>
      <c r="H141" s="23" t="n">
        <f aca="false">ABS(F141-G141)</f>
        <v>0</v>
      </c>
      <c r="I141" s="7" t="n">
        <v>-16723.68</v>
      </c>
      <c r="J141" s="7" t="n">
        <v>-16723.68</v>
      </c>
      <c r="K141" s="7" t="n">
        <f aca="false">I141-J141</f>
        <v>0</v>
      </c>
      <c r="L141" s="4" t="s">
        <v>1218</v>
      </c>
      <c r="M141" s="4" t="s">
        <v>1219</v>
      </c>
      <c r="N141" s="4"/>
    </row>
    <row r="142" customFormat="false" ht="15" hidden="false" customHeight="false" outlineLevel="0" collapsed="false">
      <c r="A142" s="4" t="s">
        <v>1220</v>
      </c>
      <c r="B142" s="4" t="s">
        <v>539</v>
      </c>
      <c r="C142" s="22" t="n">
        <v>1</v>
      </c>
      <c r="D142" s="16" t="s">
        <v>1221</v>
      </c>
      <c r="E142" s="16" t="s">
        <v>1222</v>
      </c>
      <c r="F142" s="6" t="n">
        <v>46238</v>
      </c>
      <c r="G142" s="6" t="n">
        <v>46238</v>
      </c>
      <c r="H142" s="23" t="n">
        <f aca="false">ABS(F142-G142)</f>
        <v>0</v>
      </c>
      <c r="I142" s="7" t="n">
        <v>-57139.7</v>
      </c>
      <c r="J142" s="7" t="n">
        <v>-57139.7</v>
      </c>
      <c r="K142" s="7" t="n">
        <f aca="false">I142-J142</f>
        <v>0</v>
      </c>
      <c r="L142" s="4" t="s">
        <v>1223</v>
      </c>
      <c r="M142" s="4" t="s">
        <v>1224</v>
      </c>
      <c r="N142" s="4"/>
    </row>
    <row r="143" customFormat="false" ht="15" hidden="false" customHeight="false" outlineLevel="0" collapsed="false">
      <c r="A143" s="4" t="s">
        <v>1225</v>
      </c>
      <c r="B143" s="4" t="s">
        <v>539</v>
      </c>
      <c r="C143" s="22" t="n">
        <v>1</v>
      </c>
      <c r="D143" s="16" t="s">
        <v>1226</v>
      </c>
      <c r="E143" s="16" t="s">
        <v>1227</v>
      </c>
      <c r="F143" s="6" t="n">
        <v>46239</v>
      </c>
      <c r="G143" s="6" t="n">
        <v>46239</v>
      </c>
      <c r="H143" s="23" t="n">
        <f aca="false">ABS(F143-G143)</f>
        <v>0</v>
      </c>
      <c r="I143" s="7" t="n">
        <v>42380.85</v>
      </c>
      <c r="J143" s="7" t="n">
        <v>42380.85</v>
      </c>
      <c r="K143" s="7" t="n">
        <f aca="false">I143-J143</f>
        <v>0</v>
      </c>
      <c r="L143" s="4" t="s">
        <v>1228</v>
      </c>
      <c r="M143" s="4" t="s">
        <v>1229</v>
      </c>
      <c r="N143" s="4"/>
    </row>
    <row r="144" customFormat="false" ht="15" hidden="false" customHeight="false" outlineLevel="0" collapsed="false">
      <c r="A144" s="4" t="s">
        <v>1230</v>
      </c>
      <c r="B144" s="4" t="s">
        <v>539</v>
      </c>
      <c r="C144" s="22" t="n">
        <v>1</v>
      </c>
      <c r="D144" s="16" t="s">
        <v>1231</v>
      </c>
      <c r="E144" s="16" t="s">
        <v>1232</v>
      </c>
      <c r="F144" s="6" t="n">
        <v>46240</v>
      </c>
      <c r="G144" s="6" t="n">
        <v>46240</v>
      </c>
      <c r="H144" s="23" t="n">
        <f aca="false">ABS(F144-G144)</f>
        <v>0</v>
      </c>
      <c r="I144" s="7" t="n">
        <v>48209.48</v>
      </c>
      <c r="J144" s="7" t="n">
        <v>48209.48</v>
      </c>
      <c r="K144" s="7" t="n">
        <f aca="false">I144-J144</f>
        <v>0</v>
      </c>
      <c r="L144" s="4" t="s">
        <v>1233</v>
      </c>
      <c r="M144" s="4" t="s">
        <v>1234</v>
      </c>
      <c r="N144" s="4"/>
    </row>
    <row r="145" customFormat="false" ht="15" hidden="false" customHeight="false" outlineLevel="0" collapsed="false">
      <c r="A145" s="4" t="s">
        <v>1235</v>
      </c>
      <c r="B145" s="4" t="s">
        <v>539</v>
      </c>
      <c r="C145" s="22" t="n">
        <v>1</v>
      </c>
      <c r="D145" s="16" t="s">
        <v>1236</v>
      </c>
      <c r="E145" s="16" t="s">
        <v>1237</v>
      </c>
      <c r="F145" s="6" t="n">
        <v>46240</v>
      </c>
      <c r="G145" s="6" t="n">
        <v>46240</v>
      </c>
      <c r="H145" s="23" t="n">
        <f aca="false">ABS(F145-G145)</f>
        <v>0</v>
      </c>
      <c r="I145" s="7" t="n">
        <v>-49458.37</v>
      </c>
      <c r="J145" s="7" t="n">
        <v>-49458.37</v>
      </c>
      <c r="K145" s="7" t="n">
        <f aca="false">I145-J145</f>
        <v>0</v>
      </c>
      <c r="L145" s="4" t="s">
        <v>1238</v>
      </c>
      <c r="M145" s="4" t="s">
        <v>1239</v>
      </c>
      <c r="N145" s="4"/>
    </row>
    <row r="146" customFormat="false" ht="15" hidden="false" customHeight="false" outlineLevel="0" collapsed="false">
      <c r="A146" s="4" t="s">
        <v>1240</v>
      </c>
      <c r="B146" s="4" t="s">
        <v>539</v>
      </c>
      <c r="C146" s="22" t="n">
        <v>1</v>
      </c>
      <c r="D146" s="16" t="s">
        <v>1241</v>
      </c>
      <c r="E146" s="16" t="s">
        <v>1242</v>
      </c>
      <c r="F146" s="6" t="n">
        <v>46241</v>
      </c>
      <c r="G146" s="6" t="n">
        <v>46241</v>
      </c>
      <c r="H146" s="23" t="n">
        <f aca="false">ABS(F146-G146)</f>
        <v>0</v>
      </c>
      <c r="I146" s="7" t="n">
        <v>27382.02</v>
      </c>
      <c r="J146" s="7" t="n">
        <v>27382.02</v>
      </c>
      <c r="K146" s="7" t="n">
        <f aca="false">I146-J146</f>
        <v>0</v>
      </c>
      <c r="L146" s="4" t="s">
        <v>1243</v>
      </c>
      <c r="M146" s="4" t="s">
        <v>1244</v>
      </c>
      <c r="N146" s="4"/>
    </row>
    <row r="147" customFormat="false" ht="15" hidden="false" customHeight="false" outlineLevel="0" collapsed="false">
      <c r="A147" s="4" t="s">
        <v>1245</v>
      </c>
      <c r="B147" s="4" t="s">
        <v>539</v>
      </c>
      <c r="C147" s="22" t="n">
        <v>1</v>
      </c>
      <c r="D147" s="16" t="s">
        <v>1246</v>
      </c>
      <c r="E147" s="16" t="s">
        <v>1247</v>
      </c>
      <c r="F147" s="6" t="n">
        <v>46241</v>
      </c>
      <c r="G147" s="6" t="n">
        <v>46241</v>
      </c>
      <c r="H147" s="23" t="n">
        <f aca="false">ABS(F147-G147)</f>
        <v>0</v>
      </c>
      <c r="I147" s="7" t="n">
        <v>85619.91</v>
      </c>
      <c r="J147" s="7" t="n">
        <v>85619.91</v>
      </c>
      <c r="K147" s="7" t="n">
        <f aca="false">I147-J147</f>
        <v>0</v>
      </c>
      <c r="L147" s="4" t="s">
        <v>1248</v>
      </c>
      <c r="M147" s="4" t="s">
        <v>1249</v>
      </c>
      <c r="N147" s="4"/>
    </row>
    <row r="148" customFormat="false" ht="15" hidden="false" customHeight="false" outlineLevel="0" collapsed="false">
      <c r="A148" s="4" t="s">
        <v>1250</v>
      </c>
      <c r="B148" s="4" t="s">
        <v>539</v>
      </c>
      <c r="C148" s="22" t="n">
        <v>1</v>
      </c>
      <c r="D148" s="16" t="s">
        <v>1251</v>
      </c>
      <c r="E148" s="16" t="s">
        <v>1252</v>
      </c>
      <c r="F148" s="6" t="n">
        <v>46241</v>
      </c>
      <c r="G148" s="6" t="n">
        <v>46241</v>
      </c>
      <c r="H148" s="23" t="n">
        <f aca="false">ABS(F148-G148)</f>
        <v>0</v>
      </c>
      <c r="I148" s="7" t="n">
        <v>-7311.46</v>
      </c>
      <c r="J148" s="7" t="n">
        <v>-7311.46</v>
      </c>
      <c r="K148" s="7" t="n">
        <f aca="false">I148-J148</f>
        <v>0</v>
      </c>
      <c r="L148" s="4" t="s">
        <v>1253</v>
      </c>
      <c r="M148" s="4" t="s">
        <v>1254</v>
      </c>
      <c r="N148" s="4"/>
    </row>
    <row r="149" customFormat="false" ht="15" hidden="false" customHeight="false" outlineLevel="0" collapsed="false">
      <c r="A149" s="4" t="s">
        <v>1255</v>
      </c>
      <c r="B149" s="4" t="s">
        <v>539</v>
      </c>
      <c r="C149" s="22" t="n">
        <v>1</v>
      </c>
      <c r="D149" s="16" t="s">
        <v>1256</v>
      </c>
      <c r="E149" s="16" t="s">
        <v>1257</v>
      </c>
      <c r="F149" s="6" t="n">
        <v>46241</v>
      </c>
      <c r="G149" s="6" t="n">
        <v>46241</v>
      </c>
      <c r="H149" s="23" t="n">
        <f aca="false">ABS(F149-G149)</f>
        <v>0</v>
      </c>
      <c r="I149" s="7" t="n">
        <v>-10285.65</v>
      </c>
      <c r="J149" s="7" t="n">
        <v>-10285.65</v>
      </c>
      <c r="K149" s="7" t="n">
        <f aca="false">I149-J149</f>
        <v>0</v>
      </c>
      <c r="L149" s="4" t="s">
        <v>1258</v>
      </c>
      <c r="M149" s="4" t="s">
        <v>1259</v>
      </c>
      <c r="N149" s="4"/>
    </row>
    <row r="150" customFormat="false" ht="15" hidden="false" customHeight="false" outlineLevel="0" collapsed="false">
      <c r="A150" s="4" t="s">
        <v>1260</v>
      </c>
      <c r="B150" s="4" t="s">
        <v>539</v>
      </c>
      <c r="C150" s="22" t="n">
        <v>1</v>
      </c>
      <c r="D150" s="16" t="s">
        <v>1261</v>
      </c>
      <c r="E150" s="16" t="s">
        <v>1262</v>
      </c>
      <c r="F150" s="6" t="n">
        <v>46242</v>
      </c>
      <c r="G150" s="6" t="n">
        <v>46242</v>
      </c>
      <c r="H150" s="23" t="n">
        <f aca="false">ABS(F150-G150)</f>
        <v>0</v>
      </c>
      <c r="I150" s="7" t="n">
        <v>88657.17</v>
      </c>
      <c r="J150" s="7" t="n">
        <v>88657.17</v>
      </c>
      <c r="K150" s="7" t="n">
        <f aca="false">I150-J150</f>
        <v>0</v>
      </c>
      <c r="L150" s="4" t="s">
        <v>1263</v>
      </c>
      <c r="M150" s="4" t="s">
        <v>1264</v>
      </c>
      <c r="N150" s="4"/>
    </row>
    <row r="151" customFormat="false" ht="15" hidden="false" customHeight="false" outlineLevel="0" collapsed="false">
      <c r="A151" s="4" t="s">
        <v>1265</v>
      </c>
      <c r="B151" s="4" t="s">
        <v>539</v>
      </c>
      <c r="C151" s="22" t="n">
        <v>1</v>
      </c>
      <c r="D151" s="16" t="s">
        <v>1266</v>
      </c>
      <c r="E151" s="16" t="s">
        <v>1267</v>
      </c>
      <c r="F151" s="6" t="n">
        <v>46242</v>
      </c>
      <c r="G151" s="6" t="n">
        <v>46242</v>
      </c>
      <c r="H151" s="23" t="n">
        <f aca="false">ABS(F151-G151)</f>
        <v>0</v>
      </c>
      <c r="I151" s="7" t="n">
        <v>55175.15</v>
      </c>
      <c r="J151" s="7" t="n">
        <v>55175.15</v>
      </c>
      <c r="K151" s="7" t="n">
        <f aca="false">I151-J151</f>
        <v>0</v>
      </c>
      <c r="L151" s="4" t="s">
        <v>1268</v>
      </c>
      <c r="M151" s="4" t="s">
        <v>1269</v>
      </c>
      <c r="N151" s="4"/>
    </row>
    <row r="152" customFormat="false" ht="15" hidden="false" customHeight="false" outlineLevel="0" collapsed="false">
      <c r="A152" s="4" t="s">
        <v>1270</v>
      </c>
      <c r="B152" s="4" t="s">
        <v>539</v>
      </c>
      <c r="C152" s="22" t="n">
        <v>1</v>
      </c>
      <c r="D152" s="16" t="s">
        <v>1271</v>
      </c>
      <c r="E152" s="16" t="s">
        <v>1272</v>
      </c>
      <c r="F152" s="6" t="n">
        <v>46242</v>
      </c>
      <c r="G152" s="6" t="n">
        <v>46242</v>
      </c>
      <c r="H152" s="23" t="n">
        <f aca="false">ABS(F152-G152)</f>
        <v>0</v>
      </c>
      <c r="I152" s="7" t="n">
        <v>19947.47</v>
      </c>
      <c r="J152" s="7" t="n">
        <v>19947.47</v>
      </c>
      <c r="K152" s="7" t="n">
        <f aca="false">I152-J152</f>
        <v>0</v>
      </c>
      <c r="L152" s="4" t="s">
        <v>1273</v>
      </c>
      <c r="M152" s="4" t="s">
        <v>1274</v>
      </c>
      <c r="N152" s="4"/>
    </row>
    <row r="153" customFormat="false" ht="15" hidden="false" customHeight="false" outlineLevel="0" collapsed="false">
      <c r="A153" s="4" t="s">
        <v>1275</v>
      </c>
      <c r="B153" s="4" t="s">
        <v>539</v>
      </c>
      <c r="C153" s="22" t="n">
        <v>1</v>
      </c>
      <c r="D153" s="16" t="s">
        <v>1276</v>
      </c>
      <c r="E153" s="16" t="s">
        <v>1277</v>
      </c>
      <c r="F153" s="6" t="n">
        <v>46243</v>
      </c>
      <c r="G153" s="6" t="n">
        <v>46243</v>
      </c>
      <c r="H153" s="23" t="n">
        <f aca="false">ABS(F153-G153)</f>
        <v>0</v>
      </c>
      <c r="I153" s="7" t="n">
        <v>91841.34</v>
      </c>
      <c r="J153" s="7" t="n">
        <v>91841.34</v>
      </c>
      <c r="K153" s="7" t="n">
        <f aca="false">I153-J153</f>
        <v>0</v>
      </c>
      <c r="L153" s="4" t="s">
        <v>1278</v>
      </c>
      <c r="M153" s="4" t="s">
        <v>1279</v>
      </c>
      <c r="N153" s="4"/>
    </row>
    <row r="154" customFormat="false" ht="15" hidden="false" customHeight="false" outlineLevel="0" collapsed="false">
      <c r="A154" s="4" t="s">
        <v>1280</v>
      </c>
      <c r="B154" s="4" t="s">
        <v>539</v>
      </c>
      <c r="C154" s="22" t="n">
        <v>1</v>
      </c>
      <c r="D154" s="16" t="s">
        <v>1281</v>
      </c>
      <c r="E154" s="16" t="s">
        <v>1282</v>
      </c>
      <c r="F154" s="6" t="n">
        <v>46243</v>
      </c>
      <c r="G154" s="6" t="n">
        <v>46243</v>
      </c>
      <c r="H154" s="23" t="n">
        <f aca="false">ABS(F154-G154)</f>
        <v>0</v>
      </c>
      <c r="I154" s="7" t="n">
        <v>67828.14</v>
      </c>
      <c r="J154" s="7" t="n">
        <v>67828.14</v>
      </c>
      <c r="K154" s="7" t="n">
        <f aca="false">I154-J154</f>
        <v>0</v>
      </c>
      <c r="L154" s="4" t="s">
        <v>1283</v>
      </c>
      <c r="M154" s="4" t="s">
        <v>1284</v>
      </c>
      <c r="N154" s="4"/>
    </row>
    <row r="155" customFormat="false" ht="15" hidden="false" customHeight="false" outlineLevel="0" collapsed="false">
      <c r="A155" s="4" t="s">
        <v>1285</v>
      </c>
      <c r="B155" s="4" t="s">
        <v>539</v>
      </c>
      <c r="C155" s="22" t="n">
        <v>1</v>
      </c>
      <c r="D155" s="16" t="s">
        <v>1286</v>
      </c>
      <c r="E155" s="16" t="s">
        <v>1287</v>
      </c>
      <c r="F155" s="6" t="n">
        <v>46244</v>
      </c>
      <c r="G155" s="6" t="n">
        <v>46244</v>
      </c>
      <c r="H155" s="23" t="n">
        <f aca="false">ABS(F155-G155)</f>
        <v>0</v>
      </c>
      <c r="I155" s="7" t="n">
        <v>39097.52</v>
      </c>
      <c r="J155" s="7" t="n">
        <v>39097.52</v>
      </c>
      <c r="K155" s="7" t="n">
        <f aca="false">I155-J155</f>
        <v>0</v>
      </c>
      <c r="L155" s="4" t="s">
        <v>1288</v>
      </c>
      <c r="M155" s="4" t="s">
        <v>1289</v>
      </c>
      <c r="N155" s="4"/>
    </row>
    <row r="156" customFormat="false" ht="15" hidden="false" customHeight="false" outlineLevel="0" collapsed="false">
      <c r="A156" s="4" t="s">
        <v>1290</v>
      </c>
      <c r="B156" s="4" t="s">
        <v>539</v>
      </c>
      <c r="C156" s="22" t="n">
        <v>1</v>
      </c>
      <c r="D156" s="16" t="s">
        <v>1291</v>
      </c>
      <c r="E156" s="16" t="s">
        <v>1292</v>
      </c>
      <c r="F156" s="6" t="n">
        <v>46244</v>
      </c>
      <c r="G156" s="6" t="n">
        <v>46244</v>
      </c>
      <c r="H156" s="23" t="n">
        <f aca="false">ABS(F156-G156)</f>
        <v>0</v>
      </c>
      <c r="I156" s="7" t="n">
        <v>45383.54</v>
      </c>
      <c r="J156" s="7" t="n">
        <v>45383.54</v>
      </c>
      <c r="K156" s="7" t="n">
        <f aca="false">I156-J156</f>
        <v>0</v>
      </c>
      <c r="L156" s="4" t="s">
        <v>1293</v>
      </c>
      <c r="M156" s="4" t="s">
        <v>1294</v>
      </c>
      <c r="N156" s="4"/>
    </row>
    <row r="157" customFormat="false" ht="15" hidden="false" customHeight="false" outlineLevel="0" collapsed="false">
      <c r="A157" s="4" t="s">
        <v>1295</v>
      </c>
      <c r="B157" s="4" t="s">
        <v>539</v>
      </c>
      <c r="C157" s="22" t="n">
        <v>1</v>
      </c>
      <c r="D157" s="16" t="s">
        <v>1296</v>
      </c>
      <c r="E157" s="16" t="s">
        <v>1297</v>
      </c>
      <c r="F157" s="6" t="n">
        <v>46244</v>
      </c>
      <c r="G157" s="6" t="n">
        <v>46244</v>
      </c>
      <c r="H157" s="23" t="n">
        <f aca="false">ABS(F157-G157)</f>
        <v>0</v>
      </c>
      <c r="I157" s="7" t="n">
        <v>44367.06</v>
      </c>
      <c r="J157" s="7" t="n">
        <v>44367.06</v>
      </c>
      <c r="K157" s="7" t="n">
        <f aca="false">I157-J157</f>
        <v>0</v>
      </c>
      <c r="L157" s="4" t="s">
        <v>1298</v>
      </c>
      <c r="M157" s="4" t="s">
        <v>1299</v>
      </c>
      <c r="N157" s="4"/>
    </row>
    <row r="158" customFormat="false" ht="15" hidden="false" customHeight="false" outlineLevel="0" collapsed="false">
      <c r="A158" s="4" t="s">
        <v>1300</v>
      </c>
      <c r="B158" s="4" t="s">
        <v>539</v>
      </c>
      <c r="C158" s="22" t="n">
        <v>1</v>
      </c>
      <c r="D158" s="16" t="s">
        <v>1301</v>
      </c>
      <c r="E158" s="16" t="s">
        <v>1302</v>
      </c>
      <c r="F158" s="6" t="n">
        <v>46244</v>
      </c>
      <c r="G158" s="6" t="n">
        <v>46244</v>
      </c>
      <c r="H158" s="23" t="n">
        <f aca="false">ABS(F158-G158)</f>
        <v>0</v>
      </c>
      <c r="I158" s="7" t="n">
        <v>-1686.14</v>
      </c>
      <c r="J158" s="7" t="n">
        <v>-1686.14</v>
      </c>
      <c r="K158" s="7" t="n">
        <f aca="false">I158-J158</f>
        <v>0</v>
      </c>
      <c r="L158" s="4" t="s">
        <v>1303</v>
      </c>
      <c r="M158" s="4" t="s">
        <v>1304</v>
      </c>
      <c r="N158" s="4"/>
    </row>
    <row r="159" customFormat="false" ht="15" hidden="false" customHeight="false" outlineLevel="0" collapsed="false">
      <c r="A159" s="4" t="s">
        <v>1305</v>
      </c>
      <c r="B159" s="4" t="s">
        <v>539</v>
      </c>
      <c r="C159" s="22" t="n">
        <v>1</v>
      </c>
      <c r="D159" s="16" t="s">
        <v>1306</v>
      </c>
      <c r="E159" s="16" t="s">
        <v>1307</v>
      </c>
      <c r="F159" s="6" t="n">
        <v>46244</v>
      </c>
      <c r="G159" s="6" t="n">
        <v>46244</v>
      </c>
      <c r="H159" s="23" t="n">
        <f aca="false">ABS(F159-G159)</f>
        <v>0</v>
      </c>
      <c r="I159" s="7" t="n">
        <v>-3544.04</v>
      </c>
      <c r="J159" s="7" t="n">
        <v>-3544.04</v>
      </c>
      <c r="K159" s="7" t="n">
        <f aca="false">I159-J159</f>
        <v>0</v>
      </c>
      <c r="L159" s="4" t="s">
        <v>1308</v>
      </c>
      <c r="M159" s="4" t="s">
        <v>1309</v>
      </c>
      <c r="N159" s="4"/>
    </row>
    <row r="160" customFormat="false" ht="15" hidden="false" customHeight="false" outlineLevel="0" collapsed="false">
      <c r="A160" s="4" t="s">
        <v>1310</v>
      </c>
      <c r="B160" s="4" t="s">
        <v>539</v>
      </c>
      <c r="C160" s="22" t="n">
        <v>1</v>
      </c>
      <c r="D160" s="16" t="s">
        <v>1311</v>
      </c>
      <c r="E160" s="16" t="s">
        <v>1312</v>
      </c>
      <c r="F160" s="6" t="n">
        <v>46245</v>
      </c>
      <c r="G160" s="6" t="n">
        <v>46245</v>
      </c>
      <c r="H160" s="23" t="n">
        <f aca="false">ABS(F160-G160)</f>
        <v>0</v>
      </c>
      <c r="I160" s="7" t="n">
        <v>17805.04</v>
      </c>
      <c r="J160" s="7" t="n">
        <v>17805.04</v>
      </c>
      <c r="K160" s="7" t="n">
        <f aca="false">I160-J160</f>
        <v>0</v>
      </c>
      <c r="L160" s="4" t="s">
        <v>1313</v>
      </c>
      <c r="M160" s="4" t="s">
        <v>1314</v>
      </c>
      <c r="N160" s="4"/>
    </row>
    <row r="161" customFormat="false" ht="15" hidden="false" customHeight="false" outlineLevel="0" collapsed="false">
      <c r="A161" s="4" t="s">
        <v>1315</v>
      </c>
      <c r="B161" s="4" t="s">
        <v>539</v>
      </c>
      <c r="C161" s="22" t="n">
        <v>1</v>
      </c>
      <c r="D161" s="16" t="s">
        <v>1316</v>
      </c>
      <c r="E161" s="16" t="s">
        <v>1317</v>
      </c>
      <c r="F161" s="6" t="n">
        <v>46245</v>
      </c>
      <c r="G161" s="6" t="n">
        <v>46245</v>
      </c>
      <c r="H161" s="23" t="n">
        <f aca="false">ABS(F161-G161)</f>
        <v>0</v>
      </c>
      <c r="I161" s="7" t="n">
        <v>54942.22</v>
      </c>
      <c r="J161" s="7" t="n">
        <v>54942.22</v>
      </c>
      <c r="K161" s="7" t="n">
        <f aca="false">I161-J161</f>
        <v>0</v>
      </c>
      <c r="L161" s="4" t="s">
        <v>1318</v>
      </c>
      <c r="M161" s="4" t="s">
        <v>1319</v>
      </c>
      <c r="N161" s="4"/>
    </row>
    <row r="162" customFormat="false" ht="15" hidden="false" customHeight="false" outlineLevel="0" collapsed="false">
      <c r="A162" s="4" t="s">
        <v>1320</v>
      </c>
      <c r="B162" s="4" t="s">
        <v>539</v>
      </c>
      <c r="C162" s="22" t="n">
        <v>1</v>
      </c>
      <c r="D162" s="16" t="s">
        <v>1321</v>
      </c>
      <c r="E162" s="16" t="s">
        <v>1322</v>
      </c>
      <c r="F162" s="6" t="n">
        <v>46245</v>
      </c>
      <c r="G162" s="6" t="n">
        <v>46245</v>
      </c>
      <c r="H162" s="23" t="n">
        <f aca="false">ABS(F162-G162)</f>
        <v>0</v>
      </c>
      <c r="I162" s="7" t="n">
        <v>38374.08</v>
      </c>
      <c r="J162" s="7" t="n">
        <v>38374.08</v>
      </c>
      <c r="K162" s="7" t="n">
        <f aca="false">I162-J162</f>
        <v>0</v>
      </c>
      <c r="L162" s="4" t="s">
        <v>1323</v>
      </c>
      <c r="M162" s="4" t="s">
        <v>1324</v>
      </c>
      <c r="N162" s="4"/>
    </row>
    <row r="163" customFormat="false" ht="15" hidden="false" customHeight="false" outlineLevel="0" collapsed="false">
      <c r="A163" s="4" t="s">
        <v>1325</v>
      </c>
      <c r="B163" s="4" t="s">
        <v>539</v>
      </c>
      <c r="C163" s="22" t="n">
        <v>1</v>
      </c>
      <c r="D163" s="16" t="s">
        <v>1326</v>
      </c>
      <c r="E163" s="16" t="s">
        <v>1327</v>
      </c>
      <c r="F163" s="6" t="n">
        <v>46245</v>
      </c>
      <c r="G163" s="6" t="n">
        <v>46245</v>
      </c>
      <c r="H163" s="23" t="n">
        <f aca="false">ABS(F163-G163)</f>
        <v>0</v>
      </c>
      <c r="I163" s="7" t="n">
        <v>-27875.89</v>
      </c>
      <c r="J163" s="7" t="n">
        <v>-27875.89</v>
      </c>
      <c r="K163" s="7" t="n">
        <f aca="false">I163-J163</f>
        <v>0</v>
      </c>
      <c r="L163" s="4" t="s">
        <v>1328</v>
      </c>
      <c r="M163" s="4" t="s">
        <v>1329</v>
      </c>
      <c r="N163" s="4"/>
    </row>
    <row r="164" customFormat="false" ht="15" hidden="false" customHeight="false" outlineLevel="0" collapsed="false">
      <c r="A164" s="4" t="s">
        <v>1330</v>
      </c>
      <c r="B164" s="4" t="s">
        <v>539</v>
      </c>
      <c r="C164" s="22" t="n">
        <v>1</v>
      </c>
      <c r="D164" s="16" t="s">
        <v>1331</v>
      </c>
      <c r="E164" s="16" t="s">
        <v>1332</v>
      </c>
      <c r="F164" s="6" t="n">
        <v>46246</v>
      </c>
      <c r="G164" s="6" t="n">
        <v>46246</v>
      </c>
      <c r="H164" s="23" t="n">
        <f aca="false">ABS(F164-G164)</f>
        <v>0</v>
      </c>
      <c r="I164" s="7" t="n">
        <v>74673.05</v>
      </c>
      <c r="J164" s="7" t="n">
        <v>74673.05</v>
      </c>
      <c r="K164" s="7" t="n">
        <f aca="false">I164-J164</f>
        <v>0</v>
      </c>
      <c r="L164" s="4" t="s">
        <v>1333</v>
      </c>
      <c r="M164" s="4" t="s">
        <v>1334</v>
      </c>
      <c r="N164" s="4"/>
    </row>
    <row r="165" customFormat="false" ht="15" hidden="false" customHeight="false" outlineLevel="0" collapsed="false">
      <c r="A165" s="4" t="s">
        <v>1335</v>
      </c>
      <c r="B165" s="4" t="s">
        <v>539</v>
      </c>
      <c r="C165" s="22" t="n">
        <v>1</v>
      </c>
      <c r="D165" s="16" t="s">
        <v>1336</v>
      </c>
      <c r="E165" s="16" t="s">
        <v>1337</v>
      </c>
      <c r="F165" s="6" t="n">
        <v>46246</v>
      </c>
      <c r="G165" s="6" t="n">
        <v>46246</v>
      </c>
      <c r="H165" s="23" t="n">
        <f aca="false">ABS(F165-G165)</f>
        <v>0</v>
      </c>
      <c r="I165" s="7" t="n">
        <v>75600.46</v>
      </c>
      <c r="J165" s="7" t="n">
        <v>75600.46</v>
      </c>
      <c r="K165" s="7" t="n">
        <f aca="false">I165-J165</f>
        <v>0</v>
      </c>
      <c r="L165" s="4" t="s">
        <v>1338</v>
      </c>
      <c r="M165" s="4" t="s">
        <v>1339</v>
      </c>
      <c r="N165" s="4"/>
    </row>
    <row r="166" customFormat="false" ht="15" hidden="false" customHeight="false" outlineLevel="0" collapsed="false">
      <c r="A166" s="4" t="s">
        <v>1340</v>
      </c>
      <c r="B166" s="4" t="s">
        <v>539</v>
      </c>
      <c r="C166" s="22" t="n">
        <v>1</v>
      </c>
      <c r="D166" s="16" t="s">
        <v>1341</v>
      </c>
      <c r="E166" s="16" t="s">
        <v>1342</v>
      </c>
      <c r="F166" s="6" t="n">
        <v>46246</v>
      </c>
      <c r="G166" s="6" t="n">
        <v>46246</v>
      </c>
      <c r="H166" s="23" t="n">
        <f aca="false">ABS(F166-G166)</f>
        <v>0</v>
      </c>
      <c r="I166" s="7" t="n">
        <v>88706.79</v>
      </c>
      <c r="J166" s="7" t="n">
        <v>88706.79</v>
      </c>
      <c r="K166" s="7" t="n">
        <f aca="false">I166-J166</f>
        <v>0</v>
      </c>
      <c r="L166" s="4" t="s">
        <v>1343</v>
      </c>
      <c r="M166" s="4" t="s">
        <v>1344</v>
      </c>
      <c r="N166" s="4"/>
    </row>
    <row r="167" customFormat="false" ht="15" hidden="false" customHeight="false" outlineLevel="0" collapsed="false">
      <c r="A167" s="4" t="s">
        <v>1345</v>
      </c>
      <c r="B167" s="4" t="s">
        <v>539</v>
      </c>
      <c r="C167" s="22" t="n">
        <v>1</v>
      </c>
      <c r="D167" s="16" t="s">
        <v>1346</v>
      </c>
      <c r="E167" s="16" t="s">
        <v>1347</v>
      </c>
      <c r="F167" s="6" t="n">
        <v>46246</v>
      </c>
      <c r="G167" s="6" t="n">
        <v>46246</v>
      </c>
      <c r="H167" s="23" t="n">
        <f aca="false">ABS(F167-G167)</f>
        <v>0</v>
      </c>
      <c r="I167" s="7" t="n">
        <v>65798.1</v>
      </c>
      <c r="J167" s="7" t="n">
        <v>65798.1</v>
      </c>
      <c r="K167" s="7" t="n">
        <f aca="false">I167-J167</f>
        <v>0</v>
      </c>
      <c r="L167" s="4" t="s">
        <v>1348</v>
      </c>
      <c r="M167" s="4" t="s">
        <v>1349</v>
      </c>
      <c r="N167" s="4"/>
    </row>
    <row r="168" customFormat="false" ht="15" hidden="false" customHeight="false" outlineLevel="0" collapsed="false">
      <c r="A168" s="4" t="s">
        <v>1350</v>
      </c>
      <c r="B168" s="4" t="s">
        <v>539</v>
      </c>
      <c r="C168" s="22" t="n">
        <v>1</v>
      </c>
      <c r="D168" s="16" t="s">
        <v>1351</v>
      </c>
      <c r="E168" s="16" t="s">
        <v>1352</v>
      </c>
      <c r="F168" s="6" t="n">
        <v>46246</v>
      </c>
      <c r="G168" s="6" t="n">
        <v>46246</v>
      </c>
      <c r="H168" s="23" t="n">
        <f aca="false">ABS(F168-G168)</f>
        <v>0</v>
      </c>
      <c r="I168" s="7" t="n">
        <v>36674.95</v>
      </c>
      <c r="J168" s="7" t="n">
        <v>36674.95</v>
      </c>
      <c r="K168" s="7" t="n">
        <f aca="false">I168-J168</f>
        <v>0</v>
      </c>
      <c r="L168" s="4" t="s">
        <v>1353</v>
      </c>
      <c r="M168" s="4" t="s">
        <v>1354</v>
      </c>
      <c r="N168" s="4"/>
    </row>
    <row r="169" customFormat="false" ht="15" hidden="false" customHeight="false" outlineLevel="0" collapsed="false">
      <c r="A169" s="4" t="s">
        <v>1355</v>
      </c>
      <c r="B169" s="4" t="s">
        <v>539</v>
      </c>
      <c r="C169" s="22" t="n">
        <v>1</v>
      </c>
      <c r="D169" s="16" t="s">
        <v>1356</v>
      </c>
      <c r="E169" s="16" t="s">
        <v>1357</v>
      </c>
      <c r="F169" s="6" t="n">
        <v>46246</v>
      </c>
      <c r="G169" s="6" t="n">
        <v>46246</v>
      </c>
      <c r="H169" s="23" t="n">
        <f aca="false">ABS(F169-G169)</f>
        <v>0</v>
      </c>
      <c r="I169" s="7" t="n">
        <v>5848.54</v>
      </c>
      <c r="J169" s="7" t="n">
        <v>5848.54</v>
      </c>
      <c r="K169" s="7" t="n">
        <f aca="false">I169-J169</f>
        <v>0</v>
      </c>
      <c r="L169" s="4" t="s">
        <v>1358</v>
      </c>
      <c r="M169" s="4" t="s">
        <v>1359</v>
      </c>
      <c r="N169" s="4"/>
    </row>
    <row r="170" customFormat="false" ht="15" hidden="false" customHeight="false" outlineLevel="0" collapsed="false">
      <c r="A170" s="4" t="s">
        <v>1360</v>
      </c>
      <c r="B170" s="4" t="s">
        <v>539</v>
      </c>
      <c r="C170" s="22" t="n">
        <v>1</v>
      </c>
      <c r="D170" s="16" t="s">
        <v>1361</v>
      </c>
      <c r="E170" s="16" t="s">
        <v>1362</v>
      </c>
      <c r="F170" s="6" t="n">
        <v>46246</v>
      </c>
      <c r="G170" s="6" t="n">
        <v>46246</v>
      </c>
      <c r="H170" s="23" t="n">
        <f aca="false">ABS(F170-G170)</f>
        <v>0</v>
      </c>
      <c r="I170" s="7" t="n">
        <v>-43123.22</v>
      </c>
      <c r="J170" s="7" t="n">
        <v>-43123.22</v>
      </c>
      <c r="K170" s="7" t="n">
        <f aca="false">I170-J170</f>
        <v>0</v>
      </c>
      <c r="L170" s="4" t="s">
        <v>1363</v>
      </c>
      <c r="M170" s="4" t="s">
        <v>1364</v>
      </c>
      <c r="N170" s="4"/>
    </row>
    <row r="171" customFormat="false" ht="15" hidden="false" customHeight="false" outlineLevel="0" collapsed="false">
      <c r="A171" s="4" t="s">
        <v>1365</v>
      </c>
      <c r="B171" s="4" t="s">
        <v>539</v>
      </c>
      <c r="C171" s="22" t="n">
        <v>1</v>
      </c>
      <c r="D171" s="16" t="s">
        <v>1366</v>
      </c>
      <c r="E171" s="16" t="s">
        <v>1367</v>
      </c>
      <c r="F171" s="6" t="n">
        <v>46247</v>
      </c>
      <c r="G171" s="6" t="n">
        <v>46247</v>
      </c>
      <c r="H171" s="23" t="n">
        <f aca="false">ABS(F171-G171)</f>
        <v>0</v>
      </c>
      <c r="I171" s="7" t="n">
        <v>93384.53</v>
      </c>
      <c r="J171" s="7" t="n">
        <v>93384.53</v>
      </c>
      <c r="K171" s="7" t="n">
        <f aca="false">I171-J171</f>
        <v>0</v>
      </c>
      <c r="L171" s="4" t="s">
        <v>1368</v>
      </c>
      <c r="M171" s="4" t="s">
        <v>1369</v>
      </c>
      <c r="N171" s="4"/>
    </row>
    <row r="172" customFormat="false" ht="15" hidden="false" customHeight="false" outlineLevel="0" collapsed="false">
      <c r="A172" s="4" t="s">
        <v>1370</v>
      </c>
      <c r="B172" s="4" t="s">
        <v>539</v>
      </c>
      <c r="C172" s="22" t="n">
        <v>1</v>
      </c>
      <c r="D172" s="16" t="s">
        <v>1371</v>
      </c>
      <c r="E172" s="16" t="s">
        <v>1372</v>
      </c>
      <c r="F172" s="6" t="n">
        <v>46247</v>
      </c>
      <c r="G172" s="6" t="n">
        <v>46247</v>
      </c>
      <c r="H172" s="23" t="n">
        <f aca="false">ABS(F172-G172)</f>
        <v>0</v>
      </c>
      <c r="I172" s="7" t="n">
        <v>-39702.15</v>
      </c>
      <c r="J172" s="7" t="n">
        <v>-39702.15</v>
      </c>
      <c r="K172" s="7" t="n">
        <f aca="false">I172-J172</f>
        <v>0</v>
      </c>
      <c r="L172" s="4" t="s">
        <v>1373</v>
      </c>
      <c r="M172" s="4" t="s">
        <v>1374</v>
      </c>
      <c r="N172" s="4"/>
    </row>
    <row r="173" customFormat="false" ht="15" hidden="false" customHeight="false" outlineLevel="0" collapsed="false">
      <c r="A173" s="4" t="s">
        <v>1375</v>
      </c>
      <c r="B173" s="4" t="s">
        <v>539</v>
      </c>
      <c r="C173" s="22" t="n">
        <v>1</v>
      </c>
      <c r="D173" s="16" t="s">
        <v>1376</v>
      </c>
      <c r="E173" s="16" t="s">
        <v>1377</v>
      </c>
      <c r="F173" s="6" t="n">
        <v>46249</v>
      </c>
      <c r="G173" s="6" t="n">
        <v>46249</v>
      </c>
      <c r="H173" s="23" t="n">
        <f aca="false">ABS(F173-G173)</f>
        <v>0</v>
      </c>
      <c r="I173" s="7" t="n">
        <v>86559.79</v>
      </c>
      <c r="J173" s="7" t="n">
        <v>86559.79</v>
      </c>
      <c r="K173" s="7" t="n">
        <f aca="false">I173-J173</f>
        <v>0</v>
      </c>
      <c r="L173" s="4" t="s">
        <v>1378</v>
      </c>
      <c r="M173" s="4" t="s">
        <v>1379</v>
      </c>
      <c r="N173" s="4"/>
    </row>
    <row r="174" customFormat="false" ht="15" hidden="false" customHeight="false" outlineLevel="0" collapsed="false">
      <c r="A174" s="4" t="s">
        <v>1380</v>
      </c>
      <c r="B174" s="4" t="s">
        <v>539</v>
      </c>
      <c r="C174" s="22" t="n">
        <v>1</v>
      </c>
      <c r="D174" s="16" t="s">
        <v>1381</v>
      </c>
      <c r="E174" s="16" t="s">
        <v>1382</v>
      </c>
      <c r="F174" s="6" t="n">
        <v>46249</v>
      </c>
      <c r="G174" s="6" t="n">
        <v>46249</v>
      </c>
      <c r="H174" s="23" t="n">
        <f aca="false">ABS(F174-G174)</f>
        <v>0</v>
      </c>
      <c r="I174" s="7" t="n">
        <v>11068.49</v>
      </c>
      <c r="J174" s="7" t="n">
        <v>11068.49</v>
      </c>
      <c r="K174" s="7" t="n">
        <f aca="false">I174-J174</f>
        <v>0</v>
      </c>
      <c r="L174" s="4" t="s">
        <v>1383</v>
      </c>
      <c r="M174" s="4" t="s">
        <v>1384</v>
      </c>
      <c r="N174" s="4"/>
    </row>
    <row r="175" customFormat="false" ht="15" hidden="false" customHeight="false" outlineLevel="0" collapsed="false">
      <c r="A175" s="4" t="s">
        <v>1385</v>
      </c>
      <c r="B175" s="4" t="s">
        <v>539</v>
      </c>
      <c r="C175" s="22" t="n">
        <v>1</v>
      </c>
      <c r="D175" s="16" t="s">
        <v>1386</v>
      </c>
      <c r="E175" s="16" t="s">
        <v>1387</v>
      </c>
      <c r="F175" s="6" t="n">
        <v>46249</v>
      </c>
      <c r="G175" s="6" t="n">
        <v>46249</v>
      </c>
      <c r="H175" s="23" t="n">
        <f aca="false">ABS(F175-G175)</f>
        <v>0</v>
      </c>
      <c r="I175" s="7" t="n">
        <v>26539.32</v>
      </c>
      <c r="J175" s="7" t="n">
        <v>26539.32</v>
      </c>
      <c r="K175" s="7" t="n">
        <f aca="false">I175-J175</f>
        <v>0</v>
      </c>
      <c r="L175" s="4" t="s">
        <v>1388</v>
      </c>
      <c r="M175" s="4" t="s">
        <v>1389</v>
      </c>
      <c r="N175" s="4"/>
    </row>
    <row r="176" customFormat="false" ht="15" hidden="false" customHeight="false" outlineLevel="0" collapsed="false">
      <c r="A176" s="4" t="s">
        <v>1390</v>
      </c>
      <c r="B176" s="4" t="s">
        <v>539</v>
      </c>
      <c r="C176" s="22" t="n">
        <v>1</v>
      </c>
      <c r="D176" s="16" t="s">
        <v>1391</v>
      </c>
      <c r="E176" s="16" t="s">
        <v>1392</v>
      </c>
      <c r="F176" s="6" t="n">
        <v>46249</v>
      </c>
      <c r="G176" s="6" t="n">
        <v>46249</v>
      </c>
      <c r="H176" s="23" t="n">
        <f aca="false">ABS(F176-G176)</f>
        <v>0</v>
      </c>
      <c r="I176" s="7" t="n">
        <v>79758.36</v>
      </c>
      <c r="J176" s="7" t="n">
        <v>79758.36</v>
      </c>
      <c r="K176" s="7" t="n">
        <f aca="false">I176-J176</f>
        <v>0</v>
      </c>
      <c r="L176" s="4" t="s">
        <v>1393</v>
      </c>
      <c r="M176" s="4" t="s">
        <v>1394</v>
      </c>
      <c r="N176" s="4"/>
    </row>
    <row r="177" customFormat="false" ht="15" hidden="false" customHeight="false" outlineLevel="0" collapsed="false">
      <c r="A177" s="4" t="s">
        <v>1395</v>
      </c>
      <c r="B177" s="4" t="s">
        <v>539</v>
      </c>
      <c r="C177" s="22" t="n">
        <v>1</v>
      </c>
      <c r="D177" s="16" t="s">
        <v>1396</v>
      </c>
      <c r="E177" s="16" t="s">
        <v>1397</v>
      </c>
      <c r="F177" s="6" t="n">
        <v>46250</v>
      </c>
      <c r="G177" s="6" t="n">
        <v>46250</v>
      </c>
      <c r="H177" s="23" t="n">
        <f aca="false">ABS(F177-G177)</f>
        <v>0</v>
      </c>
      <c r="I177" s="7" t="n">
        <v>11481.85</v>
      </c>
      <c r="J177" s="7" t="n">
        <v>11481.85</v>
      </c>
      <c r="K177" s="7" t="n">
        <f aca="false">I177-J177</f>
        <v>0</v>
      </c>
      <c r="L177" s="4" t="s">
        <v>1398</v>
      </c>
      <c r="M177" s="4" t="s">
        <v>1399</v>
      </c>
      <c r="N177" s="4"/>
    </row>
    <row r="178" customFormat="false" ht="15" hidden="false" customHeight="false" outlineLevel="0" collapsed="false">
      <c r="A178" s="4" t="s">
        <v>1400</v>
      </c>
      <c r="B178" s="4" t="s">
        <v>539</v>
      </c>
      <c r="C178" s="22" t="n">
        <v>1</v>
      </c>
      <c r="D178" s="16" t="s">
        <v>1401</v>
      </c>
      <c r="E178" s="16" t="s">
        <v>1402</v>
      </c>
      <c r="F178" s="6" t="n">
        <v>46250</v>
      </c>
      <c r="G178" s="6" t="n">
        <v>46250</v>
      </c>
      <c r="H178" s="23" t="n">
        <f aca="false">ABS(F178-G178)</f>
        <v>0</v>
      </c>
      <c r="I178" s="7" t="n">
        <v>13366.34</v>
      </c>
      <c r="J178" s="7" t="n">
        <v>13366.34</v>
      </c>
      <c r="K178" s="7" t="n">
        <f aca="false">I178-J178</f>
        <v>0</v>
      </c>
      <c r="L178" s="4" t="s">
        <v>1403</v>
      </c>
      <c r="M178" s="4" t="s">
        <v>1404</v>
      </c>
      <c r="N178" s="4"/>
    </row>
    <row r="179" customFormat="false" ht="15" hidden="false" customHeight="false" outlineLevel="0" collapsed="false">
      <c r="A179" s="4" t="s">
        <v>1405</v>
      </c>
      <c r="B179" s="4" t="s">
        <v>539</v>
      </c>
      <c r="C179" s="22" t="n">
        <v>1</v>
      </c>
      <c r="D179" s="16" t="s">
        <v>1406</v>
      </c>
      <c r="E179" s="16" t="s">
        <v>1407</v>
      </c>
      <c r="F179" s="6" t="n">
        <v>46250</v>
      </c>
      <c r="G179" s="6" t="n">
        <v>46250</v>
      </c>
      <c r="H179" s="23" t="n">
        <f aca="false">ABS(F179-G179)</f>
        <v>0</v>
      </c>
      <c r="I179" s="7" t="n">
        <v>4675.61</v>
      </c>
      <c r="J179" s="7" t="n">
        <v>4675.61</v>
      </c>
      <c r="K179" s="7" t="n">
        <f aca="false">I179-J179</f>
        <v>0</v>
      </c>
      <c r="L179" s="4" t="s">
        <v>1408</v>
      </c>
      <c r="M179" s="4" t="s">
        <v>1409</v>
      </c>
      <c r="N179" s="4"/>
    </row>
    <row r="180" customFormat="false" ht="15" hidden="false" customHeight="false" outlineLevel="0" collapsed="false">
      <c r="A180" s="4" t="s">
        <v>1410</v>
      </c>
      <c r="B180" s="4" t="s">
        <v>539</v>
      </c>
      <c r="C180" s="22" t="n">
        <v>1</v>
      </c>
      <c r="D180" s="16" t="s">
        <v>1411</v>
      </c>
      <c r="E180" s="16" t="s">
        <v>1412</v>
      </c>
      <c r="F180" s="6" t="n">
        <v>46250</v>
      </c>
      <c r="G180" s="6" t="n">
        <v>46250</v>
      </c>
      <c r="H180" s="23" t="n">
        <f aca="false">ABS(F180-G180)</f>
        <v>0</v>
      </c>
      <c r="I180" s="7" t="n">
        <v>-22081.65</v>
      </c>
      <c r="J180" s="7" t="n">
        <v>-22081.65</v>
      </c>
      <c r="K180" s="7" t="n">
        <f aca="false">I180-J180</f>
        <v>0</v>
      </c>
      <c r="L180" s="4" t="s">
        <v>1413</v>
      </c>
      <c r="M180" s="4" t="s">
        <v>1414</v>
      </c>
      <c r="N180" s="4"/>
    </row>
    <row r="181" customFormat="false" ht="15" hidden="false" customHeight="false" outlineLevel="0" collapsed="false">
      <c r="A181" s="4" t="s">
        <v>1415</v>
      </c>
      <c r="B181" s="4" t="s">
        <v>539</v>
      </c>
      <c r="C181" s="22" t="n">
        <v>1</v>
      </c>
      <c r="D181" s="16" t="s">
        <v>1416</v>
      </c>
      <c r="E181" s="16" t="s">
        <v>1417</v>
      </c>
      <c r="F181" s="6" t="n">
        <v>46251</v>
      </c>
      <c r="G181" s="6" t="n">
        <v>46251</v>
      </c>
      <c r="H181" s="23" t="n">
        <f aca="false">ABS(F181-G181)</f>
        <v>0</v>
      </c>
      <c r="I181" s="7" t="n">
        <v>-37262.76</v>
      </c>
      <c r="J181" s="7" t="n">
        <v>-37262.76</v>
      </c>
      <c r="K181" s="7" t="n">
        <f aca="false">I181-J181</f>
        <v>0</v>
      </c>
      <c r="L181" s="4" t="s">
        <v>1418</v>
      </c>
      <c r="M181" s="4" t="s">
        <v>1419</v>
      </c>
      <c r="N181" s="4"/>
    </row>
    <row r="182" customFormat="false" ht="15" hidden="false" customHeight="false" outlineLevel="0" collapsed="false">
      <c r="A182" s="4" t="s">
        <v>1420</v>
      </c>
      <c r="B182" s="4" t="s">
        <v>539</v>
      </c>
      <c r="C182" s="22" t="n">
        <v>1</v>
      </c>
      <c r="D182" s="16" t="s">
        <v>1421</v>
      </c>
      <c r="E182" s="16" t="s">
        <v>1422</v>
      </c>
      <c r="F182" s="6" t="n">
        <v>46252</v>
      </c>
      <c r="G182" s="6" t="n">
        <v>46252</v>
      </c>
      <c r="H182" s="23" t="n">
        <f aca="false">ABS(F182-G182)</f>
        <v>0</v>
      </c>
      <c r="I182" s="7" t="n">
        <v>3098.34</v>
      </c>
      <c r="J182" s="7" t="n">
        <v>3098.34</v>
      </c>
      <c r="K182" s="7" t="n">
        <f aca="false">I182-J182</f>
        <v>0</v>
      </c>
      <c r="L182" s="4" t="s">
        <v>1423</v>
      </c>
      <c r="M182" s="4" t="s">
        <v>1424</v>
      </c>
      <c r="N182" s="4"/>
    </row>
    <row r="183" customFormat="false" ht="15" hidden="false" customHeight="false" outlineLevel="0" collapsed="false">
      <c r="A183" s="4" t="s">
        <v>1425</v>
      </c>
      <c r="B183" s="4" t="s">
        <v>539</v>
      </c>
      <c r="C183" s="22" t="n">
        <v>1</v>
      </c>
      <c r="D183" s="16" t="s">
        <v>1426</v>
      </c>
      <c r="E183" s="16" t="s">
        <v>1427</v>
      </c>
      <c r="F183" s="6" t="n">
        <v>46252</v>
      </c>
      <c r="G183" s="6" t="n">
        <v>46252</v>
      </c>
      <c r="H183" s="23" t="n">
        <f aca="false">ABS(F183-G183)</f>
        <v>0</v>
      </c>
      <c r="I183" s="7" t="n">
        <v>49361.01</v>
      </c>
      <c r="J183" s="7" t="n">
        <v>49361.01</v>
      </c>
      <c r="K183" s="7" t="n">
        <f aca="false">I183-J183</f>
        <v>0</v>
      </c>
      <c r="L183" s="4" t="s">
        <v>1428</v>
      </c>
      <c r="M183" s="4" t="s">
        <v>1429</v>
      </c>
      <c r="N183" s="4"/>
    </row>
    <row r="184" customFormat="false" ht="15" hidden="false" customHeight="false" outlineLevel="0" collapsed="false">
      <c r="A184" s="4" t="s">
        <v>1430</v>
      </c>
      <c r="B184" s="4" t="s">
        <v>539</v>
      </c>
      <c r="C184" s="22" t="n">
        <v>1</v>
      </c>
      <c r="D184" s="16" t="s">
        <v>1431</v>
      </c>
      <c r="E184" s="16" t="s">
        <v>1432</v>
      </c>
      <c r="F184" s="6" t="n">
        <v>46253</v>
      </c>
      <c r="G184" s="6" t="n">
        <v>46253</v>
      </c>
      <c r="H184" s="23" t="n">
        <f aca="false">ABS(F184-G184)</f>
        <v>0</v>
      </c>
      <c r="I184" s="7" t="n">
        <v>14031.13</v>
      </c>
      <c r="J184" s="7" t="n">
        <v>14031.13</v>
      </c>
      <c r="K184" s="7" t="n">
        <f aca="false">I184-J184</f>
        <v>0</v>
      </c>
      <c r="L184" s="4" t="s">
        <v>1433</v>
      </c>
      <c r="M184" s="4" t="s">
        <v>1434</v>
      </c>
      <c r="N184" s="4"/>
    </row>
    <row r="185" customFormat="false" ht="15" hidden="false" customHeight="false" outlineLevel="0" collapsed="false">
      <c r="A185" s="4" t="s">
        <v>1435</v>
      </c>
      <c r="B185" s="4" t="s">
        <v>539</v>
      </c>
      <c r="C185" s="22" t="n">
        <v>1</v>
      </c>
      <c r="D185" s="16" t="s">
        <v>1436</v>
      </c>
      <c r="E185" s="16" t="s">
        <v>1437</v>
      </c>
      <c r="F185" s="6" t="n">
        <v>46253</v>
      </c>
      <c r="G185" s="6" t="n">
        <v>46253</v>
      </c>
      <c r="H185" s="23" t="n">
        <f aca="false">ABS(F185-G185)</f>
        <v>0</v>
      </c>
      <c r="I185" s="7" t="n">
        <v>88207.44</v>
      </c>
      <c r="J185" s="7" t="n">
        <v>88207.44</v>
      </c>
      <c r="K185" s="7" t="n">
        <f aca="false">I185-J185</f>
        <v>0</v>
      </c>
      <c r="L185" s="4" t="s">
        <v>1438</v>
      </c>
      <c r="M185" s="4" t="s">
        <v>1439</v>
      </c>
      <c r="N185" s="4"/>
    </row>
    <row r="186" customFormat="false" ht="15" hidden="false" customHeight="false" outlineLevel="0" collapsed="false">
      <c r="A186" s="4" t="s">
        <v>1440</v>
      </c>
      <c r="B186" s="4" t="s">
        <v>539</v>
      </c>
      <c r="C186" s="22" t="n">
        <v>1</v>
      </c>
      <c r="D186" s="16" t="s">
        <v>1441</v>
      </c>
      <c r="E186" s="16" t="s">
        <v>1442</v>
      </c>
      <c r="F186" s="6" t="n">
        <v>46253</v>
      </c>
      <c r="G186" s="6" t="n">
        <v>46253</v>
      </c>
      <c r="H186" s="23" t="n">
        <f aca="false">ABS(F186-G186)</f>
        <v>0</v>
      </c>
      <c r="I186" s="7" t="n">
        <v>72531.08</v>
      </c>
      <c r="J186" s="7" t="n">
        <v>72531.08</v>
      </c>
      <c r="K186" s="7" t="n">
        <f aca="false">I186-J186</f>
        <v>0</v>
      </c>
      <c r="L186" s="4" t="s">
        <v>1443</v>
      </c>
      <c r="M186" s="4" t="s">
        <v>1444</v>
      </c>
      <c r="N186" s="4"/>
    </row>
    <row r="187" customFormat="false" ht="15" hidden="false" customHeight="false" outlineLevel="0" collapsed="false">
      <c r="A187" s="4" t="s">
        <v>1445</v>
      </c>
      <c r="B187" s="4" t="s">
        <v>539</v>
      </c>
      <c r="C187" s="22" t="n">
        <v>1</v>
      </c>
      <c r="D187" s="16" t="s">
        <v>1446</v>
      </c>
      <c r="E187" s="16" t="s">
        <v>1447</v>
      </c>
      <c r="F187" s="6" t="n">
        <v>46253</v>
      </c>
      <c r="G187" s="6" t="n">
        <v>46253</v>
      </c>
      <c r="H187" s="23" t="n">
        <f aca="false">ABS(F187-G187)</f>
        <v>0</v>
      </c>
      <c r="I187" s="7" t="n">
        <v>12350.7</v>
      </c>
      <c r="J187" s="7" t="n">
        <v>12350.7</v>
      </c>
      <c r="K187" s="7" t="n">
        <f aca="false">I187-J187</f>
        <v>0</v>
      </c>
      <c r="L187" s="4" t="s">
        <v>1448</v>
      </c>
      <c r="M187" s="4" t="s">
        <v>1449</v>
      </c>
      <c r="N187" s="4"/>
    </row>
    <row r="188" customFormat="false" ht="15" hidden="false" customHeight="false" outlineLevel="0" collapsed="false">
      <c r="A188" s="4" t="s">
        <v>1450</v>
      </c>
      <c r="B188" s="4" t="s">
        <v>539</v>
      </c>
      <c r="C188" s="22" t="n">
        <v>1</v>
      </c>
      <c r="D188" s="16" t="s">
        <v>1451</v>
      </c>
      <c r="E188" s="16" t="s">
        <v>1452</v>
      </c>
      <c r="F188" s="6" t="n">
        <v>46253</v>
      </c>
      <c r="G188" s="6" t="n">
        <v>46253</v>
      </c>
      <c r="H188" s="23" t="n">
        <f aca="false">ABS(F188-G188)</f>
        <v>0</v>
      </c>
      <c r="I188" s="7" t="n">
        <v>30891.52</v>
      </c>
      <c r="J188" s="7" t="n">
        <v>30891.52</v>
      </c>
      <c r="K188" s="7" t="n">
        <f aca="false">I188-J188</f>
        <v>0</v>
      </c>
      <c r="L188" s="4" t="s">
        <v>1453</v>
      </c>
      <c r="M188" s="4" t="s">
        <v>1454</v>
      </c>
      <c r="N188" s="4"/>
    </row>
    <row r="189" customFormat="false" ht="15" hidden="false" customHeight="false" outlineLevel="0" collapsed="false">
      <c r="A189" s="4" t="s">
        <v>1455</v>
      </c>
      <c r="B189" s="4" t="s">
        <v>539</v>
      </c>
      <c r="C189" s="22" t="n">
        <v>1</v>
      </c>
      <c r="D189" s="16" t="s">
        <v>1456</v>
      </c>
      <c r="E189" s="16" t="s">
        <v>1457</v>
      </c>
      <c r="F189" s="6" t="n">
        <v>46253</v>
      </c>
      <c r="G189" s="6" t="n">
        <v>46253</v>
      </c>
      <c r="H189" s="23" t="n">
        <f aca="false">ABS(F189-G189)</f>
        <v>0</v>
      </c>
      <c r="I189" s="7" t="n">
        <v>-51185.53</v>
      </c>
      <c r="J189" s="7" t="n">
        <v>-51185.53</v>
      </c>
      <c r="K189" s="7" t="n">
        <f aca="false">I189-J189</f>
        <v>0</v>
      </c>
      <c r="L189" s="4" t="s">
        <v>1458</v>
      </c>
      <c r="M189" s="4" t="s">
        <v>1459</v>
      </c>
      <c r="N189" s="4"/>
    </row>
    <row r="190" customFormat="false" ht="15" hidden="false" customHeight="false" outlineLevel="0" collapsed="false">
      <c r="A190" s="4" t="s">
        <v>1460</v>
      </c>
      <c r="B190" s="4" t="s">
        <v>539</v>
      </c>
      <c r="C190" s="22" t="n">
        <v>1</v>
      </c>
      <c r="D190" s="16" t="s">
        <v>1461</v>
      </c>
      <c r="E190" s="16" t="s">
        <v>1462</v>
      </c>
      <c r="F190" s="6" t="n">
        <v>46254</v>
      </c>
      <c r="G190" s="6" t="n">
        <v>46254</v>
      </c>
      <c r="H190" s="23" t="n">
        <f aca="false">ABS(F190-G190)</f>
        <v>0</v>
      </c>
      <c r="I190" s="7" t="n">
        <v>56985.67</v>
      </c>
      <c r="J190" s="7" t="n">
        <v>56985.67</v>
      </c>
      <c r="K190" s="7" t="n">
        <f aca="false">I190-J190</f>
        <v>0</v>
      </c>
      <c r="L190" s="4" t="s">
        <v>1463</v>
      </c>
      <c r="M190" s="4" t="s">
        <v>1464</v>
      </c>
      <c r="N190" s="4"/>
    </row>
    <row r="191" customFormat="false" ht="15" hidden="false" customHeight="false" outlineLevel="0" collapsed="false">
      <c r="A191" s="4" t="s">
        <v>1465</v>
      </c>
      <c r="B191" s="4" t="s">
        <v>539</v>
      </c>
      <c r="C191" s="22" t="n">
        <v>1</v>
      </c>
      <c r="D191" s="16" t="s">
        <v>1466</v>
      </c>
      <c r="E191" s="16" t="s">
        <v>1467</v>
      </c>
      <c r="F191" s="6" t="n">
        <v>46254</v>
      </c>
      <c r="G191" s="6" t="n">
        <v>46254</v>
      </c>
      <c r="H191" s="23" t="n">
        <f aca="false">ABS(F191-G191)</f>
        <v>0</v>
      </c>
      <c r="I191" s="7" t="n">
        <v>83605.36</v>
      </c>
      <c r="J191" s="7" t="n">
        <v>83605.36</v>
      </c>
      <c r="K191" s="7" t="n">
        <f aca="false">I191-J191</f>
        <v>0</v>
      </c>
      <c r="L191" s="4" t="s">
        <v>1468</v>
      </c>
      <c r="M191" s="4" t="s">
        <v>1469</v>
      </c>
      <c r="N191" s="4"/>
    </row>
    <row r="192" customFormat="false" ht="15" hidden="false" customHeight="false" outlineLevel="0" collapsed="false">
      <c r="A192" s="4" t="s">
        <v>1470</v>
      </c>
      <c r="B192" s="4" t="s">
        <v>539</v>
      </c>
      <c r="C192" s="22" t="n">
        <v>1</v>
      </c>
      <c r="D192" s="16" t="s">
        <v>1471</v>
      </c>
      <c r="E192" s="16" t="s">
        <v>1472</v>
      </c>
      <c r="F192" s="6" t="n">
        <v>46254</v>
      </c>
      <c r="G192" s="6" t="n">
        <v>46254</v>
      </c>
      <c r="H192" s="23" t="n">
        <f aca="false">ABS(F192-G192)</f>
        <v>0</v>
      </c>
      <c r="I192" s="7" t="n">
        <v>-55063.41</v>
      </c>
      <c r="J192" s="7" t="n">
        <v>-55063.41</v>
      </c>
      <c r="K192" s="7" t="n">
        <f aca="false">I192-J192</f>
        <v>0</v>
      </c>
      <c r="L192" s="4" t="s">
        <v>1473</v>
      </c>
      <c r="M192" s="4" t="s">
        <v>1474</v>
      </c>
      <c r="N192" s="4"/>
    </row>
    <row r="193" customFormat="false" ht="15" hidden="false" customHeight="false" outlineLevel="0" collapsed="false">
      <c r="A193" s="4" t="s">
        <v>1475</v>
      </c>
      <c r="B193" s="4" t="s">
        <v>539</v>
      </c>
      <c r="C193" s="22" t="n">
        <v>1</v>
      </c>
      <c r="D193" s="16" t="s">
        <v>1476</v>
      </c>
      <c r="E193" s="16" t="s">
        <v>1477</v>
      </c>
      <c r="F193" s="6" t="n">
        <v>46254</v>
      </c>
      <c r="G193" s="6" t="n">
        <v>46254</v>
      </c>
      <c r="H193" s="23" t="n">
        <f aca="false">ABS(F193-G193)</f>
        <v>0</v>
      </c>
      <c r="I193" s="7" t="n">
        <v>-28136.51</v>
      </c>
      <c r="J193" s="7" t="n">
        <v>-28136.51</v>
      </c>
      <c r="K193" s="7" t="n">
        <f aca="false">I193-J193</f>
        <v>0</v>
      </c>
      <c r="L193" s="4" t="s">
        <v>1478</v>
      </c>
      <c r="M193" s="4" t="s">
        <v>1479</v>
      </c>
      <c r="N193" s="4"/>
    </row>
    <row r="194" customFormat="false" ht="15" hidden="false" customHeight="false" outlineLevel="0" collapsed="false">
      <c r="A194" s="4" t="s">
        <v>1480</v>
      </c>
      <c r="B194" s="4" t="s">
        <v>539</v>
      </c>
      <c r="C194" s="22" t="n">
        <v>1</v>
      </c>
      <c r="D194" s="16" t="s">
        <v>1481</v>
      </c>
      <c r="E194" s="16" t="s">
        <v>1482</v>
      </c>
      <c r="F194" s="6" t="n">
        <v>46255</v>
      </c>
      <c r="G194" s="6" t="n">
        <v>46255</v>
      </c>
      <c r="H194" s="23" t="n">
        <f aca="false">ABS(F194-G194)</f>
        <v>0</v>
      </c>
      <c r="I194" s="7" t="n">
        <v>21302.68</v>
      </c>
      <c r="J194" s="7" t="n">
        <v>21302.68</v>
      </c>
      <c r="K194" s="7" t="n">
        <f aca="false">I194-J194</f>
        <v>0</v>
      </c>
      <c r="L194" s="4" t="s">
        <v>1483</v>
      </c>
      <c r="M194" s="4" t="s">
        <v>1484</v>
      </c>
      <c r="N194" s="4"/>
    </row>
    <row r="195" customFormat="false" ht="15" hidden="false" customHeight="false" outlineLevel="0" collapsed="false">
      <c r="A195" s="4" t="s">
        <v>1485</v>
      </c>
      <c r="B195" s="4" t="s">
        <v>539</v>
      </c>
      <c r="C195" s="22" t="n">
        <v>1</v>
      </c>
      <c r="D195" s="16" t="s">
        <v>1486</v>
      </c>
      <c r="E195" s="16" t="s">
        <v>1487</v>
      </c>
      <c r="F195" s="6" t="n">
        <v>46255</v>
      </c>
      <c r="G195" s="6" t="n">
        <v>46255</v>
      </c>
      <c r="H195" s="23" t="n">
        <f aca="false">ABS(F195-G195)</f>
        <v>0</v>
      </c>
      <c r="I195" s="7" t="n">
        <v>25300.44</v>
      </c>
      <c r="J195" s="7" t="n">
        <v>25300.44</v>
      </c>
      <c r="K195" s="7" t="n">
        <f aca="false">I195-J195</f>
        <v>0</v>
      </c>
      <c r="L195" s="4" t="s">
        <v>1488</v>
      </c>
      <c r="M195" s="4" t="s">
        <v>1489</v>
      </c>
      <c r="N195" s="4"/>
    </row>
    <row r="196" customFormat="false" ht="15" hidden="false" customHeight="false" outlineLevel="0" collapsed="false">
      <c r="A196" s="4" t="s">
        <v>1490</v>
      </c>
      <c r="B196" s="4" t="s">
        <v>539</v>
      </c>
      <c r="C196" s="22" t="n">
        <v>1</v>
      </c>
      <c r="D196" s="16" t="s">
        <v>1491</v>
      </c>
      <c r="E196" s="16" t="s">
        <v>1492</v>
      </c>
      <c r="F196" s="6" t="n">
        <v>46255</v>
      </c>
      <c r="G196" s="6" t="n">
        <v>46255</v>
      </c>
      <c r="H196" s="23" t="n">
        <f aca="false">ABS(F196-G196)</f>
        <v>0</v>
      </c>
      <c r="I196" s="7" t="n">
        <v>-48265.69</v>
      </c>
      <c r="J196" s="7" t="n">
        <v>-48265.69</v>
      </c>
      <c r="K196" s="7" t="n">
        <f aca="false">I196-J196</f>
        <v>0</v>
      </c>
      <c r="L196" s="4" t="s">
        <v>1493</v>
      </c>
      <c r="M196" s="4" t="s">
        <v>1494</v>
      </c>
      <c r="N196" s="4"/>
    </row>
    <row r="197" customFormat="false" ht="15" hidden="false" customHeight="false" outlineLevel="0" collapsed="false">
      <c r="A197" s="4" t="s">
        <v>1495</v>
      </c>
      <c r="B197" s="4" t="s">
        <v>539</v>
      </c>
      <c r="C197" s="22" t="n">
        <v>1</v>
      </c>
      <c r="D197" s="16" t="s">
        <v>1496</v>
      </c>
      <c r="E197" s="16" t="s">
        <v>1497</v>
      </c>
      <c r="F197" s="6" t="n">
        <v>46256</v>
      </c>
      <c r="G197" s="6" t="n">
        <v>46256</v>
      </c>
      <c r="H197" s="23" t="n">
        <f aca="false">ABS(F197-G197)</f>
        <v>0</v>
      </c>
      <c r="I197" s="7" t="n">
        <v>-8843.08</v>
      </c>
      <c r="J197" s="7" t="n">
        <v>-8843.08</v>
      </c>
      <c r="K197" s="7" t="n">
        <f aca="false">I197-J197</f>
        <v>0</v>
      </c>
      <c r="L197" s="4" t="s">
        <v>1498</v>
      </c>
      <c r="M197" s="4" t="s">
        <v>1499</v>
      </c>
      <c r="N197" s="4"/>
    </row>
    <row r="198" customFormat="false" ht="15" hidden="false" customHeight="false" outlineLevel="0" collapsed="false">
      <c r="A198" s="4" t="s">
        <v>1500</v>
      </c>
      <c r="B198" s="4" t="s">
        <v>539</v>
      </c>
      <c r="C198" s="22" t="n">
        <v>1</v>
      </c>
      <c r="D198" s="16" t="s">
        <v>1501</v>
      </c>
      <c r="E198" s="16" t="s">
        <v>1502</v>
      </c>
      <c r="F198" s="6" t="n">
        <v>46257</v>
      </c>
      <c r="G198" s="6" t="n">
        <v>46257</v>
      </c>
      <c r="H198" s="23" t="n">
        <f aca="false">ABS(F198-G198)</f>
        <v>0</v>
      </c>
      <c r="I198" s="7" t="n">
        <v>15252.08</v>
      </c>
      <c r="J198" s="7" t="n">
        <v>15252.08</v>
      </c>
      <c r="K198" s="7" t="n">
        <f aca="false">I198-J198</f>
        <v>0</v>
      </c>
      <c r="L198" s="4" t="s">
        <v>1503</v>
      </c>
      <c r="M198" s="4" t="s">
        <v>1504</v>
      </c>
      <c r="N198" s="4"/>
    </row>
    <row r="199" customFormat="false" ht="15" hidden="false" customHeight="false" outlineLevel="0" collapsed="false">
      <c r="A199" s="4" t="s">
        <v>1505</v>
      </c>
      <c r="B199" s="4" t="s">
        <v>539</v>
      </c>
      <c r="C199" s="22" t="n">
        <v>1</v>
      </c>
      <c r="D199" s="16" t="s">
        <v>1506</v>
      </c>
      <c r="E199" s="16" t="s">
        <v>1507</v>
      </c>
      <c r="F199" s="6" t="n">
        <v>46257</v>
      </c>
      <c r="G199" s="6" t="n">
        <v>46257</v>
      </c>
      <c r="H199" s="23" t="n">
        <f aca="false">ABS(F199-G199)</f>
        <v>0</v>
      </c>
      <c r="I199" s="7" t="n">
        <v>40150.5</v>
      </c>
      <c r="J199" s="7" t="n">
        <v>40150.5</v>
      </c>
      <c r="K199" s="7" t="n">
        <f aca="false">I199-J199</f>
        <v>0</v>
      </c>
      <c r="L199" s="4" t="s">
        <v>1508</v>
      </c>
      <c r="M199" s="4" t="s">
        <v>1509</v>
      </c>
      <c r="N199" s="4"/>
    </row>
    <row r="200" customFormat="false" ht="15" hidden="false" customHeight="false" outlineLevel="0" collapsed="false">
      <c r="A200" s="4" t="s">
        <v>1510</v>
      </c>
      <c r="B200" s="4" t="s">
        <v>539</v>
      </c>
      <c r="C200" s="22" t="n">
        <v>1</v>
      </c>
      <c r="D200" s="16" t="s">
        <v>1511</v>
      </c>
      <c r="E200" s="16" t="s">
        <v>1512</v>
      </c>
      <c r="F200" s="6" t="n">
        <v>46258</v>
      </c>
      <c r="G200" s="6" t="n">
        <v>46258</v>
      </c>
      <c r="H200" s="23" t="n">
        <f aca="false">ABS(F200-G200)</f>
        <v>0</v>
      </c>
      <c r="I200" s="7" t="n">
        <v>71560.21</v>
      </c>
      <c r="J200" s="7" t="n">
        <v>71560.21</v>
      </c>
      <c r="K200" s="7" t="n">
        <f aca="false">I200-J200</f>
        <v>0</v>
      </c>
      <c r="L200" s="4" t="s">
        <v>1513</v>
      </c>
      <c r="M200" s="4" t="s">
        <v>1514</v>
      </c>
      <c r="N200" s="4"/>
    </row>
    <row r="201" customFormat="false" ht="15" hidden="false" customHeight="false" outlineLevel="0" collapsed="false">
      <c r="A201" s="4" t="s">
        <v>1515</v>
      </c>
      <c r="B201" s="4" t="s">
        <v>539</v>
      </c>
      <c r="C201" s="22" t="n">
        <v>1</v>
      </c>
      <c r="D201" s="16" t="s">
        <v>1516</v>
      </c>
      <c r="E201" s="16" t="s">
        <v>1517</v>
      </c>
      <c r="F201" s="6" t="n">
        <v>46258</v>
      </c>
      <c r="G201" s="6" t="n">
        <v>46258</v>
      </c>
      <c r="H201" s="23" t="n">
        <f aca="false">ABS(F201-G201)</f>
        <v>0</v>
      </c>
      <c r="I201" s="7" t="n">
        <v>66245.54</v>
      </c>
      <c r="J201" s="7" t="n">
        <v>66245.54</v>
      </c>
      <c r="K201" s="7" t="n">
        <f aca="false">I201-J201</f>
        <v>0</v>
      </c>
      <c r="L201" s="4" t="s">
        <v>1518</v>
      </c>
      <c r="M201" s="4" t="s">
        <v>1519</v>
      </c>
      <c r="N201" s="4"/>
    </row>
    <row r="202" customFormat="false" ht="15" hidden="false" customHeight="false" outlineLevel="0" collapsed="false">
      <c r="A202" s="4" t="s">
        <v>1520</v>
      </c>
      <c r="B202" s="4" t="s">
        <v>539</v>
      </c>
      <c r="C202" s="22" t="n">
        <v>1</v>
      </c>
      <c r="D202" s="16" t="s">
        <v>1521</v>
      </c>
      <c r="E202" s="16" t="s">
        <v>1522</v>
      </c>
      <c r="F202" s="6" t="n">
        <v>46258</v>
      </c>
      <c r="G202" s="6" t="n">
        <v>46258</v>
      </c>
      <c r="H202" s="23" t="n">
        <f aca="false">ABS(F202-G202)</f>
        <v>0</v>
      </c>
      <c r="I202" s="7" t="n">
        <v>31390.99</v>
      </c>
      <c r="J202" s="7" t="n">
        <v>31390.99</v>
      </c>
      <c r="K202" s="7" t="n">
        <f aca="false">I202-J202</f>
        <v>0</v>
      </c>
      <c r="L202" s="4" t="s">
        <v>1523</v>
      </c>
      <c r="M202" s="4" t="s">
        <v>1524</v>
      </c>
      <c r="N202" s="4"/>
    </row>
    <row r="203" customFormat="false" ht="15" hidden="false" customHeight="false" outlineLevel="0" collapsed="false">
      <c r="A203" s="4" t="s">
        <v>1525</v>
      </c>
      <c r="B203" s="4" t="s">
        <v>539</v>
      </c>
      <c r="C203" s="22" t="n">
        <v>1</v>
      </c>
      <c r="D203" s="16" t="s">
        <v>1526</v>
      </c>
      <c r="E203" s="16" t="s">
        <v>1527</v>
      </c>
      <c r="F203" s="6" t="n">
        <v>46258</v>
      </c>
      <c r="G203" s="6" t="n">
        <v>46258</v>
      </c>
      <c r="H203" s="23" t="n">
        <f aca="false">ABS(F203-G203)</f>
        <v>0</v>
      </c>
      <c r="I203" s="7" t="n">
        <v>21796.48</v>
      </c>
      <c r="J203" s="7" t="n">
        <v>21796.48</v>
      </c>
      <c r="K203" s="7" t="n">
        <f aca="false">I203-J203</f>
        <v>0</v>
      </c>
      <c r="L203" s="4" t="s">
        <v>1528</v>
      </c>
      <c r="M203" s="4" t="s">
        <v>1529</v>
      </c>
      <c r="N203" s="4"/>
    </row>
    <row r="204" customFormat="false" ht="15" hidden="false" customHeight="false" outlineLevel="0" collapsed="false">
      <c r="A204" s="4" t="s">
        <v>1530</v>
      </c>
      <c r="B204" s="4" t="s">
        <v>539</v>
      </c>
      <c r="C204" s="22" t="n">
        <v>1</v>
      </c>
      <c r="D204" s="16" t="s">
        <v>1531</v>
      </c>
      <c r="E204" s="16" t="s">
        <v>1532</v>
      </c>
      <c r="F204" s="6" t="n">
        <v>46259</v>
      </c>
      <c r="G204" s="6" t="n">
        <v>46259</v>
      </c>
      <c r="H204" s="23" t="n">
        <f aca="false">ABS(F204-G204)</f>
        <v>0</v>
      </c>
      <c r="I204" s="7" t="n">
        <v>88893.48</v>
      </c>
      <c r="J204" s="7" t="n">
        <v>88893.48</v>
      </c>
      <c r="K204" s="7" t="n">
        <f aca="false">I204-J204</f>
        <v>0</v>
      </c>
      <c r="L204" s="4" t="s">
        <v>1533</v>
      </c>
      <c r="M204" s="4" t="s">
        <v>1534</v>
      </c>
      <c r="N204" s="4"/>
    </row>
    <row r="205" customFormat="false" ht="15" hidden="false" customHeight="false" outlineLevel="0" collapsed="false">
      <c r="A205" s="4" t="s">
        <v>1535</v>
      </c>
      <c r="B205" s="4" t="s">
        <v>539</v>
      </c>
      <c r="C205" s="22" t="n">
        <v>1</v>
      </c>
      <c r="D205" s="16" t="s">
        <v>1536</v>
      </c>
      <c r="E205" s="16" t="s">
        <v>1537</v>
      </c>
      <c r="F205" s="6" t="n">
        <v>46260</v>
      </c>
      <c r="G205" s="6" t="n">
        <v>46260</v>
      </c>
      <c r="H205" s="23" t="n">
        <f aca="false">ABS(F205-G205)</f>
        <v>0</v>
      </c>
      <c r="I205" s="7" t="n">
        <v>73346.81</v>
      </c>
      <c r="J205" s="7" t="n">
        <v>73346.81</v>
      </c>
      <c r="K205" s="7" t="n">
        <f aca="false">I205-J205</f>
        <v>0</v>
      </c>
      <c r="L205" s="4" t="s">
        <v>1538</v>
      </c>
      <c r="M205" s="4" t="s">
        <v>1539</v>
      </c>
      <c r="N205" s="4"/>
    </row>
    <row r="206" customFormat="false" ht="15" hidden="false" customHeight="false" outlineLevel="0" collapsed="false">
      <c r="A206" s="4" t="s">
        <v>1540</v>
      </c>
      <c r="B206" s="4" t="s">
        <v>539</v>
      </c>
      <c r="C206" s="22" t="n">
        <v>1</v>
      </c>
      <c r="D206" s="16" t="s">
        <v>1541</v>
      </c>
      <c r="E206" s="16" t="s">
        <v>1542</v>
      </c>
      <c r="F206" s="6" t="n">
        <v>46260</v>
      </c>
      <c r="G206" s="6" t="n">
        <v>46260</v>
      </c>
      <c r="H206" s="23" t="n">
        <f aca="false">ABS(F206-G206)</f>
        <v>0</v>
      </c>
      <c r="I206" s="7" t="n">
        <v>51833.18</v>
      </c>
      <c r="J206" s="7" t="n">
        <v>51833.18</v>
      </c>
      <c r="K206" s="7" t="n">
        <f aca="false">I206-J206</f>
        <v>0</v>
      </c>
      <c r="L206" s="4" t="s">
        <v>1543</v>
      </c>
      <c r="M206" s="4" t="s">
        <v>1544</v>
      </c>
      <c r="N206" s="4"/>
    </row>
    <row r="207" customFormat="false" ht="15" hidden="false" customHeight="false" outlineLevel="0" collapsed="false">
      <c r="A207" s="4" t="s">
        <v>1545</v>
      </c>
      <c r="B207" s="4" t="s">
        <v>539</v>
      </c>
      <c r="C207" s="22" t="n">
        <v>1</v>
      </c>
      <c r="D207" s="16" t="s">
        <v>1546</v>
      </c>
      <c r="E207" s="16" t="s">
        <v>1547</v>
      </c>
      <c r="F207" s="6" t="n">
        <v>46260</v>
      </c>
      <c r="G207" s="6" t="n">
        <v>46260</v>
      </c>
      <c r="H207" s="23" t="n">
        <f aca="false">ABS(F207-G207)</f>
        <v>0</v>
      </c>
      <c r="I207" s="7" t="n">
        <v>83157.11</v>
      </c>
      <c r="J207" s="7" t="n">
        <v>83157.11</v>
      </c>
      <c r="K207" s="7" t="n">
        <f aca="false">I207-J207</f>
        <v>0</v>
      </c>
      <c r="L207" s="4" t="s">
        <v>1548</v>
      </c>
      <c r="M207" s="4" t="s">
        <v>1549</v>
      </c>
      <c r="N207" s="4"/>
    </row>
    <row r="208" customFormat="false" ht="15" hidden="false" customHeight="false" outlineLevel="0" collapsed="false">
      <c r="A208" s="4" t="s">
        <v>1550</v>
      </c>
      <c r="B208" s="4" t="s">
        <v>539</v>
      </c>
      <c r="C208" s="22" t="n">
        <v>1</v>
      </c>
      <c r="D208" s="16" t="s">
        <v>1551</v>
      </c>
      <c r="E208" s="16" t="s">
        <v>1552</v>
      </c>
      <c r="F208" s="6" t="n">
        <v>46260</v>
      </c>
      <c r="G208" s="6" t="n">
        <v>46260</v>
      </c>
      <c r="H208" s="23" t="n">
        <f aca="false">ABS(F208-G208)</f>
        <v>0</v>
      </c>
      <c r="I208" s="7" t="n">
        <v>-16291.54</v>
      </c>
      <c r="J208" s="7" t="n">
        <v>-16291.54</v>
      </c>
      <c r="K208" s="7" t="n">
        <f aca="false">I208-J208</f>
        <v>0</v>
      </c>
      <c r="L208" s="4" t="s">
        <v>1553</v>
      </c>
      <c r="M208" s="4" t="s">
        <v>1554</v>
      </c>
      <c r="N208" s="4"/>
    </row>
    <row r="209" customFormat="false" ht="15" hidden="false" customHeight="false" outlineLevel="0" collapsed="false">
      <c r="A209" s="4" t="s">
        <v>1555</v>
      </c>
      <c r="B209" s="4" t="s">
        <v>539</v>
      </c>
      <c r="C209" s="22" t="n">
        <v>1</v>
      </c>
      <c r="D209" s="16" t="s">
        <v>1556</v>
      </c>
      <c r="E209" s="16" t="s">
        <v>1557</v>
      </c>
      <c r="F209" s="6" t="n">
        <v>46261</v>
      </c>
      <c r="G209" s="6" t="n">
        <v>46261</v>
      </c>
      <c r="H209" s="23" t="n">
        <f aca="false">ABS(F209-G209)</f>
        <v>0</v>
      </c>
      <c r="I209" s="7" t="n">
        <v>21638.14</v>
      </c>
      <c r="J209" s="7" t="n">
        <v>21638.14</v>
      </c>
      <c r="K209" s="7" t="n">
        <f aca="false">I209-J209</f>
        <v>0</v>
      </c>
      <c r="L209" s="4" t="s">
        <v>1558</v>
      </c>
      <c r="M209" s="4" t="s">
        <v>1559</v>
      </c>
      <c r="N209" s="4"/>
    </row>
    <row r="210" customFormat="false" ht="15" hidden="false" customHeight="false" outlineLevel="0" collapsed="false">
      <c r="A210" s="4" t="s">
        <v>1560</v>
      </c>
      <c r="B210" s="4" t="s">
        <v>539</v>
      </c>
      <c r="C210" s="22" t="n">
        <v>1</v>
      </c>
      <c r="D210" s="16" t="s">
        <v>1561</v>
      </c>
      <c r="E210" s="16" t="s">
        <v>1562</v>
      </c>
      <c r="F210" s="6" t="n">
        <v>46261</v>
      </c>
      <c r="G210" s="6" t="n">
        <v>46261</v>
      </c>
      <c r="H210" s="23" t="n">
        <f aca="false">ABS(F210-G210)</f>
        <v>0</v>
      </c>
      <c r="I210" s="7" t="n">
        <v>25602.52</v>
      </c>
      <c r="J210" s="7" t="n">
        <v>25602.52</v>
      </c>
      <c r="K210" s="7" t="n">
        <f aca="false">I210-J210</f>
        <v>0</v>
      </c>
      <c r="L210" s="4" t="s">
        <v>1563</v>
      </c>
      <c r="M210" s="4" t="s">
        <v>1564</v>
      </c>
      <c r="N210" s="4"/>
    </row>
    <row r="211" customFormat="false" ht="15" hidden="false" customHeight="false" outlineLevel="0" collapsed="false">
      <c r="A211" s="4" t="s">
        <v>1565</v>
      </c>
      <c r="B211" s="4" t="s">
        <v>539</v>
      </c>
      <c r="C211" s="22" t="n">
        <v>1</v>
      </c>
      <c r="D211" s="16" t="s">
        <v>1566</v>
      </c>
      <c r="E211" s="16" t="s">
        <v>1567</v>
      </c>
      <c r="F211" s="6" t="n">
        <v>46261</v>
      </c>
      <c r="G211" s="6" t="n">
        <v>46261</v>
      </c>
      <c r="H211" s="23" t="n">
        <f aca="false">ABS(F211-G211)</f>
        <v>0</v>
      </c>
      <c r="I211" s="7" t="n">
        <v>52820.67</v>
      </c>
      <c r="J211" s="7" t="n">
        <v>52820.67</v>
      </c>
      <c r="K211" s="7" t="n">
        <f aca="false">I211-J211</f>
        <v>0</v>
      </c>
      <c r="L211" s="4" t="s">
        <v>1568</v>
      </c>
      <c r="M211" s="4" t="s">
        <v>1569</v>
      </c>
      <c r="N211" s="4"/>
    </row>
    <row r="212" customFormat="false" ht="15" hidden="false" customHeight="false" outlineLevel="0" collapsed="false">
      <c r="A212" s="4" t="s">
        <v>1570</v>
      </c>
      <c r="B212" s="4" t="s">
        <v>539</v>
      </c>
      <c r="C212" s="22" t="n">
        <v>1</v>
      </c>
      <c r="D212" s="16" t="s">
        <v>1571</v>
      </c>
      <c r="E212" s="16" t="s">
        <v>1572</v>
      </c>
      <c r="F212" s="6" t="n">
        <v>46261</v>
      </c>
      <c r="G212" s="6" t="n">
        <v>46261</v>
      </c>
      <c r="H212" s="23" t="n">
        <f aca="false">ABS(F212-G212)</f>
        <v>0</v>
      </c>
      <c r="I212" s="7" t="n">
        <v>68298.95</v>
      </c>
      <c r="J212" s="7" t="n">
        <v>68298.95</v>
      </c>
      <c r="K212" s="7" t="n">
        <f aca="false">I212-J212</f>
        <v>0</v>
      </c>
      <c r="L212" s="4" t="s">
        <v>1573</v>
      </c>
      <c r="M212" s="4" t="s">
        <v>1574</v>
      </c>
      <c r="N212" s="4"/>
    </row>
    <row r="213" customFormat="false" ht="15" hidden="false" customHeight="false" outlineLevel="0" collapsed="false">
      <c r="A213" s="4" t="s">
        <v>1575</v>
      </c>
      <c r="B213" s="4" t="s">
        <v>539</v>
      </c>
      <c r="C213" s="22" t="n">
        <v>1</v>
      </c>
      <c r="D213" s="16" t="s">
        <v>1576</v>
      </c>
      <c r="E213" s="16" t="s">
        <v>1577</v>
      </c>
      <c r="F213" s="6" t="n">
        <v>46261</v>
      </c>
      <c r="G213" s="6" t="n">
        <v>46261</v>
      </c>
      <c r="H213" s="23" t="n">
        <f aca="false">ABS(F213-G213)</f>
        <v>0</v>
      </c>
      <c r="I213" s="7" t="n">
        <v>15858.18</v>
      </c>
      <c r="J213" s="7" t="n">
        <v>15858.18</v>
      </c>
      <c r="K213" s="7" t="n">
        <f aca="false">I213-J213</f>
        <v>0</v>
      </c>
      <c r="L213" s="4" t="s">
        <v>1578</v>
      </c>
      <c r="M213" s="4" t="s">
        <v>1579</v>
      </c>
      <c r="N213" s="4"/>
    </row>
    <row r="214" customFormat="false" ht="15" hidden="false" customHeight="false" outlineLevel="0" collapsed="false">
      <c r="A214" s="4" t="s">
        <v>1580</v>
      </c>
      <c r="B214" s="4" t="s">
        <v>539</v>
      </c>
      <c r="C214" s="22" t="n">
        <v>1</v>
      </c>
      <c r="D214" s="16" t="s">
        <v>1581</v>
      </c>
      <c r="E214" s="16" t="s">
        <v>1582</v>
      </c>
      <c r="F214" s="6" t="n">
        <v>46261</v>
      </c>
      <c r="G214" s="6" t="n">
        <v>46261</v>
      </c>
      <c r="H214" s="23" t="n">
        <f aca="false">ABS(F214-G214)</f>
        <v>0</v>
      </c>
      <c r="I214" s="7" t="n">
        <v>-40735.47</v>
      </c>
      <c r="J214" s="7" t="n">
        <v>-40735.47</v>
      </c>
      <c r="K214" s="7" t="n">
        <f aca="false">I214-J214</f>
        <v>0</v>
      </c>
      <c r="L214" s="4" t="s">
        <v>1583</v>
      </c>
      <c r="M214" s="4" t="s">
        <v>1584</v>
      </c>
      <c r="N214" s="4"/>
    </row>
    <row r="215" customFormat="false" ht="15" hidden="false" customHeight="false" outlineLevel="0" collapsed="false">
      <c r="A215" s="4" t="s">
        <v>1585</v>
      </c>
      <c r="B215" s="4" t="s">
        <v>539</v>
      </c>
      <c r="C215" s="22" t="n">
        <v>1</v>
      </c>
      <c r="D215" s="16" t="s">
        <v>1586</v>
      </c>
      <c r="E215" s="16" t="s">
        <v>1587</v>
      </c>
      <c r="F215" s="6" t="n">
        <v>46261</v>
      </c>
      <c r="G215" s="6" t="n">
        <v>46261</v>
      </c>
      <c r="H215" s="23" t="n">
        <f aca="false">ABS(F215-G215)</f>
        <v>0</v>
      </c>
      <c r="I215" s="7" t="n">
        <v>-21584.07</v>
      </c>
      <c r="J215" s="7" t="n">
        <v>-21584.07</v>
      </c>
      <c r="K215" s="7" t="n">
        <f aca="false">I215-J215</f>
        <v>0</v>
      </c>
      <c r="L215" s="4" t="s">
        <v>1588</v>
      </c>
      <c r="M215" s="4" t="s">
        <v>199</v>
      </c>
      <c r="N215" s="4"/>
    </row>
    <row r="216" customFormat="false" ht="15" hidden="false" customHeight="false" outlineLevel="0" collapsed="false">
      <c r="A216" s="4" t="s">
        <v>1589</v>
      </c>
      <c r="B216" s="4" t="s">
        <v>539</v>
      </c>
      <c r="C216" s="22" t="n">
        <v>1</v>
      </c>
      <c r="D216" s="16" t="s">
        <v>1590</v>
      </c>
      <c r="E216" s="16" t="s">
        <v>1591</v>
      </c>
      <c r="F216" s="6" t="n">
        <v>46262</v>
      </c>
      <c r="G216" s="6" t="n">
        <v>46262</v>
      </c>
      <c r="H216" s="23" t="n">
        <f aca="false">ABS(F216-G216)</f>
        <v>0</v>
      </c>
      <c r="I216" s="7" t="n">
        <v>74757.69</v>
      </c>
      <c r="J216" s="7" t="n">
        <v>74757.69</v>
      </c>
      <c r="K216" s="7" t="n">
        <f aca="false">I216-J216</f>
        <v>0</v>
      </c>
      <c r="L216" s="4" t="s">
        <v>1592</v>
      </c>
      <c r="M216" s="4" t="s">
        <v>1593</v>
      </c>
      <c r="N216" s="4"/>
    </row>
    <row r="217" customFormat="false" ht="15" hidden="false" customHeight="false" outlineLevel="0" collapsed="false">
      <c r="A217" s="4" t="s">
        <v>1594</v>
      </c>
      <c r="B217" s="4" t="s">
        <v>539</v>
      </c>
      <c r="C217" s="22" t="n">
        <v>1</v>
      </c>
      <c r="D217" s="16" t="s">
        <v>1595</v>
      </c>
      <c r="E217" s="16" t="s">
        <v>1596</v>
      </c>
      <c r="F217" s="6" t="n">
        <v>46262</v>
      </c>
      <c r="G217" s="6" t="n">
        <v>46262</v>
      </c>
      <c r="H217" s="23" t="n">
        <f aca="false">ABS(F217-G217)</f>
        <v>0</v>
      </c>
      <c r="I217" s="7" t="n">
        <v>59444.92</v>
      </c>
      <c r="J217" s="7" t="n">
        <v>59444.92</v>
      </c>
      <c r="K217" s="7" t="n">
        <f aca="false">I217-J217</f>
        <v>0</v>
      </c>
      <c r="L217" s="4" t="s">
        <v>1597</v>
      </c>
      <c r="M217" s="4" t="s">
        <v>1598</v>
      </c>
      <c r="N217" s="4"/>
    </row>
    <row r="218" customFormat="false" ht="15" hidden="false" customHeight="false" outlineLevel="0" collapsed="false">
      <c r="A218" s="4" t="s">
        <v>1599</v>
      </c>
      <c r="B218" s="4" t="s">
        <v>539</v>
      </c>
      <c r="C218" s="22" t="n">
        <v>1</v>
      </c>
      <c r="D218" s="16" t="s">
        <v>1600</v>
      </c>
      <c r="E218" s="16" t="s">
        <v>1601</v>
      </c>
      <c r="F218" s="6" t="n">
        <v>46262</v>
      </c>
      <c r="G218" s="6" t="n">
        <v>46262</v>
      </c>
      <c r="H218" s="23" t="n">
        <f aca="false">ABS(F218-G218)</f>
        <v>0</v>
      </c>
      <c r="I218" s="7" t="n">
        <v>41969.35</v>
      </c>
      <c r="J218" s="7" t="n">
        <v>41969.35</v>
      </c>
      <c r="K218" s="7" t="n">
        <f aca="false">I218-J218</f>
        <v>0</v>
      </c>
      <c r="L218" s="4" t="s">
        <v>1602</v>
      </c>
      <c r="M218" s="4" t="s">
        <v>1603</v>
      </c>
      <c r="N218" s="4"/>
    </row>
    <row r="219" customFormat="false" ht="15" hidden="false" customHeight="false" outlineLevel="0" collapsed="false">
      <c r="A219" s="4" t="s">
        <v>1604</v>
      </c>
      <c r="B219" s="4" t="s">
        <v>539</v>
      </c>
      <c r="C219" s="22" t="n">
        <v>1</v>
      </c>
      <c r="D219" s="16" t="s">
        <v>1605</v>
      </c>
      <c r="E219" s="16" t="s">
        <v>1606</v>
      </c>
      <c r="F219" s="6" t="n">
        <v>46262</v>
      </c>
      <c r="G219" s="6" t="n">
        <v>46262</v>
      </c>
      <c r="H219" s="23" t="n">
        <f aca="false">ABS(F219-G219)</f>
        <v>0</v>
      </c>
      <c r="I219" s="7" t="n">
        <v>40752.08</v>
      </c>
      <c r="J219" s="7" t="n">
        <v>40752.08</v>
      </c>
      <c r="K219" s="7" t="n">
        <f aca="false">I219-J219</f>
        <v>0</v>
      </c>
      <c r="L219" s="4" t="s">
        <v>1607</v>
      </c>
      <c r="M219" s="4" t="s">
        <v>1608</v>
      </c>
      <c r="N219" s="4"/>
    </row>
    <row r="220" customFormat="false" ht="15" hidden="false" customHeight="false" outlineLevel="0" collapsed="false">
      <c r="A220" s="4" t="s">
        <v>1609</v>
      </c>
      <c r="B220" s="4" t="s">
        <v>539</v>
      </c>
      <c r="C220" s="22" t="n">
        <v>1</v>
      </c>
      <c r="D220" s="16" t="s">
        <v>1610</v>
      </c>
      <c r="E220" s="16" t="s">
        <v>1611</v>
      </c>
      <c r="F220" s="6" t="n">
        <v>46262</v>
      </c>
      <c r="G220" s="6" t="n">
        <v>46262</v>
      </c>
      <c r="H220" s="23" t="n">
        <f aca="false">ABS(F220-G220)</f>
        <v>0</v>
      </c>
      <c r="I220" s="7" t="n">
        <v>64364.2</v>
      </c>
      <c r="J220" s="7" t="n">
        <v>64364.2</v>
      </c>
      <c r="K220" s="7" t="n">
        <f aca="false">I220-J220</f>
        <v>0</v>
      </c>
      <c r="L220" s="4" t="s">
        <v>1612</v>
      </c>
      <c r="M220" s="4" t="s">
        <v>1613</v>
      </c>
      <c r="N220" s="4"/>
    </row>
    <row r="221" customFormat="false" ht="15" hidden="false" customHeight="false" outlineLevel="0" collapsed="false">
      <c r="A221" s="4" t="s">
        <v>1614</v>
      </c>
      <c r="B221" s="4" t="s">
        <v>539</v>
      </c>
      <c r="C221" s="22" t="n">
        <v>1</v>
      </c>
      <c r="D221" s="16" t="s">
        <v>1615</v>
      </c>
      <c r="E221" s="16" t="s">
        <v>1616</v>
      </c>
      <c r="F221" s="6" t="n">
        <v>46263</v>
      </c>
      <c r="G221" s="6" t="n">
        <v>46263</v>
      </c>
      <c r="H221" s="23" t="n">
        <f aca="false">ABS(F221-G221)</f>
        <v>0</v>
      </c>
      <c r="I221" s="7" t="n">
        <v>84220.62</v>
      </c>
      <c r="J221" s="7" t="n">
        <v>84220.62</v>
      </c>
      <c r="K221" s="7" t="n">
        <f aca="false">I221-J221</f>
        <v>0</v>
      </c>
      <c r="L221" s="4" t="s">
        <v>1617</v>
      </c>
      <c r="M221" s="4" t="s">
        <v>1618</v>
      </c>
      <c r="N221" s="4"/>
    </row>
    <row r="222" customFormat="false" ht="15" hidden="false" customHeight="false" outlineLevel="0" collapsed="false">
      <c r="A222" s="4" t="s">
        <v>1619</v>
      </c>
      <c r="B222" s="4" t="s">
        <v>539</v>
      </c>
      <c r="C222" s="22" t="n">
        <v>1</v>
      </c>
      <c r="D222" s="16" t="s">
        <v>1620</v>
      </c>
      <c r="E222" s="16" t="s">
        <v>1621</v>
      </c>
      <c r="F222" s="6" t="n">
        <v>46263</v>
      </c>
      <c r="G222" s="6" t="n">
        <v>46263</v>
      </c>
      <c r="H222" s="23" t="n">
        <f aca="false">ABS(F222-G222)</f>
        <v>0</v>
      </c>
      <c r="I222" s="7" t="n">
        <v>89101.1</v>
      </c>
      <c r="J222" s="7" t="n">
        <v>89101.1</v>
      </c>
      <c r="K222" s="7" t="n">
        <f aca="false">I222-J222</f>
        <v>0</v>
      </c>
      <c r="L222" s="4" t="s">
        <v>1622</v>
      </c>
      <c r="M222" s="4" t="s">
        <v>1623</v>
      </c>
      <c r="N222" s="4"/>
    </row>
    <row r="223" customFormat="false" ht="15" hidden="false" customHeight="false" outlineLevel="0" collapsed="false">
      <c r="A223" s="4" t="s">
        <v>1624</v>
      </c>
      <c r="B223" s="4" t="s">
        <v>539</v>
      </c>
      <c r="C223" s="22" t="n">
        <v>1</v>
      </c>
      <c r="D223" s="16" t="s">
        <v>1625</v>
      </c>
      <c r="E223" s="16" t="s">
        <v>1626</v>
      </c>
      <c r="F223" s="6" t="n">
        <v>46263</v>
      </c>
      <c r="G223" s="6" t="n">
        <v>46263</v>
      </c>
      <c r="H223" s="23" t="n">
        <f aca="false">ABS(F223-G223)</f>
        <v>0</v>
      </c>
      <c r="I223" s="7" t="n">
        <v>80687.79</v>
      </c>
      <c r="J223" s="7" t="n">
        <v>80687.79</v>
      </c>
      <c r="K223" s="7" t="n">
        <f aca="false">I223-J223</f>
        <v>0</v>
      </c>
      <c r="L223" s="4" t="s">
        <v>1627</v>
      </c>
      <c r="M223" s="4" t="s">
        <v>1628</v>
      </c>
      <c r="N223" s="4"/>
    </row>
    <row r="224" customFormat="false" ht="15" hidden="false" customHeight="false" outlineLevel="0" collapsed="false">
      <c r="A224" s="4" t="s">
        <v>1629</v>
      </c>
      <c r="B224" s="4" t="s">
        <v>539</v>
      </c>
      <c r="C224" s="22" t="n">
        <v>1</v>
      </c>
      <c r="D224" s="16" t="s">
        <v>1630</v>
      </c>
      <c r="E224" s="16" t="s">
        <v>1631</v>
      </c>
      <c r="F224" s="6" t="n">
        <v>46263</v>
      </c>
      <c r="G224" s="6" t="n">
        <v>46263</v>
      </c>
      <c r="H224" s="23" t="n">
        <f aca="false">ABS(F224-G224)</f>
        <v>0</v>
      </c>
      <c r="I224" s="7" t="n">
        <v>14597.25</v>
      </c>
      <c r="J224" s="7" t="n">
        <v>14597.25</v>
      </c>
      <c r="K224" s="7" t="n">
        <f aca="false">I224-J224</f>
        <v>0</v>
      </c>
      <c r="L224" s="4" t="s">
        <v>1632</v>
      </c>
      <c r="M224" s="4" t="s">
        <v>1633</v>
      </c>
      <c r="N224" s="4"/>
    </row>
    <row r="225" customFormat="false" ht="15" hidden="false" customHeight="false" outlineLevel="0" collapsed="false">
      <c r="A225" s="4" t="s">
        <v>1634</v>
      </c>
      <c r="B225" s="4" t="s">
        <v>539</v>
      </c>
      <c r="C225" s="22" t="n">
        <v>1</v>
      </c>
      <c r="D225" s="16" t="s">
        <v>1635</v>
      </c>
      <c r="E225" s="16" t="s">
        <v>1636</v>
      </c>
      <c r="F225" s="6" t="n">
        <v>46263</v>
      </c>
      <c r="G225" s="6" t="n">
        <v>46263</v>
      </c>
      <c r="H225" s="23" t="n">
        <f aca="false">ABS(F225-G225)</f>
        <v>0</v>
      </c>
      <c r="I225" s="7" t="n">
        <v>65344.9</v>
      </c>
      <c r="J225" s="7" t="n">
        <v>65344.9</v>
      </c>
      <c r="K225" s="7" t="n">
        <f aca="false">I225-J225</f>
        <v>0</v>
      </c>
      <c r="L225" s="4" t="s">
        <v>1637</v>
      </c>
      <c r="M225" s="4" t="s">
        <v>1638</v>
      </c>
      <c r="N225" s="4"/>
    </row>
    <row r="226" customFormat="false" ht="15" hidden="false" customHeight="false" outlineLevel="0" collapsed="false">
      <c r="A226" s="4" t="s">
        <v>1639</v>
      </c>
      <c r="B226" s="4" t="s">
        <v>539</v>
      </c>
      <c r="C226" s="22" t="n">
        <v>1</v>
      </c>
      <c r="D226" s="16" t="s">
        <v>1640</v>
      </c>
      <c r="E226" s="16" t="s">
        <v>1641</v>
      </c>
      <c r="F226" s="6" t="n">
        <v>46263</v>
      </c>
      <c r="G226" s="6" t="n">
        <v>46263</v>
      </c>
      <c r="H226" s="23" t="n">
        <f aca="false">ABS(F226-G226)</f>
        <v>0</v>
      </c>
      <c r="I226" s="7" t="n">
        <v>37193.49</v>
      </c>
      <c r="J226" s="7" t="n">
        <v>37193.49</v>
      </c>
      <c r="K226" s="7" t="n">
        <f aca="false">I226-J226</f>
        <v>0</v>
      </c>
      <c r="L226" s="4" t="s">
        <v>1642</v>
      </c>
      <c r="M226" s="4" t="s">
        <v>1643</v>
      </c>
      <c r="N226" s="4"/>
    </row>
    <row r="227" customFormat="false" ht="15" hidden="false" customHeight="false" outlineLevel="0" collapsed="false">
      <c r="A227" s="4" t="s">
        <v>1644</v>
      </c>
      <c r="B227" s="4" t="s">
        <v>539</v>
      </c>
      <c r="C227" s="22" t="n">
        <v>1</v>
      </c>
      <c r="D227" s="16" t="s">
        <v>1645</v>
      </c>
      <c r="E227" s="16" t="s">
        <v>1646</v>
      </c>
      <c r="F227" s="6" t="n">
        <v>46264</v>
      </c>
      <c r="G227" s="6" t="n">
        <v>46264</v>
      </c>
      <c r="H227" s="23" t="n">
        <f aca="false">ABS(F227-G227)</f>
        <v>0</v>
      </c>
      <c r="I227" s="7" t="n">
        <v>12398.46</v>
      </c>
      <c r="J227" s="7" t="n">
        <v>12398.46</v>
      </c>
      <c r="K227" s="7" t="n">
        <f aca="false">I227-J227</f>
        <v>0</v>
      </c>
      <c r="L227" s="4" t="s">
        <v>1647</v>
      </c>
      <c r="M227" s="4" t="s">
        <v>1648</v>
      </c>
      <c r="N227" s="4"/>
    </row>
    <row r="228" customFormat="false" ht="15" hidden="false" customHeight="false" outlineLevel="0" collapsed="false">
      <c r="A228" s="4" t="s">
        <v>1649</v>
      </c>
      <c r="B228" s="4" t="s">
        <v>539</v>
      </c>
      <c r="C228" s="22" t="n">
        <v>1</v>
      </c>
      <c r="D228" s="16" t="s">
        <v>1650</v>
      </c>
      <c r="E228" s="16" t="s">
        <v>1651</v>
      </c>
      <c r="F228" s="6" t="n">
        <v>46264</v>
      </c>
      <c r="G228" s="6" t="n">
        <v>46264</v>
      </c>
      <c r="H228" s="23" t="n">
        <f aca="false">ABS(F228-G228)</f>
        <v>0</v>
      </c>
      <c r="I228" s="7" t="n">
        <v>92987.57</v>
      </c>
      <c r="J228" s="7" t="n">
        <v>92987.57</v>
      </c>
      <c r="K228" s="7" t="n">
        <f aca="false">I228-J228</f>
        <v>0</v>
      </c>
      <c r="L228" s="4" t="s">
        <v>1652</v>
      </c>
      <c r="M228" s="4" t="s">
        <v>1653</v>
      </c>
      <c r="N228" s="4"/>
    </row>
    <row r="229" customFormat="false" ht="15" hidden="false" customHeight="false" outlineLevel="0" collapsed="false">
      <c r="A229" s="4" t="s">
        <v>1654</v>
      </c>
      <c r="B229" s="4" t="s">
        <v>539</v>
      </c>
      <c r="C229" s="22" t="n">
        <v>1</v>
      </c>
      <c r="D229" s="16" t="s">
        <v>1655</v>
      </c>
      <c r="E229" s="16" t="s">
        <v>1656</v>
      </c>
      <c r="F229" s="6" t="n">
        <v>46264</v>
      </c>
      <c r="G229" s="6" t="n">
        <v>46264</v>
      </c>
      <c r="H229" s="23" t="n">
        <f aca="false">ABS(F229-G229)</f>
        <v>0</v>
      </c>
      <c r="I229" s="7" t="n">
        <v>70833.42</v>
      </c>
      <c r="J229" s="7" t="n">
        <v>70833.42</v>
      </c>
      <c r="K229" s="7" t="n">
        <f aca="false">I229-J229</f>
        <v>0</v>
      </c>
      <c r="L229" s="4" t="s">
        <v>1657</v>
      </c>
      <c r="M229" s="4" t="s">
        <v>1658</v>
      </c>
      <c r="N229" s="4"/>
    </row>
    <row r="230" customFormat="false" ht="15" hidden="false" customHeight="false" outlineLevel="0" collapsed="false">
      <c r="A230" s="4" t="s">
        <v>1659</v>
      </c>
      <c r="B230" s="4" t="s">
        <v>539</v>
      </c>
      <c r="C230" s="22" t="n">
        <v>1</v>
      </c>
      <c r="D230" s="16" t="s">
        <v>1660</v>
      </c>
      <c r="E230" s="16" t="s">
        <v>1661</v>
      </c>
      <c r="F230" s="6" t="n">
        <v>46264</v>
      </c>
      <c r="G230" s="6" t="n">
        <v>46264</v>
      </c>
      <c r="H230" s="23" t="n">
        <f aca="false">ABS(F230-G230)</f>
        <v>0</v>
      </c>
      <c r="I230" s="7" t="n">
        <v>12414.58</v>
      </c>
      <c r="J230" s="7" t="n">
        <v>12414.58</v>
      </c>
      <c r="K230" s="7" t="n">
        <f aca="false">I230-J230</f>
        <v>0</v>
      </c>
      <c r="L230" s="4" t="s">
        <v>1662</v>
      </c>
      <c r="M230" s="4" t="s">
        <v>1663</v>
      </c>
      <c r="N230" s="4"/>
    </row>
    <row r="231" customFormat="false" ht="15" hidden="false" customHeight="false" outlineLevel="0" collapsed="false">
      <c r="A231" s="4" t="s">
        <v>1664</v>
      </c>
      <c r="B231" s="4" t="s">
        <v>539</v>
      </c>
      <c r="C231" s="22" t="n">
        <v>1</v>
      </c>
      <c r="D231" s="16" t="s">
        <v>1665</v>
      </c>
      <c r="E231" s="16" t="s">
        <v>1666</v>
      </c>
      <c r="F231" s="6" t="n">
        <v>46264</v>
      </c>
      <c r="G231" s="6" t="n">
        <v>46264</v>
      </c>
      <c r="H231" s="23" t="n">
        <f aca="false">ABS(F231-G231)</f>
        <v>0</v>
      </c>
      <c r="I231" s="7" t="n">
        <v>-1037.9</v>
      </c>
      <c r="J231" s="7" t="n">
        <v>-1037.9</v>
      </c>
      <c r="K231" s="7" t="n">
        <f aca="false">I231-J231</f>
        <v>0</v>
      </c>
      <c r="L231" s="4" t="s">
        <v>1667</v>
      </c>
      <c r="M231" s="4" t="s">
        <v>1668</v>
      </c>
      <c r="N231" s="4"/>
    </row>
    <row r="232" customFormat="false" ht="15" hidden="false" customHeight="false" outlineLevel="0" collapsed="false">
      <c r="A232" s="4" t="s">
        <v>1669</v>
      </c>
      <c r="B232" s="4" t="s">
        <v>539</v>
      </c>
      <c r="C232" s="22" t="n">
        <v>1</v>
      </c>
      <c r="D232" s="16" t="s">
        <v>1670</v>
      </c>
      <c r="E232" s="16" t="s">
        <v>1671</v>
      </c>
      <c r="F232" s="6" t="n">
        <v>46265</v>
      </c>
      <c r="G232" s="6" t="n">
        <v>46265</v>
      </c>
      <c r="H232" s="23" t="n">
        <f aca="false">ABS(F232-G232)</f>
        <v>0</v>
      </c>
      <c r="I232" s="7" t="n">
        <v>71112.31</v>
      </c>
      <c r="J232" s="7" t="n">
        <v>71112.31</v>
      </c>
      <c r="K232" s="7" t="n">
        <f aca="false">I232-J232</f>
        <v>0</v>
      </c>
      <c r="L232" s="4" t="s">
        <v>1672</v>
      </c>
      <c r="M232" s="4" t="s">
        <v>1673</v>
      </c>
      <c r="N232" s="4"/>
    </row>
    <row r="233" customFormat="false" ht="15" hidden="false" customHeight="false" outlineLevel="0" collapsed="false">
      <c r="A233" s="4" t="s">
        <v>1674</v>
      </c>
      <c r="B233" s="4" t="s">
        <v>539</v>
      </c>
      <c r="C233" s="22" t="n">
        <v>1</v>
      </c>
      <c r="D233" s="16" t="s">
        <v>1675</v>
      </c>
      <c r="E233" s="16" t="s">
        <v>1676</v>
      </c>
      <c r="F233" s="6" t="n">
        <v>46265</v>
      </c>
      <c r="G233" s="6" t="n">
        <v>46265</v>
      </c>
      <c r="H233" s="23" t="n">
        <f aca="false">ABS(F233-G233)</f>
        <v>0</v>
      </c>
      <c r="I233" s="7" t="n">
        <v>15276.57</v>
      </c>
      <c r="J233" s="7" t="n">
        <v>15276.57</v>
      </c>
      <c r="K233" s="7" t="n">
        <f aca="false">I233-J233</f>
        <v>0</v>
      </c>
      <c r="L233" s="4" t="s">
        <v>1677</v>
      </c>
      <c r="M233" s="4" t="s">
        <v>1678</v>
      </c>
      <c r="N233" s="4"/>
    </row>
    <row r="234" customFormat="false" ht="15" hidden="false" customHeight="false" outlineLevel="0" collapsed="false">
      <c r="A234" s="4" t="s">
        <v>1679</v>
      </c>
      <c r="B234" s="4" t="s">
        <v>539</v>
      </c>
      <c r="C234" s="22" t="n">
        <v>1</v>
      </c>
      <c r="D234" s="16" t="s">
        <v>1680</v>
      </c>
      <c r="E234" s="16" t="s">
        <v>1681</v>
      </c>
      <c r="F234" s="6" t="n">
        <v>46265</v>
      </c>
      <c r="G234" s="6" t="n">
        <v>46265</v>
      </c>
      <c r="H234" s="23" t="n">
        <f aca="false">ABS(F234-G234)</f>
        <v>0</v>
      </c>
      <c r="I234" s="7" t="n">
        <v>91718.16</v>
      </c>
      <c r="J234" s="7" t="n">
        <v>91718.16</v>
      </c>
      <c r="K234" s="7" t="n">
        <f aca="false">I234-J234</f>
        <v>0</v>
      </c>
      <c r="L234" s="4" t="s">
        <v>1682</v>
      </c>
      <c r="M234" s="4" t="s">
        <v>1683</v>
      </c>
      <c r="N234" s="4"/>
    </row>
    <row r="235" customFormat="false" ht="15" hidden="false" customHeight="false" outlineLevel="0" collapsed="false">
      <c r="A235" s="4" t="s">
        <v>1684</v>
      </c>
      <c r="B235" s="4" t="s">
        <v>539</v>
      </c>
      <c r="C235" s="22" t="n">
        <v>1</v>
      </c>
      <c r="D235" s="16" t="s">
        <v>1685</v>
      </c>
      <c r="E235" s="16" t="s">
        <v>1686</v>
      </c>
      <c r="F235" s="6" t="n">
        <v>46265</v>
      </c>
      <c r="G235" s="6" t="n">
        <v>46265</v>
      </c>
      <c r="H235" s="23" t="n">
        <f aca="false">ABS(F235-G235)</f>
        <v>0</v>
      </c>
      <c r="I235" s="7" t="n">
        <v>32262.15</v>
      </c>
      <c r="J235" s="7" t="n">
        <v>32262.15</v>
      </c>
      <c r="K235" s="7" t="n">
        <f aca="false">I235-J235</f>
        <v>0</v>
      </c>
      <c r="L235" s="4" t="s">
        <v>1687</v>
      </c>
      <c r="M235" s="4" t="s">
        <v>1688</v>
      </c>
      <c r="N235" s="4"/>
    </row>
    <row r="236" customFormat="false" ht="15" hidden="false" customHeight="false" outlineLevel="0" collapsed="false">
      <c r="A236" s="4" t="s">
        <v>1689</v>
      </c>
      <c r="B236" s="4" t="s">
        <v>539</v>
      </c>
      <c r="C236" s="22" t="n">
        <v>1</v>
      </c>
      <c r="D236" s="16" t="s">
        <v>1690</v>
      </c>
      <c r="E236" s="16" t="s">
        <v>1691</v>
      </c>
      <c r="F236" s="6" t="n">
        <v>46265</v>
      </c>
      <c r="G236" s="6" t="n">
        <v>46265</v>
      </c>
      <c r="H236" s="23" t="n">
        <f aca="false">ABS(F236-G236)</f>
        <v>0</v>
      </c>
      <c r="I236" s="7" t="n">
        <v>86739.87</v>
      </c>
      <c r="J236" s="7" t="n">
        <v>86739.87</v>
      </c>
      <c r="K236" s="7" t="n">
        <f aca="false">I236-J236</f>
        <v>0</v>
      </c>
      <c r="L236" s="4" t="s">
        <v>1692</v>
      </c>
      <c r="M236" s="4" t="s">
        <v>1693</v>
      </c>
      <c r="N236" s="4"/>
    </row>
    <row r="237" customFormat="false" ht="15" hidden="false" customHeight="false" outlineLevel="0" collapsed="false">
      <c r="A237" s="4" t="s">
        <v>1694</v>
      </c>
      <c r="B237" s="4" t="s">
        <v>539</v>
      </c>
      <c r="C237" s="22" t="n">
        <v>1</v>
      </c>
      <c r="D237" s="16" t="s">
        <v>1695</v>
      </c>
      <c r="E237" s="16" t="s">
        <v>1696</v>
      </c>
      <c r="F237" s="6" t="n">
        <v>46265</v>
      </c>
      <c r="G237" s="6" t="n">
        <v>46265</v>
      </c>
      <c r="H237" s="23" t="n">
        <f aca="false">ABS(F237-G237)</f>
        <v>0</v>
      </c>
      <c r="I237" s="7" t="n">
        <v>-29486.63</v>
      </c>
      <c r="J237" s="7" t="n">
        <v>-29486.63</v>
      </c>
      <c r="K237" s="7" t="n">
        <f aca="false">I237-J237</f>
        <v>0</v>
      </c>
      <c r="L237" s="4" t="s">
        <v>1697</v>
      </c>
      <c r="M237" s="4" t="s">
        <v>189</v>
      </c>
      <c r="N237" s="4"/>
    </row>
    <row r="238" customFormat="false" ht="15" hidden="false" customHeight="false" outlineLevel="0" collapsed="false">
      <c r="A238" s="4" t="s">
        <v>1698</v>
      </c>
      <c r="B238" s="4" t="s">
        <v>539</v>
      </c>
      <c r="C238" s="22" t="n">
        <v>1</v>
      </c>
      <c r="D238" s="16" t="s">
        <v>1699</v>
      </c>
      <c r="E238" s="16" t="s">
        <v>1700</v>
      </c>
      <c r="F238" s="6" t="n">
        <v>46265</v>
      </c>
      <c r="G238" s="6" t="n">
        <v>46265</v>
      </c>
      <c r="H238" s="23" t="n">
        <f aca="false">ABS(F238-G238)</f>
        <v>0</v>
      </c>
      <c r="I238" s="7" t="n">
        <v>-48900.52</v>
      </c>
      <c r="J238" s="7" t="n">
        <v>-48900.52</v>
      </c>
      <c r="K238" s="7" t="n">
        <f aca="false">I238-J238</f>
        <v>0</v>
      </c>
      <c r="L238" s="4" t="s">
        <v>1701</v>
      </c>
      <c r="M238" s="4" t="s">
        <v>1702</v>
      </c>
      <c r="N238" s="4"/>
    </row>
    <row r="239" customFormat="false" ht="15" hidden="false" customHeight="false" outlineLevel="0" collapsed="false">
      <c r="A239" s="4" t="s">
        <v>1703</v>
      </c>
      <c r="B239" s="4" t="s">
        <v>539</v>
      </c>
      <c r="C239" s="22" t="n">
        <v>1</v>
      </c>
      <c r="D239" s="16" t="s">
        <v>1704</v>
      </c>
      <c r="E239" s="16" t="s">
        <v>1705</v>
      </c>
      <c r="F239" s="6" t="n">
        <v>46266</v>
      </c>
      <c r="G239" s="6" t="n">
        <v>46266</v>
      </c>
      <c r="H239" s="23" t="n">
        <f aca="false">ABS(F239-G239)</f>
        <v>0</v>
      </c>
      <c r="I239" s="7" t="n">
        <v>11659.54</v>
      </c>
      <c r="J239" s="7" t="n">
        <v>11659.54</v>
      </c>
      <c r="K239" s="7" t="n">
        <f aca="false">I239-J239</f>
        <v>0</v>
      </c>
      <c r="L239" s="4" t="s">
        <v>1706</v>
      </c>
      <c r="M239" s="4" t="s">
        <v>1707</v>
      </c>
      <c r="N239" s="4"/>
    </row>
    <row r="240" customFormat="false" ht="15" hidden="false" customHeight="false" outlineLevel="0" collapsed="false">
      <c r="A240" s="4" t="s">
        <v>1708</v>
      </c>
      <c r="B240" s="4" t="s">
        <v>539</v>
      </c>
      <c r="C240" s="22" t="n">
        <v>1</v>
      </c>
      <c r="D240" s="16" t="s">
        <v>1709</v>
      </c>
      <c r="E240" s="16" t="s">
        <v>1710</v>
      </c>
      <c r="F240" s="6" t="n">
        <v>46267</v>
      </c>
      <c r="G240" s="6" t="n">
        <v>46267</v>
      </c>
      <c r="H240" s="23" t="n">
        <f aca="false">ABS(F240-G240)</f>
        <v>0</v>
      </c>
      <c r="I240" s="7" t="n">
        <v>33004.4</v>
      </c>
      <c r="J240" s="7" t="n">
        <v>33004.4</v>
      </c>
      <c r="K240" s="7" t="n">
        <f aca="false">I240-J240</f>
        <v>0</v>
      </c>
      <c r="L240" s="4" t="s">
        <v>1711</v>
      </c>
      <c r="M240" s="4" t="s">
        <v>1712</v>
      </c>
      <c r="N240" s="4"/>
    </row>
    <row r="241" customFormat="false" ht="15" hidden="false" customHeight="false" outlineLevel="0" collapsed="false">
      <c r="A241" s="4" t="s">
        <v>1713</v>
      </c>
      <c r="B241" s="4" t="s">
        <v>539</v>
      </c>
      <c r="C241" s="22" t="n">
        <v>1</v>
      </c>
      <c r="D241" s="16" t="s">
        <v>1714</v>
      </c>
      <c r="E241" s="16" t="s">
        <v>1715</v>
      </c>
      <c r="F241" s="6" t="n">
        <v>46267</v>
      </c>
      <c r="G241" s="6" t="n">
        <v>46267</v>
      </c>
      <c r="H241" s="23" t="n">
        <f aca="false">ABS(F241-G241)</f>
        <v>0</v>
      </c>
      <c r="I241" s="7" t="n">
        <v>15209.07</v>
      </c>
      <c r="J241" s="7" t="n">
        <v>15209.07</v>
      </c>
      <c r="K241" s="7" t="n">
        <f aca="false">I241-J241</f>
        <v>0</v>
      </c>
      <c r="L241" s="4" t="s">
        <v>1716</v>
      </c>
      <c r="M241" s="4" t="s">
        <v>1717</v>
      </c>
      <c r="N241" s="4"/>
    </row>
    <row r="242" customFormat="false" ht="15" hidden="false" customHeight="false" outlineLevel="0" collapsed="false">
      <c r="A242" s="4" t="s">
        <v>1718</v>
      </c>
      <c r="B242" s="4" t="s">
        <v>539</v>
      </c>
      <c r="C242" s="22" t="n">
        <v>1</v>
      </c>
      <c r="D242" s="16" t="s">
        <v>1719</v>
      </c>
      <c r="E242" s="16" t="s">
        <v>1720</v>
      </c>
      <c r="F242" s="6" t="n">
        <v>46267</v>
      </c>
      <c r="G242" s="6" t="n">
        <v>46267</v>
      </c>
      <c r="H242" s="23" t="n">
        <f aca="false">ABS(F242-G242)</f>
        <v>0</v>
      </c>
      <c r="I242" s="7" t="n">
        <v>80455.52</v>
      </c>
      <c r="J242" s="7" t="n">
        <v>80455.52</v>
      </c>
      <c r="K242" s="7" t="n">
        <f aca="false">I242-J242</f>
        <v>0</v>
      </c>
      <c r="L242" s="4" t="s">
        <v>1721</v>
      </c>
      <c r="M242" s="4" t="s">
        <v>1722</v>
      </c>
      <c r="N242" s="4"/>
    </row>
    <row r="243" customFormat="false" ht="15" hidden="false" customHeight="false" outlineLevel="0" collapsed="false">
      <c r="A243" s="4" t="s">
        <v>1723</v>
      </c>
      <c r="B243" s="4" t="s">
        <v>539</v>
      </c>
      <c r="C243" s="22" t="n">
        <v>1</v>
      </c>
      <c r="D243" s="16" t="s">
        <v>1724</v>
      </c>
      <c r="E243" s="16" t="s">
        <v>1725</v>
      </c>
      <c r="F243" s="6" t="n">
        <v>46267</v>
      </c>
      <c r="G243" s="6" t="n">
        <v>46267</v>
      </c>
      <c r="H243" s="23" t="n">
        <f aca="false">ABS(F243-G243)</f>
        <v>0</v>
      </c>
      <c r="I243" s="7" t="n">
        <v>-21537.58</v>
      </c>
      <c r="J243" s="7" t="n">
        <v>-21537.58</v>
      </c>
      <c r="K243" s="7" t="n">
        <f aca="false">I243-J243</f>
        <v>0</v>
      </c>
      <c r="L243" s="4" t="s">
        <v>1726</v>
      </c>
      <c r="M243" s="4" t="s">
        <v>1727</v>
      </c>
      <c r="N243" s="4"/>
    </row>
    <row r="244" customFormat="false" ht="15" hidden="false" customHeight="false" outlineLevel="0" collapsed="false">
      <c r="A244" s="4" t="s">
        <v>1728</v>
      </c>
      <c r="B244" s="4" t="s">
        <v>539</v>
      </c>
      <c r="C244" s="22" t="n">
        <v>1</v>
      </c>
      <c r="D244" s="16" t="s">
        <v>1729</v>
      </c>
      <c r="E244" s="16" t="s">
        <v>1730</v>
      </c>
      <c r="F244" s="6" t="n">
        <v>46267</v>
      </c>
      <c r="G244" s="6" t="n">
        <v>46267</v>
      </c>
      <c r="H244" s="23" t="n">
        <f aca="false">ABS(F244-G244)</f>
        <v>0</v>
      </c>
      <c r="I244" s="7" t="n">
        <v>-31748.02</v>
      </c>
      <c r="J244" s="7" t="n">
        <v>-31748.02</v>
      </c>
      <c r="K244" s="7" t="n">
        <f aca="false">I244-J244</f>
        <v>0</v>
      </c>
      <c r="L244" s="4" t="s">
        <v>1731</v>
      </c>
      <c r="M244" s="4" t="s">
        <v>1732</v>
      </c>
      <c r="N244" s="4"/>
    </row>
    <row r="245" customFormat="false" ht="15" hidden="false" customHeight="false" outlineLevel="0" collapsed="false">
      <c r="A245" s="4" t="s">
        <v>1733</v>
      </c>
      <c r="B245" s="4" t="s">
        <v>539</v>
      </c>
      <c r="C245" s="22" t="n">
        <v>1</v>
      </c>
      <c r="D245" s="16" t="s">
        <v>1734</v>
      </c>
      <c r="E245" s="16" t="s">
        <v>1735</v>
      </c>
      <c r="F245" s="6" t="n">
        <v>46268</v>
      </c>
      <c r="G245" s="6" t="n">
        <v>46268</v>
      </c>
      <c r="H245" s="23" t="n">
        <f aca="false">ABS(F245-G245)</f>
        <v>0</v>
      </c>
      <c r="I245" s="7" t="n">
        <v>8335.9</v>
      </c>
      <c r="J245" s="7" t="n">
        <v>8335.9</v>
      </c>
      <c r="K245" s="7" t="n">
        <f aca="false">I245-J245</f>
        <v>0</v>
      </c>
      <c r="L245" s="4" t="s">
        <v>1736</v>
      </c>
      <c r="M245" s="4" t="s">
        <v>1737</v>
      </c>
      <c r="N245" s="4"/>
    </row>
    <row r="246" customFormat="false" ht="15" hidden="false" customHeight="false" outlineLevel="0" collapsed="false">
      <c r="A246" s="4" t="s">
        <v>1738</v>
      </c>
      <c r="B246" s="4" t="s">
        <v>539</v>
      </c>
      <c r="C246" s="22" t="n">
        <v>1</v>
      </c>
      <c r="D246" s="16" t="s">
        <v>1739</v>
      </c>
      <c r="E246" s="16" t="s">
        <v>1740</v>
      </c>
      <c r="F246" s="6" t="n">
        <v>46268</v>
      </c>
      <c r="G246" s="6" t="n">
        <v>46268</v>
      </c>
      <c r="H246" s="23" t="n">
        <f aca="false">ABS(F246-G246)</f>
        <v>0</v>
      </c>
      <c r="I246" s="7" t="n">
        <v>79096.85</v>
      </c>
      <c r="J246" s="7" t="n">
        <v>79096.85</v>
      </c>
      <c r="K246" s="7" t="n">
        <f aca="false">I246-J246</f>
        <v>0</v>
      </c>
      <c r="L246" s="4" t="s">
        <v>1741</v>
      </c>
      <c r="M246" s="4" t="s">
        <v>1742</v>
      </c>
      <c r="N246" s="4"/>
    </row>
    <row r="247" customFormat="false" ht="15" hidden="false" customHeight="false" outlineLevel="0" collapsed="false">
      <c r="A247" s="4" t="s">
        <v>1743</v>
      </c>
      <c r="B247" s="4" t="s">
        <v>539</v>
      </c>
      <c r="C247" s="22" t="n">
        <v>1</v>
      </c>
      <c r="D247" s="16" t="s">
        <v>1744</v>
      </c>
      <c r="E247" s="16" t="s">
        <v>1745</v>
      </c>
      <c r="F247" s="6" t="n">
        <v>46269</v>
      </c>
      <c r="G247" s="6" t="n">
        <v>46269</v>
      </c>
      <c r="H247" s="23" t="n">
        <f aca="false">ABS(F247-G247)</f>
        <v>0</v>
      </c>
      <c r="I247" s="7" t="n">
        <v>60401.29</v>
      </c>
      <c r="J247" s="7" t="n">
        <v>60401.29</v>
      </c>
      <c r="K247" s="7" t="n">
        <f aca="false">I247-J247</f>
        <v>0</v>
      </c>
      <c r="L247" s="4" t="s">
        <v>152</v>
      </c>
      <c r="M247" s="4" t="s">
        <v>1746</v>
      </c>
      <c r="N247" s="4"/>
    </row>
    <row r="248" customFormat="false" ht="15" hidden="false" customHeight="false" outlineLevel="0" collapsed="false">
      <c r="A248" s="4" t="s">
        <v>1747</v>
      </c>
      <c r="B248" s="4" t="s">
        <v>539</v>
      </c>
      <c r="C248" s="22" t="n">
        <v>1</v>
      </c>
      <c r="D248" s="16" t="s">
        <v>1748</v>
      </c>
      <c r="E248" s="16" t="s">
        <v>1749</v>
      </c>
      <c r="F248" s="6" t="n">
        <v>46269</v>
      </c>
      <c r="G248" s="6" t="n">
        <v>46269</v>
      </c>
      <c r="H248" s="23" t="n">
        <f aca="false">ABS(F248-G248)</f>
        <v>0</v>
      </c>
      <c r="I248" s="7" t="n">
        <v>9910.73</v>
      </c>
      <c r="J248" s="7" t="n">
        <v>9910.73</v>
      </c>
      <c r="K248" s="7" t="n">
        <f aca="false">I248-J248</f>
        <v>0</v>
      </c>
      <c r="L248" s="4" t="s">
        <v>1750</v>
      </c>
      <c r="M248" s="4" t="s">
        <v>1751</v>
      </c>
      <c r="N248" s="4"/>
    </row>
    <row r="249" customFormat="false" ht="15" hidden="false" customHeight="false" outlineLevel="0" collapsed="false">
      <c r="A249" s="4" t="s">
        <v>1752</v>
      </c>
      <c r="B249" s="4" t="s">
        <v>539</v>
      </c>
      <c r="C249" s="22" t="n">
        <v>1</v>
      </c>
      <c r="D249" s="16" t="s">
        <v>1753</v>
      </c>
      <c r="E249" s="16" t="s">
        <v>1754</v>
      </c>
      <c r="F249" s="6" t="n">
        <v>46269</v>
      </c>
      <c r="G249" s="6" t="n">
        <v>46269</v>
      </c>
      <c r="H249" s="23" t="n">
        <f aca="false">ABS(F249-G249)</f>
        <v>0</v>
      </c>
      <c r="I249" s="7" t="n">
        <v>70480.18</v>
      </c>
      <c r="J249" s="7" t="n">
        <v>70480.18</v>
      </c>
      <c r="K249" s="7" t="n">
        <f aca="false">I249-J249</f>
        <v>0</v>
      </c>
      <c r="L249" s="4" t="s">
        <v>1755</v>
      </c>
      <c r="M249" s="4" t="s">
        <v>1756</v>
      </c>
      <c r="N249" s="4"/>
    </row>
    <row r="250" customFormat="false" ht="15" hidden="false" customHeight="false" outlineLevel="0" collapsed="false">
      <c r="A250" s="4" t="s">
        <v>1757</v>
      </c>
      <c r="B250" s="4" t="s">
        <v>539</v>
      </c>
      <c r="C250" s="22" t="n">
        <v>1</v>
      </c>
      <c r="D250" s="16" t="s">
        <v>1758</v>
      </c>
      <c r="E250" s="16" t="s">
        <v>1759</v>
      </c>
      <c r="F250" s="6" t="n">
        <v>46269</v>
      </c>
      <c r="G250" s="6" t="n">
        <v>46269</v>
      </c>
      <c r="H250" s="23" t="n">
        <f aca="false">ABS(F250-G250)</f>
        <v>0</v>
      </c>
      <c r="I250" s="7" t="n">
        <v>19909.84</v>
      </c>
      <c r="J250" s="7" t="n">
        <v>19909.84</v>
      </c>
      <c r="K250" s="7" t="n">
        <f aca="false">I250-J250</f>
        <v>0</v>
      </c>
      <c r="L250" s="4" t="s">
        <v>1760</v>
      </c>
      <c r="M250" s="4" t="s">
        <v>1761</v>
      </c>
      <c r="N250" s="4"/>
    </row>
    <row r="251" customFormat="false" ht="15" hidden="false" customHeight="false" outlineLevel="0" collapsed="false">
      <c r="A251" s="4" t="s">
        <v>1762</v>
      </c>
      <c r="B251" s="4" t="s">
        <v>539</v>
      </c>
      <c r="C251" s="22" t="n">
        <v>1</v>
      </c>
      <c r="D251" s="16" t="s">
        <v>1763</v>
      </c>
      <c r="E251" s="16" t="s">
        <v>1764</v>
      </c>
      <c r="F251" s="6" t="n">
        <v>46269</v>
      </c>
      <c r="G251" s="6" t="n">
        <v>46269</v>
      </c>
      <c r="H251" s="23" t="n">
        <f aca="false">ABS(F251-G251)</f>
        <v>0</v>
      </c>
      <c r="I251" s="7" t="n">
        <v>48521.93</v>
      </c>
      <c r="J251" s="7" t="n">
        <v>48521.93</v>
      </c>
      <c r="K251" s="7" t="n">
        <f aca="false">I251-J251</f>
        <v>0</v>
      </c>
      <c r="L251" s="4" t="s">
        <v>1765</v>
      </c>
      <c r="M251" s="4" t="s">
        <v>1766</v>
      </c>
      <c r="N251" s="4"/>
    </row>
    <row r="252" customFormat="false" ht="15" hidden="false" customHeight="false" outlineLevel="0" collapsed="false">
      <c r="A252" s="4" t="s">
        <v>1767</v>
      </c>
      <c r="B252" s="4" t="s">
        <v>539</v>
      </c>
      <c r="C252" s="22" t="n">
        <v>1</v>
      </c>
      <c r="D252" s="16" t="s">
        <v>1768</v>
      </c>
      <c r="E252" s="16" t="s">
        <v>1769</v>
      </c>
      <c r="F252" s="6" t="n">
        <v>46269</v>
      </c>
      <c r="G252" s="6" t="n">
        <v>46269</v>
      </c>
      <c r="H252" s="23" t="n">
        <f aca="false">ABS(F252-G252)</f>
        <v>0</v>
      </c>
      <c r="I252" s="7" t="n">
        <v>-59444.12</v>
      </c>
      <c r="J252" s="7" t="n">
        <v>-59444.12</v>
      </c>
      <c r="K252" s="7" t="n">
        <f aca="false">I252-J252</f>
        <v>0</v>
      </c>
      <c r="L252" s="4" t="s">
        <v>1770</v>
      </c>
      <c r="M252" s="4" t="s">
        <v>1771</v>
      </c>
      <c r="N252" s="4"/>
    </row>
    <row r="253" customFormat="false" ht="15" hidden="false" customHeight="false" outlineLevel="0" collapsed="false">
      <c r="A253" s="4" t="s">
        <v>1772</v>
      </c>
      <c r="B253" s="4" t="s">
        <v>539</v>
      </c>
      <c r="C253" s="22" t="n">
        <v>1</v>
      </c>
      <c r="D253" s="16" t="s">
        <v>1773</v>
      </c>
      <c r="E253" s="16" t="s">
        <v>1774</v>
      </c>
      <c r="F253" s="6" t="n">
        <v>46270</v>
      </c>
      <c r="G253" s="6" t="n">
        <v>46270</v>
      </c>
      <c r="H253" s="23" t="n">
        <f aca="false">ABS(F253-G253)</f>
        <v>0</v>
      </c>
      <c r="I253" s="7" t="n">
        <v>36017.93</v>
      </c>
      <c r="J253" s="7" t="n">
        <v>36017.93</v>
      </c>
      <c r="K253" s="7" t="n">
        <f aca="false">I253-J253</f>
        <v>0</v>
      </c>
      <c r="L253" s="4" t="s">
        <v>1775</v>
      </c>
      <c r="M253" s="4" t="s">
        <v>1776</v>
      </c>
      <c r="N253" s="4"/>
    </row>
    <row r="254" customFormat="false" ht="15" hidden="false" customHeight="false" outlineLevel="0" collapsed="false">
      <c r="A254" s="4" t="s">
        <v>1777</v>
      </c>
      <c r="B254" s="4" t="s">
        <v>539</v>
      </c>
      <c r="C254" s="22" t="n">
        <v>1</v>
      </c>
      <c r="D254" s="16" t="s">
        <v>1778</v>
      </c>
      <c r="E254" s="16" t="s">
        <v>1779</v>
      </c>
      <c r="F254" s="6" t="n">
        <v>46270</v>
      </c>
      <c r="G254" s="6" t="n">
        <v>46270</v>
      </c>
      <c r="H254" s="23" t="n">
        <f aca="false">ABS(F254-G254)</f>
        <v>0</v>
      </c>
      <c r="I254" s="7" t="n">
        <v>7926.89</v>
      </c>
      <c r="J254" s="7" t="n">
        <v>7926.89</v>
      </c>
      <c r="K254" s="7" t="n">
        <f aca="false">I254-J254</f>
        <v>0</v>
      </c>
      <c r="L254" s="4" t="s">
        <v>1780</v>
      </c>
      <c r="M254" s="4" t="s">
        <v>1781</v>
      </c>
      <c r="N254" s="4"/>
    </row>
    <row r="255" customFormat="false" ht="15" hidden="false" customHeight="false" outlineLevel="0" collapsed="false">
      <c r="A255" s="4" t="s">
        <v>1782</v>
      </c>
      <c r="B255" s="4" t="s">
        <v>539</v>
      </c>
      <c r="C255" s="22" t="n">
        <v>1</v>
      </c>
      <c r="D255" s="16" t="s">
        <v>1783</v>
      </c>
      <c r="E255" s="16" t="s">
        <v>1784</v>
      </c>
      <c r="F255" s="6" t="n">
        <v>46270</v>
      </c>
      <c r="G255" s="6" t="n">
        <v>46270</v>
      </c>
      <c r="H255" s="23" t="n">
        <f aca="false">ABS(F255-G255)</f>
        <v>0</v>
      </c>
      <c r="I255" s="7" t="n">
        <v>28460.77</v>
      </c>
      <c r="J255" s="7" t="n">
        <v>28460.77</v>
      </c>
      <c r="K255" s="7" t="n">
        <f aca="false">I255-J255</f>
        <v>0</v>
      </c>
      <c r="L255" s="4" t="s">
        <v>1785</v>
      </c>
      <c r="M255" s="4" t="s">
        <v>1786</v>
      </c>
      <c r="N255" s="4"/>
    </row>
    <row r="256" customFormat="false" ht="15" hidden="false" customHeight="false" outlineLevel="0" collapsed="false">
      <c r="A256" s="4" t="s">
        <v>1787</v>
      </c>
      <c r="B256" s="4" t="s">
        <v>539</v>
      </c>
      <c r="C256" s="22" t="n">
        <v>1</v>
      </c>
      <c r="D256" s="16" t="s">
        <v>1788</v>
      </c>
      <c r="E256" s="16" t="s">
        <v>1789</v>
      </c>
      <c r="F256" s="6" t="n">
        <v>46271</v>
      </c>
      <c r="G256" s="6" t="n">
        <v>46271</v>
      </c>
      <c r="H256" s="23" t="n">
        <f aca="false">ABS(F256-G256)</f>
        <v>0</v>
      </c>
      <c r="I256" s="7" t="n">
        <v>60837.74</v>
      </c>
      <c r="J256" s="7" t="n">
        <v>60837.74</v>
      </c>
      <c r="K256" s="7" t="n">
        <f aca="false">I256-J256</f>
        <v>0</v>
      </c>
      <c r="L256" s="4" t="s">
        <v>1790</v>
      </c>
      <c r="M256" s="4" t="s">
        <v>1791</v>
      </c>
      <c r="N256" s="4"/>
    </row>
    <row r="257" customFormat="false" ht="15" hidden="false" customHeight="false" outlineLevel="0" collapsed="false">
      <c r="A257" s="4" t="s">
        <v>1792</v>
      </c>
      <c r="B257" s="4" t="s">
        <v>539</v>
      </c>
      <c r="C257" s="22" t="n">
        <v>1</v>
      </c>
      <c r="D257" s="16" t="s">
        <v>1793</v>
      </c>
      <c r="E257" s="16" t="s">
        <v>1794</v>
      </c>
      <c r="F257" s="6" t="n">
        <v>46271</v>
      </c>
      <c r="G257" s="6" t="n">
        <v>46271</v>
      </c>
      <c r="H257" s="23" t="n">
        <f aca="false">ABS(F257-G257)</f>
        <v>0</v>
      </c>
      <c r="I257" s="7" t="n">
        <v>11458.66</v>
      </c>
      <c r="J257" s="7" t="n">
        <v>11458.66</v>
      </c>
      <c r="K257" s="7" t="n">
        <f aca="false">I257-J257</f>
        <v>0</v>
      </c>
      <c r="L257" s="4" t="s">
        <v>1795</v>
      </c>
      <c r="M257" s="4" t="s">
        <v>1796</v>
      </c>
      <c r="N257" s="4"/>
    </row>
    <row r="258" customFormat="false" ht="15" hidden="false" customHeight="false" outlineLevel="0" collapsed="false">
      <c r="A258" s="4" t="s">
        <v>1797</v>
      </c>
      <c r="B258" s="4" t="s">
        <v>539</v>
      </c>
      <c r="C258" s="22" t="n">
        <v>1</v>
      </c>
      <c r="D258" s="16" t="s">
        <v>1798</v>
      </c>
      <c r="E258" s="16" t="s">
        <v>1799</v>
      </c>
      <c r="F258" s="6" t="n">
        <v>46272</v>
      </c>
      <c r="G258" s="6" t="n">
        <v>46272</v>
      </c>
      <c r="H258" s="23" t="n">
        <f aca="false">ABS(F258-G258)</f>
        <v>0</v>
      </c>
      <c r="I258" s="7" t="n">
        <v>9664.14</v>
      </c>
      <c r="J258" s="7" t="n">
        <v>9664.14</v>
      </c>
      <c r="K258" s="7" t="n">
        <f aca="false">I258-J258</f>
        <v>0</v>
      </c>
      <c r="L258" s="4" t="s">
        <v>1800</v>
      </c>
      <c r="M258" s="4" t="s">
        <v>1801</v>
      </c>
      <c r="N258" s="4"/>
    </row>
    <row r="259" customFormat="false" ht="15" hidden="false" customHeight="false" outlineLevel="0" collapsed="false">
      <c r="A259" s="4" t="s">
        <v>1802</v>
      </c>
      <c r="B259" s="4" t="s">
        <v>539</v>
      </c>
      <c r="C259" s="22" t="n">
        <v>1</v>
      </c>
      <c r="D259" s="16" t="s">
        <v>1803</v>
      </c>
      <c r="E259" s="16" t="s">
        <v>1804</v>
      </c>
      <c r="F259" s="6" t="n">
        <v>46272</v>
      </c>
      <c r="G259" s="6" t="n">
        <v>46272</v>
      </c>
      <c r="H259" s="23" t="n">
        <f aca="false">ABS(F259-G259)</f>
        <v>0</v>
      </c>
      <c r="I259" s="7" t="n">
        <v>4733.34</v>
      </c>
      <c r="J259" s="7" t="n">
        <v>4733.34</v>
      </c>
      <c r="K259" s="7" t="n">
        <f aca="false">I259-J259</f>
        <v>0</v>
      </c>
      <c r="L259" s="4" t="s">
        <v>1805</v>
      </c>
      <c r="M259" s="4" t="s">
        <v>1806</v>
      </c>
      <c r="N259" s="4"/>
    </row>
    <row r="260" customFormat="false" ht="15" hidden="false" customHeight="false" outlineLevel="0" collapsed="false">
      <c r="A260" s="4" t="s">
        <v>1807</v>
      </c>
      <c r="B260" s="4" t="s">
        <v>539</v>
      </c>
      <c r="C260" s="22" t="n">
        <v>1</v>
      </c>
      <c r="D260" s="16" t="s">
        <v>1808</v>
      </c>
      <c r="E260" s="16" t="s">
        <v>1809</v>
      </c>
      <c r="F260" s="6" t="n">
        <v>46272</v>
      </c>
      <c r="G260" s="6" t="n">
        <v>46272</v>
      </c>
      <c r="H260" s="23" t="n">
        <f aca="false">ABS(F260-G260)</f>
        <v>0</v>
      </c>
      <c r="I260" s="7" t="n">
        <v>90820.42</v>
      </c>
      <c r="J260" s="7" t="n">
        <v>90820.42</v>
      </c>
      <c r="K260" s="7" t="n">
        <f aca="false">I260-J260</f>
        <v>0</v>
      </c>
      <c r="L260" s="4" t="s">
        <v>1810</v>
      </c>
      <c r="M260" s="4" t="s">
        <v>1811</v>
      </c>
      <c r="N260" s="4"/>
    </row>
    <row r="261" customFormat="false" ht="15" hidden="false" customHeight="false" outlineLevel="0" collapsed="false">
      <c r="A261" s="4" t="s">
        <v>1812</v>
      </c>
      <c r="B261" s="4" t="s">
        <v>539</v>
      </c>
      <c r="C261" s="22" t="n">
        <v>1</v>
      </c>
      <c r="D261" s="16" t="s">
        <v>1813</v>
      </c>
      <c r="E261" s="16" t="s">
        <v>1814</v>
      </c>
      <c r="F261" s="6" t="n">
        <v>46273</v>
      </c>
      <c r="G261" s="6" t="n">
        <v>46273</v>
      </c>
      <c r="H261" s="23" t="n">
        <f aca="false">ABS(F261-G261)</f>
        <v>0</v>
      </c>
      <c r="I261" s="7" t="n">
        <v>-53915.02</v>
      </c>
      <c r="J261" s="7" t="n">
        <v>-53915.02</v>
      </c>
      <c r="K261" s="7" t="n">
        <f aca="false">I261-J261</f>
        <v>0</v>
      </c>
      <c r="L261" s="4" t="s">
        <v>1815</v>
      </c>
      <c r="M261" s="4" t="s">
        <v>1816</v>
      </c>
      <c r="N261" s="4"/>
    </row>
    <row r="262" customFormat="false" ht="15" hidden="false" customHeight="false" outlineLevel="0" collapsed="false">
      <c r="A262" s="4" t="s">
        <v>1817</v>
      </c>
      <c r="B262" s="4" t="s">
        <v>539</v>
      </c>
      <c r="C262" s="22" t="n">
        <v>1</v>
      </c>
      <c r="D262" s="16" t="s">
        <v>1818</v>
      </c>
      <c r="E262" s="16" t="s">
        <v>1819</v>
      </c>
      <c r="F262" s="6" t="n">
        <v>46274</v>
      </c>
      <c r="G262" s="6" t="n">
        <v>46274</v>
      </c>
      <c r="H262" s="23" t="n">
        <f aca="false">ABS(F262-G262)</f>
        <v>0</v>
      </c>
      <c r="I262" s="7" t="n">
        <v>70443.4</v>
      </c>
      <c r="J262" s="7" t="n">
        <v>70443.4</v>
      </c>
      <c r="K262" s="7" t="n">
        <f aca="false">I262-J262</f>
        <v>0</v>
      </c>
      <c r="L262" s="4" t="s">
        <v>1820</v>
      </c>
      <c r="M262" s="4" t="s">
        <v>1821</v>
      </c>
      <c r="N262" s="4"/>
    </row>
    <row r="263" customFormat="false" ht="15" hidden="false" customHeight="false" outlineLevel="0" collapsed="false">
      <c r="A263" s="4" t="s">
        <v>1822</v>
      </c>
      <c r="B263" s="4" t="s">
        <v>539</v>
      </c>
      <c r="C263" s="22" t="n">
        <v>1</v>
      </c>
      <c r="D263" s="16" t="s">
        <v>1823</v>
      </c>
      <c r="E263" s="16" t="s">
        <v>1824</v>
      </c>
      <c r="F263" s="6" t="n">
        <v>46274</v>
      </c>
      <c r="G263" s="6" t="n">
        <v>46274</v>
      </c>
      <c r="H263" s="23" t="n">
        <f aca="false">ABS(F263-G263)</f>
        <v>0</v>
      </c>
      <c r="I263" s="7" t="n">
        <v>89544.34</v>
      </c>
      <c r="J263" s="7" t="n">
        <v>89544.34</v>
      </c>
      <c r="K263" s="7" t="n">
        <f aca="false">I263-J263</f>
        <v>0</v>
      </c>
      <c r="L263" s="4" t="s">
        <v>1825</v>
      </c>
      <c r="M263" s="4" t="s">
        <v>1826</v>
      </c>
      <c r="N263" s="4"/>
    </row>
    <row r="264" customFormat="false" ht="15" hidden="false" customHeight="false" outlineLevel="0" collapsed="false">
      <c r="A264" s="4" t="s">
        <v>1827</v>
      </c>
      <c r="B264" s="4" t="s">
        <v>539</v>
      </c>
      <c r="C264" s="22" t="n">
        <v>1</v>
      </c>
      <c r="D264" s="16" t="s">
        <v>1828</v>
      </c>
      <c r="E264" s="16" t="s">
        <v>1829</v>
      </c>
      <c r="F264" s="6" t="n">
        <v>46274</v>
      </c>
      <c r="G264" s="6" t="n">
        <v>46274</v>
      </c>
      <c r="H264" s="23" t="n">
        <f aca="false">ABS(F264-G264)</f>
        <v>0</v>
      </c>
      <c r="I264" s="7" t="n">
        <v>77688.04</v>
      </c>
      <c r="J264" s="7" t="n">
        <v>77688.04</v>
      </c>
      <c r="K264" s="7" t="n">
        <f aca="false">I264-J264</f>
        <v>0</v>
      </c>
      <c r="L264" s="4" t="s">
        <v>1830</v>
      </c>
      <c r="M264" s="4" t="s">
        <v>1831</v>
      </c>
      <c r="N264" s="4"/>
    </row>
    <row r="265" customFormat="false" ht="15" hidden="false" customHeight="false" outlineLevel="0" collapsed="false">
      <c r="A265" s="4" t="s">
        <v>1832</v>
      </c>
      <c r="B265" s="4" t="s">
        <v>539</v>
      </c>
      <c r="C265" s="22" t="n">
        <v>1</v>
      </c>
      <c r="D265" s="16" t="s">
        <v>1833</v>
      </c>
      <c r="E265" s="16" t="s">
        <v>1834</v>
      </c>
      <c r="F265" s="6" t="n">
        <v>46274</v>
      </c>
      <c r="G265" s="6" t="n">
        <v>46274</v>
      </c>
      <c r="H265" s="23" t="n">
        <f aca="false">ABS(F265-G265)</f>
        <v>0</v>
      </c>
      <c r="I265" s="7" t="n">
        <v>39367.3</v>
      </c>
      <c r="J265" s="7" t="n">
        <v>39367.3</v>
      </c>
      <c r="K265" s="7" t="n">
        <f aca="false">I265-J265</f>
        <v>0</v>
      </c>
      <c r="L265" s="4" t="s">
        <v>1835</v>
      </c>
      <c r="M265" s="4" t="s">
        <v>1836</v>
      </c>
      <c r="N265" s="4"/>
    </row>
    <row r="266" customFormat="false" ht="15" hidden="false" customHeight="false" outlineLevel="0" collapsed="false">
      <c r="A266" s="4" t="s">
        <v>1837</v>
      </c>
      <c r="B266" s="4" t="s">
        <v>539</v>
      </c>
      <c r="C266" s="22" t="n">
        <v>1</v>
      </c>
      <c r="D266" s="16" t="s">
        <v>1838</v>
      </c>
      <c r="E266" s="16" t="s">
        <v>1839</v>
      </c>
      <c r="F266" s="6" t="n">
        <v>46274</v>
      </c>
      <c r="G266" s="6" t="n">
        <v>46274</v>
      </c>
      <c r="H266" s="23" t="n">
        <f aca="false">ABS(F266-G266)</f>
        <v>0</v>
      </c>
      <c r="I266" s="7" t="n">
        <v>41859.75</v>
      </c>
      <c r="J266" s="7" t="n">
        <v>41859.75</v>
      </c>
      <c r="K266" s="7" t="n">
        <f aca="false">I266-J266</f>
        <v>0</v>
      </c>
      <c r="L266" s="4" t="s">
        <v>1840</v>
      </c>
      <c r="M266" s="4" t="s">
        <v>1841</v>
      </c>
      <c r="N266" s="4"/>
    </row>
    <row r="267" customFormat="false" ht="15" hidden="false" customHeight="false" outlineLevel="0" collapsed="false">
      <c r="A267" s="4" t="s">
        <v>1842</v>
      </c>
      <c r="B267" s="4" t="s">
        <v>539</v>
      </c>
      <c r="C267" s="22" t="n">
        <v>1</v>
      </c>
      <c r="D267" s="16" t="s">
        <v>1843</v>
      </c>
      <c r="E267" s="16" t="s">
        <v>1844</v>
      </c>
      <c r="F267" s="6" t="n">
        <v>46274</v>
      </c>
      <c r="G267" s="6" t="n">
        <v>46274</v>
      </c>
      <c r="H267" s="23" t="n">
        <f aca="false">ABS(F267-G267)</f>
        <v>0</v>
      </c>
      <c r="I267" s="7" t="n">
        <v>-42782.95</v>
      </c>
      <c r="J267" s="7" t="n">
        <v>-42782.95</v>
      </c>
      <c r="K267" s="7" t="n">
        <f aca="false">I267-J267</f>
        <v>0</v>
      </c>
      <c r="L267" s="4" t="s">
        <v>1845</v>
      </c>
      <c r="M267" s="4" t="s">
        <v>1846</v>
      </c>
      <c r="N267" s="4"/>
    </row>
    <row r="268" customFormat="false" ht="15" hidden="false" customHeight="false" outlineLevel="0" collapsed="false">
      <c r="A268" s="4" t="s">
        <v>1847</v>
      </c>
      <c r="B268" s="4" t="s">
        <v>539</v>
      </c>
      <c r="C268" s="22" t="n">
        <v>1</v>
      </c>
      <c r="D268" s="16" t="s">
        <v>1848</v>
      </c>
      <c r="E268" s="16" t="s">
        <v>1849</v>
      </c>
      <c r="F268" s="6" t="n">
        <v>46275</v>
      </c>
      <c r="G268" s="6" t="n">
        <v>46275</v>
      </c>
      <c r="H268" s="23" t="n">
        <f aca="false">ABS(F268-G268)</f>
        <v>0</v>
      </c>
      <c r="I268" s="7" t="n">
        <v>55524.06</v>
      </c>
      <c r="J268" s="7" t="n">
        <v>55524.06</v>
      </c>
      <c r="K268" s="7" t="n">
        <f aca="false">I268-J268</f>
        <v>0</v>
      </c>
      <c r="L268" s="4" t="s">
        <v>1850</v>
      </c>
      <c r="M268" s="4" t="s">
        <v>1851</v>
      </c>
      <c r="N268" s="4"/>
    </row>
    <row r="269" customFormat="false" ht="15" hidden="false" customHeight="false" outlineLevel="0" collapsed="false">
      <c r="A269" s="4" t="s">
        <v>1852</v>
      </c>
      <c r="B269" s="4" t="s">
        <v>539</v>
      </c>
      <c r="C269" s="22" t="n">
        <v>1</v>
      </c>
      <c r="D269" s="16" t="s">
        <v>1853</v>
      </c>
      <c r="E269" s="16" t="s">
        <v>1854</v>
      </c>
      <c r="F269" s="6" t="n">
        <v>46275</v>
      </c>
      <c r="G269" s="6" t="n">
        <v>46275</v>
      </c>
      <c r="H269" s="23" t="n">
        <f aca="false">ABS(F269-G269)</f>
        <v>0</v>
      </c>
      <c r="I269" s="7" t="n">
        <v>74437.09</v>
      </c>
      <c r="J269" s="7" t="n">
        <v>74437.09</v>
      </c>
      <c r="K269" s="7" t="n">
        <f aca="false">I269-J269</f>
        <v>0</v>
      </c>
      <c r="L269" s="4" t="s">
        <v>1855</v>
      </c>
      <c r="M269" s="4" t="s">
        <v>1856</v>
      </c>
      <c r="N269" s="4"/>
    </row>
    <row r="270" customFormat="false" ht="15" hidden="false" customHeight="false" outlineLevel="0" collapsed="false">
      <c r="A270" s="4" t="s">
        <v>1857</v>
      </c>
      <c r="B270" s="4" t="s">
        <v>539</v>
      </c>
      <c r="C270" s="22" t="n">
        <v>1</v>
      </c>
      <c r="D270" s="16" t="s">
        <v>1858</v>
      </c>
      <c r="E270" s="16" t="s">
        <v>1859</v>
      </c>
      <c r="F270" s="6" t="n">
        <v>46275</v>
      </c>
      <c r="G270" s="6" t="n">
        <v>46275</v>
      </c>
      <c r="H270" s="23" t="n">
        <f aca="false">ABS(F270-G270)</f>
        <v>0</v>
      </c>
      <c r="I270" s="7" t="n">
        <v>94182.6</v>
      </c>
      <c r="J270" s="7" t="n">
        <v>94182.6</v>
      </c>
      <c r="K270" s="7" t="n">
        <f aca="false">I270-J270</f>
        <v>0</v>
      </c>
      <c r="L270" s="4" t="s">
        <v>1860</v>
      </c>
      <c r="M270" s="4" t="s">
        <v>1861</v>
      </c>
      <c r="N270" s="4"/>
    </row>
    <row r="271" customFormat="false" ht="15" hidden="false" customHeight="false" outlineLevel="0" collapsed="false">
      <c r="A271" s="4" t="s">
        <v>1862</v>
      </c>
      <c r="B271" s="4" t="s">
        <v>539</v>
      </c>
      <c r="C271" s="22" t="n">
        <v>1</v>
      </c>
      <c r="D271" s="16" t="s">
        <v>1863</v>
      </c>
      <c r="E271" s="16" t="s">
        <v>1864</v>
      </c>
      <c r="F271" s="6" t="n">
        <v>46275</v>
      </c>
      <c r="G271" s="6" t="n">
        <v>46275</v>
      </c>
      <c r="H271" s="23" t="n">
        <f aca="false">ABS(F271-G271)</f>
        <v>0</v>
      </c>
      <c r="I271" s="7" t="n">
        <v>-17725.59</v>
      </c>
      <c r="J271" s="7" t="n">
        <v>-17725.59</v>
      </c>
      <c r="K271" s="7" t="n">
        <f aca="false">I271-J271</f>
        <v>0</v>
      </c>
      <c r="L271" s="4" t="s">
        <v>1865</v>
      </c>
      <c r="M271" s="4" t="s">
        <v>1866</v>
      </c>
      <c r="N271" s="4"/>
    </row>
    <row r="272" customFormat="false" ht="15" hidden="false" customHeight="false" outlineLevel="0" collapsed="false">
      <c r="A272" s="4" t="s">
        <v>1867</v>
      </c>
      <c r="B272" s="4" t="s">
        <v>539</v>
      </c>
      <c r="C272" s="22" t="n">
        <v>1</v>
      </c>
      <c r="D272" s="16" t="s">
        <v>1868</v>
      </c>
      <c r="E272" s="16" t="s">
        <v>1869</v>
      </c>
      <c r="F272" s="6" t="n">
        <v>46276</v>
      </c>
      <c r="G272" s="6" t="n">
        <v>46276</v>
      </c>
      <c r="H272" s="23" t="n">
        <f aca="false">ABS(F272-G272)</f>
        <v>0</v>
      </c>
      <c r="I272" s="7" t="n">
        <v>42055.77</v>
      </c>
      <c r="J272" s="7" t="n">
        <v>42055.77</v>
      </c>
      <c r="K272" s="7" t="n">
        <f aca="false">I272-J272</f>
        <v>0</v>
      </c>
      <c r="L272" s="4" t="s">
        <v>1870</v>
      </c>
      <c r="M272" s="4" t="s">
        <v>1871</v>
      </c>
      <c r="N272" s="4"/>
    </row>
    <row r="273" customFormat="false" ht="15" hidden="false" customHeight="false" outlineLevel="0" collapsed="false">
      <c r="A273" s="4" t="s">
        <v>1872</v>
      </c>
      <c r="B273" s="4" t="s">
        <v>539</v>
      </c>
      <c r="C273" s="22" t="n">
        <v>1</v>
      </c>
      <c r="D273" s="16" t="s">
        <v>1873</v>
      </c>
      <c r="E273" s="16" t="s">
        <v>1874</v>
      </c>
      <c r="F273" s="6" t="n">
        <v>46276</v>
      </c>
      <c r="G273" s="6" t="n">
        <v>46276</v>
      </c>
      <c r="H273" s="23" t="n">
        <f aca="false">ABS(F273-G273)</f>
        <v>0</v>
      </c>
      <c r="I273" s="7" t="n">
        <v>68514.19</v>
      </c>
      <c r="J273" s="7" t="n">
        <v>68514.19</v>
      </c>
      <c r="K273" s="7" t="n">
        <f aca="false">I273-J273</f>
        <v>0</v>
      </c>
      <c r="L273" s="4" t="s">
        <v>1875</v>
      </c>
      <c r="M273" s="4" t="s">
        <v>1876</v>
      </c>
      <c r="N273" s="4"/>
    </row>
    <row r="274" customFormat="false" ht="15" hidden="false" customHeight="false" outlineLevel="0" collapsed="false">
      <c r="A274" s="4" t="s">
        <v>1877</v>
      </c>
      <c r="B274" s="4" t="s">
        <v>539</v>
      </c>
      <c r="C274" s="22" t="n">
        <v>1</v>
      </c>
      <c r="D274" s="16" t="s">
        <v>1878</v>
      </c>
      <c r="E274" s="16" t="s">
        <v>1879</v>
      </c>
      <c r="F274" s="6" t="n">
        <v>46276</v>
      </c>
      <c r="G274" s="6" t="n">
        <v>46276</v>
      </c>
      <c r="H274" s="23" t="n">
        <f aca="false">ABS(F274-G274)</f>
        <v>0</v>
      </c>
      <c r="I274" s="7" t="n">
        <v>7426.77</v>
      </c>
      <c r="J274" s="7" t="n">
        <v>7426.77</v>
      </c>
      <c r="K274" s="7" t="n">
        <f aca="false">I274-J274</f>
        <v>0</v>
      </c>
      <c r="L274" s="4" t="s">
        <v>1880</v>
      </c>
      <c r="M274" s="4" t="s">
        <v>1881</v>
      </c>
      <c r="N274" s="4"/>
    </row>
    <row r="275" customFormat="false" ht="15" hidden="false" customHeight="false" outlineLevel="0" collapsed="false">
      <c r="A275" s="4" t="s">
        <v>1882</v>
      </c>
      <c r="B275" s="4" t="s">
        <v>539</v>
      </c>
      <c r="C275" s="22" t="n">
        <v>1</v>
      </c>
      <c r="D275" s="16" t="s">
        <v>1883</v>
      </c>
      <c r="E275" s="16" t="s">
        <v>1884</v>
      </c>
      <c r="F275" s="6" t="n">
        <v>46276</v>
      </c>
      <c r="G275" s="6" t="n">
        <v>46276</v>
      </c>
      <c r="H275" s="23" t="n">
        <f aca="false">ABS(F275-G275)</f>
        <v>0</v>
      </c>
      <c r="I275" s="7" t="n">
        <v>4635.49</v>
      </c>
      <c r="J275" s="7" t="n">
        <v>4635.49</v>
      </c>
      <c r="K275" s="7" t="n">
        <f aca="false">I275-J275</f>
        <v>0</v>
      </c>
      <c r="L275" s="4" t="s">
        <v>1885</v>
      </c>
      <c r="M275" s="4" t="s">
        <v>1886</v>
      </c>
      <c r="N275" s="4"/>
    </row>
    <row r="276" customFormat="false" ht="15" hidden="false" customHeight="false" outlineLevel="0" collapsed="false">
      <c r="A276" s="4" t="s">
        <v>1887</v>
      </c>
      <c r="B276" s="4" t="s">
        <v>539</v>
      </c>
      <c r="C276" s="22" t="n">
        <v>1</v>
      </c>
      <c r="D276" s="16" t="s">
        <v>1888</v>
      </c>
      <c r="E276" s="16" t="s">
        <v>1889</v>
      </c>
      <c r="F276" s="6" t="n">
        <v>46276</v>
      </c>
      <c r="G276" s="6" t="n">
        <v>46276</v>
      </c>
      <c r="H276" s="23" t="n">
        <f aca="false">ABS(F276-G276)</f>
        <v>0</v>
      </c>
      <c r="I276" s="7" t="n">
        <v>44781.01</v>
      </c>
      <c r="J276" s="7" t="n">
        <v>44781.01</v>
      </c>
      <c r="K276" s="7" t="n">
        <f aca="false">I276-J276</f>
        <v>0</v>
      </c>
      <c r="L276" s="4" t="s">
        <v>1890</v>
      </c>
      <c r="M276" s="4" t="s">
        <v>1891</v>
      </c>
      <c r="N276" s="4"/>
    </row>
    <row r="277" customFormat="false" ht="15" hidden="false" customHeight="false" outlineLevel="0" collapsed="false">
      <c r="A277" s="4" t="s">
        <v>1892</v>
      </c>
      <c r="B277" s="4" t="s">
        <v>539</v>
      </c>
      <c r="C277" s="22" t="n">
        <v>1</v>
      </c>
      <c r="D277" s="16" t="s">
        <v>1893</v>
      </c>
      <c r="E277" s="16" t="s">
        <v>1894</v>
      </c>
      <c r="F277" s="6" t="n">
        <v>46277</v>
      </c>
      <c r="G277" s="6" t="n">
        <v>46277</v>
      </c>
      <c r="H277" s="23" t="n">
        <f aca="false">ABS(F277-G277)</f>
        <v>0</v>
      </c>
      <c r="I277" s="7" t="n">
        <v>94125.84</v>
      </c>
      <c r="J277" s="7" t="n">
        <v>94125.84</v>
      </c>
      <c r="K277" s="7" t="n">
        <f aca="false">I277-J277</f>
        <v>0</v>
      </c>
      <c r="L277" s="4" t="s">
        <v>1895</v>
      </c>
      <c r="M277" s="4" t="s">
        <v>1896</v>
      </c>
      <c r="N277" s="4"/>
    </row>
    <row r="278" customFormat="false" ht="15" hidden="false" customHeight="false" outlineLevel="0" collapsed="false">
      <c r="A278" s="4" t="s">
        <v>1897</v>
      </c>
      <c r="B278" s="4" t="s">
        <v>539</v>
      </c>
      <c r="C278" s="22" t="n">
        <v>1</v>
      </c>
      <c r="D278" s="16" t="s">
        <v>1898</v>
      </c>
      <c r="E278" s="16" t="s">
        <v>1899</v>
      </c>
      <c r="F278" s="6" t="n">
        <v>46277</v>
      </c>
      <c r="G278" s="6" t="n">
        <v>46277</v>
      </c>
      <c r="H278" s="23" t="n">
        <f aca="false">ABS(F278-G278)</f>
        <v>0</v>
      </c>
      <c r="I278" s="7" t="n">
        <v>77681.22</v>
      </c>
      <c r="J278" s="7" t="n">
        <v>77681.22</v>
      </c>
      <c r="K278" s="7" t="n">
        <f aca="false">I278-J278</f>
        <v>0</v>
      </c>
      <c r="L278" s="4" t="s">
        <v>1900</v>
      </c>
      <c r="M278" s="4" t="s">
        <v>1901</v>
      </c>
      <c r="N278" s="4"/>
    </row>
    <row r="279" customFormat="false" ht="15" hidden="false" customHeight="false" outlineLevel="0" collapsed="false">
      <c r="A279" s="4" t="s">
        <v>1902</v>
      </c>
      <c r="B279" s="4" t="s">
        <v>539</v>
      </c>
      <c r="C279" s="22" t="n">
        <v>1</v>
      </c>
      <c r="D279" s="16" t="s">
        <v>1903</v>
      </c>
      <c r="E279" s="16" t="s">
        <v>1904</v>
      </c>
      <c r="F279" s="6" t="n">
        <v>46277</v>
      </c>
      <c r="G279" s="6" t="n">
        <v>46277</v>
      </c>
      <c r="H279" s="23" t="n">
        <f aca="false">ABS(F279-G279)</f>
        <v>0</v>
      </c>
      <c r="I279" s="7" t="n">
        <v>39569.39</v>
      </c>
      <c r="J279" s="7" t="n">
        <v>39569.39</v>
      </c>
      <c r="K279" s="7" t="n">
        <f aca="false">I279-J279</f>
        <v>0</v>
      </c>
      <c r="L279" s="4" t="s">
        <v>1905</v>
      </c>
      <c r="M279" s="4" t="s">
        <v>1906</v>
      </c>
      <c r="N279" s="4"/>
    </row>
    <row r="280" customFormat="false" ht="15" hidden="false" customHeight="false" outlineLevel="0" collapsed="false">
      <c r="A280" s="4" t="s">
        <v>1907</v>
      </c>
      <c r="B280" s="4" t="s">
        <v>539</v>
      </c>
      <c r="C280" s="22" t="n">
        <v>1</v>
      </c>
      <c r="D280" s="16" t="s">
        <v>1908</v>
      </c>
      <c r="E280" s="16" t="s">
        <v>1909</v>
      </c>
      <c r="F280" s="6" t="n">
        <v>46277</v>
      </c>
      <c r="G280" s="6" t="n">
        <v>46277</v>
      </c>
      <c r="H280" s="23" t="n">
        <f aca="false">ABS(F280-G280)</f>
        <v>0</v>
      </c>
      <c r="I280" s="7" t="n">
        <v>-19279.16</v>
      </c>
      <c r="J280" s="7" t="n">
        <v>-19279.16</v>
      </c>
      <c r="K280" s="7" t="n">
        <f aca="false">I280-J280</f>
        <v>0</v>
      </c>
      <c r="L280" s="4" t="s">
        <v>1910</v>
      </c>
      <c r="M280" s="4" t="s">
        <v>1911</v>
      </c>
      <c r="N280" s="4"/>
    </row>
    <row r="281" customFormat="false" ht="15" hidden="false" customHeight="false" outlineLevel="0" collapsed="false">
      <c r="A281" s="4" t="s">
        <v>1912</v>
      </c>
      <c r="B281" s="4" t="s">
        <v>539</v>
      </c>
      <c r="C281" s="22" t="n">
        <v>1</v>
      </c>
      <c r="D281" s="16" t="s">
        <v>1913</v>
      </c>
      <c r="E281" s="16" t="s">
        <v>1914</v>
      </c>
      <c r="F281" s="6" t="n">
        <v>46278</v>
      </c>
      <c r="G281" s="6" t="n">
        <v>46278</v>
      </c>
      <c r="H281" s="23" t="n">
        <f aca="false">ABS(F281-G281)</f>
        <v>0</v>
      </c>
      <c r="I281" s="7" t="n">
        <v>61017.58</v>
      </c>
      <c r="J281" s="7" t="n">
        <v>61017.58</v>
      </c>
      <c r="K281" s="7" t="n">
        <f aca="false">I281-J281</f>
        <v>0</v>
      </c>
      <c r="L281" s="4" t="s">
        <v>1915</v>
      </c>
      <c r="M281" s="4" t="s">
        <v>1916</v>
      </c>
      <c r="N281" s="4"/>
    </row>
    <row r="282" customFormat="false" ht="15" hidden="false" customHeight="false" outlineLevel="0" collapsed="false">
      <c r="A282" s="4" t="s">
        <v>1917</v>
      </c>
      <c r="B282" s="4" t="s">
        <v>539</v>
      </c>
      <c r="C282" s="22" t="n">
        <v>1</v>
      </c>
      <c r="D282" s="16" t="s">
        <v>1918</v>
      </c>
      <c r="E282" s="16" t="s">
        <v>1919</v>
      </c>
      <c r="F282" s="6" t="n">
        <v>46278</v>
      </c>
      <c r="G282" s="6" t="n">
        <v>46278</v>
      </c>
      <c r="H282" s="23" t="n">
        <f aca="false">ABS(F282-G282)</f>
        <v>0</v>
      </c>
      <c r="I282" s="7" t="n">
        <v>39023.8</v>
      </c>
      <c r="J282" s="7" t="n">
        <v>39023.8</v>
      </c>
      <c r="K282" s="7" t="n">
        <f aca="false">I282-J282</f>
        <v>0</v>
      </c>
      <c r="L282" s="4" t="s">
        <v>1920</v>
      </c>
      <c r="M282" s="4" t="s">
        <v>1921</v>
      </c>
      <c r="N282" s="4"/>
    </row>
    <row r="283" customFormat="false" ht="15" hidden="false" customHeight="false" outlineLevel="0" collapsed="false">
      <c r="A283" s="4" t="s">
        <v>1922</v>
      </c>
      <c r="B283" s="4" t="s">
        <v>539</v>
      </c>
      <c r="C283" s="22" t="n">
        <v>1</v>
      </c>
      <c r="D283" s="16" t="s">
        <v>1923</v>
      </c>
      <c r="E283" s="16" t="s">
        <v>1924</v>
      </c>
      <c r="F283" s="6" t="n">
        <v>46278</v>
      </c>
      <c r="G283" s="6" t="n">
        <v>46278</v>
      </c>
      <c r="H283" s="23" t="n">
        <f aca="false">ABS(F283-G283)</f>
        <v>0</v>
      </c>
      <c r="I283" s="7" t="n">
        <v>34753.82</v>
      </c>
      <c r="J283" s="7" t="n">
        <v>34753.82</v>
      </c>
      <c r="K283" s="7" t="n">
        <f aca="false">I283-J283</f>
        <v>0</v>
      </c>
      <c r="L283" s="4" t="s">
        <v>1925</v>
      </c>
      <c r="M283" s="4" t="s">
        <v>1926</v>
      </c>
      <c r="N283" s="4"/>
    </row>
    <row r="284" customFormat="false" ht="15" hidden="false" customHeight="false" outlineLevel="0" collapsed="false">
      <c r="A284" s="4" t="s">
        <v>1927</v>
      </c>
      <c r="B284" s="4" t="s">
        <v>539</v>
      </c>
      <c r="C284" s="22" t="n">
        <v>1</v>
      </c>
      <c r="D284" s="16" t="s">
        <v>1928</v>
      </c>
      <c r="E284" s="16" t="s">
        <v>1929</v>
      </c>
      <c r="F284" s="6" t="n">
        <v>46278</v>
      </c>
      <c r="G284" s="6" t="n">
        <v>46278</v>
      </c>
      <c r="H284" s="23" t="n">
        <f aca="false">ABS(F284-G284)</f>
        <v>0</v>
      </c>
      <c r="I284" s="7" t="n">
        <v>-37907.55</v>
      </c>
      <c r="J284" s="7" t="n">
        <v>-37907.55</v>
      </c>
      <c r="K284" s="7" t="n">
        <f aca="false">I284-J284</f>
        <v>0</v>
      </c>
      <c r="L284" s="4" t="s">
        <v>1930</v>
      </c>
      <c r="M284" s="4" t="s">
        <v>1931</v>
      </c>
      <c r="N284" s="4"/>
    </row>
    <row r="285" customFormat="false" ht="15" hidden="false" customHeight="false" outlineLevel="0" collapsed="false">
      <c r="A285" s="4" t="s">
        <v>1932</v>
      </c>
      <c r="B285" s="4" t="s">
        <v>539</v>
      </c>
      <c r="C285" s="22" t="n">
        <v>1</v>
      </c>
      <c r="D285" s="16" t="s">
        <v>1933</v>
      </c>
      <c r="E285" s="16" t="s">
        <v>1934</v>
      </c>
      <c r="F285" s="6" t="n">
        <v>46278</v>
      </c>
      <c r="G285" s="6" t="n">
        <v>46278</v>
      </c>
      <c r="H285" s="23" t="n">
        <f aca="false">ABS(F285-G285)</f>
        <v>0</v>
      </c>
      <c r="I285" s="7" t="n">
        <v>-53487.17</v>
      </c>
      <c r="J285" s="7" t="n">
        <v>-53487.17</v>
      </c>
      <c r="K285" s="7" t="n">
        <f aca="false">I285-J285</f>
        <v>0</v>
      </c>
      <c r="L285" s="4" t="s">
        <v>1935</v>
      </c>
      <c r="M285" s="4" t="s">
        <v>1936</v>
      </c>
      <c r="N285" s="4"/>
    </row>
    <row r="286" customFormat="false" ht="15" hidden="false" customHeight="false" outlineLevel="0" collapsed="false">
      <c r="A286" s="4" t="s">
        <v>1937</v>
      </c>
      <c r="B286" s="4" t="s">
        <v>539</v>
      </c>
      <c r="C286" s="22" t="n">
        <v>1</v>
      </c>
      <c r="D286" s="16" t="s">
        <v>1938</v>
      </c>
      <c r="E286" s="16" t="s">
        <v>1939</v>
      </c>
      <c r="F286" s="6" t="n">
        <v>46278</v>
      </c>
      <c r="G286" s="6" t="n">
        <v>46278</v>
      </c>
      <c r="H286" s="23" t="n">
        <f aca="false">ABS(F286-G286)</f>
        <v>0</v>
      </c>
      <c r="I286" s="7" t="n">
        <v>-55312.85</v>
      </c>
      <c r="J286" s="7" t="n">
        <v>-55312.85</v>
      </c>
      <c r="K286" s="7" t="n">
        <f aca="false">I286-J286</f>
        <v>0</v>
      </c>
      <c r="L286" s="4" t="s">
        <v>1940</v>
      </c>
      <c r="M286" s="4" t="s">
        <v>1941</v>
      </c>
      <c r="N286" s="4"/>
    </row>
    <row r="287" customFormat="false" ht="15" hidden="false" customHeight="false" outlineLevel="0" collapsed="false">
      <c r="A287" s="4" t="s">
        <v>1942</v>
      </c>
      <c r="B287" s="4" t="s">
        <v>539</v>
      </c>
      <c r="C287" s="22" t="n">
        <v>1</v>
      </c>
      <c r="D287" s="16" t="s">
        <v>1943</v>
      </c>
      <c r="E287" s="16" t="s">
        <v>1944</v>
      </c>
      <c r="F287" s="6" t="n">
        <v>46279</v>
      </c>
      <c r="G287" s="6" t="n">
        <v>46279</v>
      </c>
      <c r="H287" s="23" t="n">
        <f aca="false">ABS(F287-G287)</f>
        <v>0</v>
      </c>
      <c r="I287" s="7" t="n">
        <v>39146.74</v>
      </c>
      <c r="J287" s="7" t="n">
        <v>39146.74</v>
      </c>
      <c r="K287" s="7" t="n">
        <f aca="false">I287-J287</f>
        <v>0</v>
      </c>
      <c r="L287" s="4" t="s">
        <v>1945</v>
      </c>
      <c r="M287" s="4" t="s">
        <v>1946</v>
      </c>
      <c r="N287" s="4"/>
    </row>
    <row r="288" customFormat="false" ht="15" hidden="false" customHeight="false" outlineLevel="0" collapsed="false">
      <c r="A288" s="4" t="s">
        <v>1947</v>
      </c>
      <c r="B288" s="4" t="s">
        <v>539</v>
      </c>
      <c r="C288" s="22" t="n">
        <v>1</v>
      </c>
      <c r="D288" s="16" t="s">
        <v>1948</v>
      </c>
      <c r="E288" s="16" t="s">
        <v>1949</v>
      </c>
      <c r="F288" s="6" t="n">
        <v>46280</v>
      </c>
      <c r="G288" s="6" t="n">
        <v>46280</v>
      </c>
      <c r="H288" s="23" t="n">
        <f aca="false">ABS(F288-G288)</f>
        <v>0</v>
      </c>
      <c r="I288" s="7" t="n">
        <v>69384.63</v>
      </c>
      <c r="J288" s="7" t="n">
        <v>69384.63</v>
      </c>
      <c r="K288" s="7" t="n">
        <f aca="false">I288-J288</f>
        <v>0</v>
      </c>
      <c r="L288" s="4" t="s">
        <v>1950</v>
      </c>
      <c r="M288" s="4" t="s">
        <v>1951</v>
      </c>
      <c r="N288" s="4"/>
    </row>
    <row r="289" customFormat="false" ht="15" hidden="false" customHeight="false" outlineLevel="0" collapsed="false">
      <c r="A289" s="4" t="s">
        <v>1952</v>
      </c>
      <c r="B289" s="4" t="s">
        <v>539</v>
      </c>
      <c r="C289" s="22" t="n">
        <v>1</v>
      </c>
      <c r="D289" s="16" t="s">
        <v>1953</v>
      </c>
      <c r="E289" s="16" t="s">
        <v>1954</v>
      </c>
      <c r="F289" s="6" t="n">
        <v>46280</v>
      </c>
      <c r="G289" s="6" t="n">
        <v>46280</v>
      </c>
      <c r="H289" s="23" t="n">
        <f aca="false">ABS(F289-G289)</f>
        <v>0</v>
      </c>
      <c r="I289" s="7" t="n">
        <v>26452.06</v>
      </c>
      <c r="J289" s="7" t="n">
        <v>26452.06</v>
      </c>
      <c r="K289" s="7" t="n">
        <f aca="false">I289-J289</f>
        <v>0</v>
      </c>
      <c r="L289" s="4" t="s">
        <v>1955</v>
      </c>
      <c r="M289" s="4" t="s">
        <v>1956</v>
      </c>
      <c r="N289" s="4"/>
    </row>
    <row r="290" customFormat="false" ht="15" hidden="false" customHeight="false" outlineLevel="0" collapsed="false">
      <c r="A290" s="4" t="s">
        <v>1957</v>
      </c>
      <c r="B290" s="4" t="s">
        <v>539</v>
      </c>
      <c r="C290" s="22" t="n">
        <v>1</v>
      </c>
      <c r="D290" s="16" t="s">
        <v>1958</v>
      </c>
      <c r="E290" s="16" t="s">
        <v>1959</v>
      </c>
      <c r="F290" s="6" t="n">
        <v>46280</v>
      </c>
      <c r="G290" s="6" t="n">
        <v>46280</v>
      </c>
      <c r="H290" s="23" t="n">
        <f aca="false">ABS(F290-G290)</f>
        <v>0</v>
      </c>
      <c r="I290" s="7" t="n">
        <v>38761.06</v>
      </c>
      <c r="J290" s="7" t="n">
        <v>38761.06</v>
      </c>
      <c r="K290" s="7" t="n">
        <f aca="false">I290-J290</f>
        <v>0</v>
      </c>
      <c r="L290" s="4" t="s">
        <v>1960</v>
      </c>
      <c r="M290" s="4" t="s">
        <v>1961</v>
      </c>
      <c r="N290" s="4"/>
    </row>
    <row r="291" customFormat="false" ht="15" hidden="false" customHeight="false" outlineLevel="0" collapsed="false">
      <c r="A291" s="4" t="s">
        <v>1962</v>
      </c>
      <c r="B291" s="4" t="s">
        <v>539</v>
      </c>
      <c r="C291" s="22" t="n">
        <v>1</v>
      </c>
      <c r="D291" s="16" t="s">
        <v>1963</v>
      </c>
      <c r="E291" s="16" t="s">
        <v>1964</v>
      </c>
      <c r="F291" s="6" t="n">
        <v>46280</v>
      </c>
      <c r="G291" s="6" t="n">
        <v>46280</v>
      </c>
      <c r="H291" s="23" t="n">
        <f aca="false">ABS(F291-G291)</f>
        <v>0</v>
      </c>
      <c r="I291" s="7" t="n">
        <v>60666.91</v>
      </c>
      <c r="J291" s="7" t="n">
        <v>60666.91</v>
      </c>
      <c r="K291" s="7" t="n">
        <f aca="false">I291-J291</f>
        <v>0</v>
      </c>
      <c r="L291" s="4" t="s">
        <v>1965</v>
      </c>
      <c r="M291" s="4" t="s">
        <v>1966</v>
      </c>
      <c r="N291" s="4"/>
    </row>
    <row r="292" customFormat="false" ht="15" hidden="false" customHeight="false" outlineLevel="0" collapsed="false">
      <c r="A292" s="4" t="s">
        <v>1967</v>
      </c>
      <c r="B292" s="4" t="s">
        <v>539</v>
      </c>
      <c r="C292" s="22" t="n">
        <v>1</v>
      </c>
      <c r="D292" s="16" t="s">
        <v>1968</v>
      </c>
      <c r="E292" s="16" t="s">
        <v>1969</v>
      </c>
      <c r="F292" s="6" t="n">
        <v>46280</v>
      </c>
      <c r="G292" s="6" t="n">
        <v>46280</v>
      </c>
      <c r="H292" s="23" t="n">
        <f aca="false">ABS(F292-G292)</f>
        <v>0</v>
      </c>
      <c r="I292" s="7" t="n">
        <v>31617.76</v>
      </c>
      <c r="J292" s="7" t="n">
        <v>31617.76</v>
      </c>
      <c r="K292" s="7" t="n">
        <f aca="false">I292-J292</f>
        <v>0</v>
      </c>
      <c r="L292" s="4" t="s">
        <v>1970</v>
      </c>
      <c r="M292" s="4" t="s">
        <v>1971</v>
      </c>
      <c r="N292" s="4"/>
    </row>
    <row r="293" customFormat="false" ht="15" hidden="false" customHeight="false" outlineLevel="0" collapsed="false">
      <c r="A293" s="4" t="s">
        <v>1972</v>
      </c>
      <c r="B293" s="4" t="s">
        <v>539</v>
      </c>
      <c r="C293" s="22" t="n">
        <v>1</v>
      </c>
      <c r="D293" s="16" t="s">
        <v>1973</v>
      </c>
      <c r="E293" s="16" t="s">
        <v>1974</v>
      </c>
      <c r="F293" s="6" t="n">
        <v>46281</v>
      </c>
      <c r="G293" s="6" t="n">
        <v>46281</v>
      </c>
      <c r="H293" s="23" t="n">
        <f aca="false">ABS(F293-G293)</f>
        <v>0</v>
      </c>
      <c r="I293" s="7" t="n">
        <v>87771.68</v>
      </c>
      <c r="J293" s="7" t="n">
        <v>87771.68</v>
      </c>
      <c r="K293" s="7" t="n">
        <f aca="false">I293-J293</f>
        <v>0</v>
      </c>
      <c r="L293" s="4" t="s">
        <v>1975</v>
      </c>
      <c r="M293" s="4" t="s">
        <v>1976</v>
      </c>
      <c r="N293" s="4"/>
    </row>
    <row r="294" customFormat="false" ht="15" hidden="false" customHeight="false" outlineLevel="0" collapsed="false">
      <c r="A294" s="4" t="s">
        <v>1977</v>
      </c>
      <c r="B294" s="4" t="s">
        <v>539</v>
      </c>
      <c r="C294" s="22" t="n">
        <v>1</v>
      </c>
      <c r="D294" s="16" t="s">
        <v>1978</v>
      </c>
      <c r="E294" s="16" t="s">
        <v>1979</v>
      </c>
      <c r="F294" s="6" t="n">
        <v>46281</v>
      </c>
      <c r="G294" s="6" t="n">
        <v>46281</v>
      </c>
      <c r="H294" s="23" t="n">
        <f aca="false">ABS(F294-G294)</f>
        <v>0</v>
      </c>
      <c r="I294" s="7" t="n">
        <v>79812.2</v>
      </c>
      <c r="J294" s="7" t="n">
        <v>79812.2</v>
      </c>
      <c r="K294" s="7" t="n">
        <f aca="false">I294-J294</f>
        <v>0</v>
      </c>
      <c r="L294" s="4" t="s">
        <v>1980</v>
      </c>
      <c r="M294" s="4" t="s">
        <v>1981</v>
      </c>
      <c r="N294" s="4"/>
    </row>
    <row r="295" customFormat="false" ht="15" hidden="false" customHeight="false" outlineLevel="0" collapsed="false">
      <c r="A295" s="4" t="s">
        <v>1982</v>
      </c>
      <c r="B295" s="4" t="s">
        <v>539</v>
      </c>
      <c r="C295" s="22" t="n">
        <v>1</v>
      </c>
      <c r="D295" s="16" t="s">
        <v>1983</v>
      </c>
      <c r="E295" s="16" t="s">
        <v>1984</v>
      </c>
      <c r="F295" s="6" t="n">
        <v>46281</v>
      </c>
      <c r="G295" s="6" t="n">
        <v>46281</v>
      </c>
      <c r="H295" s="23" t="n">
        <f aca="false">ABS(F295-G295)</f>
        <v>0</v>
      </c>
      <c r="I295" s="7" t="n">
        <v>66003.62</v>
      </c>
      <c r="J295" s="7" t="n">
        <v>66003.62</v>
      </c>
      <c r="K295" s="7" t="n">
        <f aca="false">I295-J295</f>
        <v>0</v>
      </c>
      <c r="L295" s="4" t="s">
        <v>1985</v>
      </c>
      <c r="M295" s="4" t="s">
        <v>1986</v>
      </c>
      <c r="N295" s="4"/>
    </row>
    <row r="296" customFormat="false" ht="15" hidden="false" customHeight="false" outlineLevel="0" collapsed="false">
      <c r="A296" s="4" t="s">
        <v>1987</v>
      </c>
      <c r="B296" s="4" t="s">
        <v>539</v>
      </c>
      <c r="C296" s="22" t="n">
        <v>1</v>
      </c>
      <c r="D296" s="16" t="s">
        <v>1988</v>
      </c>
      <c r="E296" s="16" t="s">
        <v>1989</v>
      </c>
      <c r="F296" s="6" t="n">
        <v>46281</v>
      </c>
      <c r="G296" s="6" t="n">
        <v>46281</v>
      </c>
      <c r="H296" s="23" t="n">
        <f aca="false">ABS(F296-G296)</f>
        <v>0</v>
      </c>
      <c r="I296" s="7" t="n">
        <v>33367.45</v>
      </c>
      <c r="J296" s="7" t="n">
        <v>33367.45</v>
      </c>
      <c r="K296" s="7" t="n">
        <f aca="false">I296-J296</f>
        <v>0</v>
      </c>
      <c r="L296" s="4" t="s">
        <v>1990</v>
      </c>
      <c r="M296" s="4" t="s">
        <v>1991</v>
      </c>
      <c r="N296" s="4"/>
    </row>
    <row r="297" customFormat="false" ht="15" hidden="false" customHeight="false" outlineLevel="0" collapsed="false">
      <c r="A297" s="4" t="s">
        <v>1992</v>
      </c>
      <c r="B297" s="4" t="s">
        <v>539</v>
      </c>
      <c r="C297" s="22" t="n">
        <v>1</v>
      </c>
      <c r="D297" s="16" t="s">
        <v>1993</v>
      </c>
      <c r="E297" s="16" t="s">
        <v>1994</v>
      </c>
      <c r="F297" s="6" t="n">
        <v>46281</v>
      </c>
      <c r="G297" s="6" t="n">
        <v>46281</v>
      </c>
      <c r="H297" s="23" t="n">
        <f aca="false">ABS(F297-G297)</f>
        <v>0</v>
      </c>
      <c r="I297" s="7" t="n">
        <v>-12313.56</v>
      </c>
      <c r="J297" s="7" t="n">
        <v>-12313.56</v>
      </c>
      <c r="K297" s="7" t="n">
        <f aca="false">I297-J297</f>
        <v>0</v>
      </c>
      <c r="L297" s="4" t="s">
        <v>1995</v>
      </c>
      <c r="M297" s="4" t="s">
        <v>204</v>
      </c>
      <c r="N297" s="4"/>
    </row>
    <row r="298" customFormat="false" ht="15" hidden="false" customHeight="false" outlineLevel="0" collapsed="false">
      <c r="A298" s="4" t="s">
        <v>1996</v>
      </c>
      <c r="B298" s="4" t="s">
        <v>539</v>
      </c>
      <c r="C298" s="22" t="n">
        <v>1</v>
      </c>
      <c r="D298" s="16" t="s">
        <v>1997</v>
      </c>
      <c r="E298" s="16" t="s">
        <v>1998</v>
      </c>
      <c r="F298" s="6" t="n">
        <v>46281</v>
      </c>
      <c r="G298" s="6" t="n">
        <v>46281</v>
      </c>
      <c r="H298" s="23" t="n">
        <f aca="false">ABS(F298-G298)</f>
        <v>0</v>
      </c>
      <c r="I298" s="7" t="n">
        <v>-15300.03</v>
      </c>
      <c r="J298" s="7" t="n">
        <v>-15300.03</v>
      </c>
      <c r="K298" s="7" t="n">
        <f aca="false">I298-J298</f>
        <v>0</v>
      </c>
      <c r="L298" s="4" t="s">
        <v>1999</v>
      </c>
      <c r="M298" s="4" t="s">
        <v>2000</v>
      </c>
      <c r="N298" s="4"/>
    </row>
    <row r="299" customFormat="false" ht="15" hidden="false" customHeight="false" outlineLevel="0" collapsed="false">
      <c r="A299" s="4" t="s">
        <v>2001</v>
      </c>
      <c r="B299" s="4" t="s">
        <v>539</v>
      </c>
      <c r="C299" s="22" t="n">
        <v>1</v>
      </c>
      <c r="D299" s="16" t="s">
        <v>2002</v>
      </c>
      <c r="E299" s="16" t="s">
        <v>2003</v>
      </c>
      <c r="F299" s="6" t="n">
        <v>46282</v>
      </c>
      <c r="G299" s="6" t="n">
        <v>46282</v>
      </c>
      <c r="H299" s="23" t="n">
        <f aca="false">ABS(F299-G299)</f>
        <v>0</v>
      </c>
      <c r="I299" s="7" t="n">
        <v>47404.1</v>
      </c>
      <c r="J299" s="7" t="n">
        <v>47404.1</v>
      </c>
      <c r="K299" s="7" t="n">
        <f aca="false">I299-J299</f>
        <v>0</v>
      </c>
      <c r="L299" s="4" t="s">
        <v>2004</v>
      </c>
      <c r="M299" s="4" t="s">
        <v>2005</v>
      </c>
      <c r="N299" s="4"/>
    </row>
    <row r="300" customFormat="false" ht="15" hidden="false" customHeight="false" outlineLevel="0" collapsed="false">
      <c r="A300" s="4" t="s">
        <v>2006</v>
      </c>
      <c r="B300" s="4" t="s">
        <v>539</v>
      </c>
      <c r="C300" s="22" t="n">
        <v>1</v>
      </c>
      <c r="D300" s="16" t="s">
        <v>2007</v>
      </c>
      <c r="E300" s="16" t="s">
        <v>2008</v>
      </c>
      <c r="F300" s="6" t="n">
        <v>46282</v>
      </c>
      <c r="G300" s="6" t="n">
        <v>46282</v>
      </c>
      <c r="H300" s="23" t="n">
        <f aca="false">ABS(F300-G300)</f>
        <v>0</v>
      </c>
      <c r="I300" s="7" t="n">
        <v>33817.32</v>
      </c>
      <c r="J300" s="7" t="n">
        <v>33817.32</v>
      </c>
      <c r="K300" s="7" t="n">
        <f aca="false">I300-J300</f>
        <v>0</v>
      </c>
      <c r="L300" s="4" t="s">
        <v>2009</v>
      </c>
      <c r="M300" s="4" t="s">
        <v>2010</v>
      </c>
      <c r="N300" s="4"/>
    </row>
    <row r="301" customFormat="false" ht="15" hidden="false" customHeight="false" outlineLevel="0" collapsed="false">
      <c r="A301" s="4" t="s">
        <v>2011</v>
      </c>
      <c r="B301" s="4" t="s">
        <v>539</v>
      </c>
      <c r="C301" s="22" t="n">
        <v>1</v>
      </c>
      <c r="D301" s="16" t="s">
        <v>2012</v>
      </c>
      <c r="E301" s="16" t="s">
        <v>2013</v>
      </c>
      <c r="F301" s="6" t="n">
        <v>46282</v>
      </c>
      <c r="G301" s="6" t="n">
        <v>46282</v>
      </c>
      <c r="H301" s="23" t="n">
        <f aca="false">ABS(F301-G301)</f>
        <v>0</v>
      </c>
      <c r="I301" s="7" t="n">
        <v>9107.02</v>
      </c>
      <c r="J301" s="7" t="n">
        <v>9107.02</v>
      </c>
      <c r="K301" s="7" t="n">
        <f aca="false">I301-J301</f>
        <v>0</v>
      </c>
      <c r="L301" s="4" t="s">
        <v>2014</v>
      </c>
      <c r="M301" s="4" t="s">
        <v>2015</v>
      </c>
      <c r="N301" s="4"/>
    </row>
    <row r="302" customFormat="false" ht="15" hidden="false" customHeight="false" outlineLevel="0" collapsed="false">
      <c r="A302" s="4" t="s">
        <v>2016</v>
      </c>
      <c r="B302" s="4" t="s">
        <v>539</v>
      </c>
      <c r="C302" s="22" t="n">
        <v>1</v>
      </c>
      <c r="D302" s="16" t="s">
        <v>2017</v>
      </c>
      <c r="E302" s="16" t="s">
        <v>2018</v>
      </c>
      <c r="F302" s="6" t="n">
        <v>46282</v>
      </c>
      <c r="G302" s="6" t="n">
        <v>46282</v>
      </c>
      <c r="H302" s="23" t="n">
        <f aca="false">ABS(F302-G302)</f>
        <v>0</v>
      </c>
      <c r="I302" s="7" t="n">
        <v>41202.5</v>
      </c>
      <c r="J302" s="7" t="n">
        <v>41202.5</v>
      </c>
      <c r="K302" s="7" t="n">
        <f aca="false">I302-J302</f>
        <v>0</v>
      </c>
      <c r="L302" s="4" t="s">
        <v>2019</v>
      </c>
      <c r="M302" s="4" t="s">
        <v>2020</v>
      </c>
      <c r="N302" s="4"/>
    </row>
    <row r="303" customFormat="false" ht="15" hidden="false" customHeight="false" outlineLevel="0" collapsed="false">
      <c r="A303" s="4" t="s">
        <v>2021</v>
      </c>
      <c r="B303" s="4" t="s">
        <v>539</v>
      </c>
      <c r="C303" s="22" t="n">
        <v>1</v>
      </c>
      <c r="D303" s="16" t="s">
        <v>2022</v>
      </c>
      <c r="E303" s="16" t="s">
        <v>2023</v>
      </c>
      <c r="F303" s="6" t="n">
        <v>46283</v>
      </c>
      <c r="G303" s="6" t="n">
        <v>46283</v>
      </c>
      <c r="H303" s="23" t="n">
        <f aca="false">ABS(F303-G303)</f>
        <v>0</v>
      </c>
      <c r="I303" s="7" t="n">
        <v>41349.34</v>
      </c>
      <c r="J303" s="7" t="n">
        <v>41349.34</v>
      </c>
      <c r="K303" s="7" t="n">
        <f aca="false">I303-J303</f>
        <v>0</v>
      </c>
      <c r="L303" s="4" t="s">
        <v>2024</v>
      </c>
      <c r="M303" s="4" t="s">
        <v>2025</v>
      </c>
      <c r="N303" s="4"/>
    </row>
    <row r="304" customFormat="false" ht="15" hidden="false" customHeight="false" outlineLevel="0" collapsed="false">
      <c r="A304" s="4" t="s">
        <v>2026</v>
      </c>
      <c r="B304" s="4" t="s">
        <v>539</v>
      </c>
      <c r="C304" s="22" t="n">
        <v>1</v>
      </c>
      <c r="D304" s="16" t="s">
        <v>2027</v>
      </c>
      <c r="E304" s="16" t="s">
        <v>2028</v>
      </c>
      <c r="F304" s="6" t="n">
        <v>46283</v>
      </c>
      <c r="G304" s="6" t="n">
        <v>46283</v>
      </c>
      <c r="H304" s="23" t="n">
        <f aca="false">ABS(F304-G304)</f>
        <v>0</v>
      </c>
      <c r="I304" s="7" t="n">
        <v>27608.42</v>
      </c>
      <c r="J304" s="7" t="n">
        <v>27608.42</v>
      </c>
      <c r="K304" s="7" t="n">
        <f aca="false">I304-J304</f>
        <v>0</v>
      </c>
      <c r="L304" s="4" t="s">
        <v>2029</v>
      </c>
      <c r="M304" s="4" t="s">
        <v>2030</v>
      </c>
      <c r="N304" s="4"/>
    </row>
    <row r="305" customFormat="false" ht="15" hidden="false" customHeight="false" outlineLevel="0" collapsed="false">
      <c r="A305" s="4" t="s">
        <v>2031</v>
      </c>
      <c r="B305" s="4" t="s">
        <v>539</v>
      </c>
      <c r="C305" s="22" t="n">
        <v>1</v>
      </c>
      <c r="D305" s="16" t="s">
        <v>2032</v>
      </c>
      <c r="E305" s="16" t="s">
        <v>2033</v>
      </c>
      <c r="F305" s="6" t="n">
        <v>46283</v>
      </c>
      <c r="G305" s="6" t="n">
        <v>46283</v>
      </c>
      <c r="H305" s="23" t="n">
        <f aca="false">ABS(F305-G305)</f>
        <v>0</v>
      </c>
      <c r="I305" s="7" t="n">
        <v>-22715.17</v>
      </c>
      <c r="J305" s="7" t="n">
        <v>-22715.17</v>
      </c>
      <c r="K305" s="7" t="n">
        <f aca="false">I305-J305</f>
        <v>0</v>
      </c>
      <c r="L305" s="4" t="s">
        <v>2034</v>
      </c>
      <c r="M305" s="4" t="s">
        <v>2035</v>
      </c>
      <c r="N305" s="4"/>
    </row>
    <row r="306" customFormat="false" ht="15" hidden="false" customHeight="false" outlineLevel="0" collapsed="false">
      <c r="A306" s="4" t="s">
        <v>2036</v>
      </c>
      <c r="B306" s="4" t="s">
        <v>539</v>
      </c>
      <c r="C306" s="22" t="n">
        <v>1</v>
      </c>
      <c r="D306" s="16" t="s">
        <v>2037</v>
      </c>
      <c r="E306" s="16" t="s">
        <v>2038</v>
      </c>
      <c r="F306" s="6" t="n">
        <v>46283</v>
      </c>
      <c r="G306" s="6" t="n">
        <v>46283</v>
      </c>
      <c r="H306" s="23" t="n">
        <f aca="false">ABS(F306-G306)</f>
        <v>0</v>
      </c>
      <c r="I306" s="7" t="n">
        <v>-5665.38</v>
      </c>
      <c r="J306" s="7" t="n">
        <v>-5665.38</v>
      </c>
      <c r="K306" s="7" t="n">
        <f aca="false">I306-J306</f>
        <v>0</v>
      </c>
      <c r="L306" s="4" t="s">
        <v>2039</v>
      </c>
      <c r="M306" s="4" t="s">
        <v>2040</v>
      </c>
      <c r="N306" s="4"/>
    </row>
    <row r="307" customFormat="false" ht="15" hidden="false" customHeight="false" outlineLevel="0" collapsed="false">
      <c r="A307" s="4" t="s">
        <v>2041</v>
      </c>
      <c r="B307" s="4" t="s">
        <v>539</v>
      </c>
      <c r="C307" s="22" t="n">
        <v>1</v>
      </c>
      <c r="D307" s="16" t="s">
        <v>2042</v>
      </c>
      <c r="E307" s="16" t="s">
        <v>2043</v>
      </c>
      <c r="F307" s="6" t="n">
        <v>46284</v>
      </c>
      <c r="G307" s="6" t="n">
        <v>46284</v>
      </c>
      <c r="H307" s="23" t="n">
        <f aca="false">ABS(F307-G307)</f>
        <v>0</v>
      </c>
      <c r="I307" s="7" t="n">
        <v>8866.58</v>
      </c>
      <c r="J307" s="7" t="n">
        <v>8866.58</v>
      </c>
      <c r="K307" s="7" t="n">
        <f aca="false">I307-J307</f>
        <v>0</v>
      </c>
      <c r="L307" s="4" t="s">
        <v>2044</v>
      </c>
      <c r="M307" s="4" t="s">
        <v>2045</v>
      </c>
      <c r="N307" s="4"/>
    </row>
    <row r="308" customFormat="false" ht="15" hidden="false" customHeight="false" outlineLevel="0" collapsed="false">
      <c r="A308" s="4" t="s">
        <v>2046</v>
      </c>
      <c r="B308" s="4" t="s">
        <v>539</v>
      </c>
      <c r="C308" s="22" t="n">
        <v>1</v>
      </c>
      <c r="D308" s="16" t="s">
        <v>2047</v>
      </c>
      <c r="E308" s="16" t="s">
        <v>2048</v>
      </c>
      <c r="F308" s="6" t="n">
        <v>46284</v>
      </c>
      <c r="G308" s="6" t="n">
        <v>46284</v>
      </c>
      <c r="H308" s="23" t="n">
        <f aca="false">ABS(F308-G308)</f>
        <v>0</v>
      </c>
      <c r="I308" s="7" t="n">
        <v>37896.07</v>
      </c>
      <c r="J308" s="7" t="n">
        <v>37896.07</v>
      </c>
      <c r="K308" s="7" t="n">
        <f aca="false">I308-J308</f>
        <v>0</v>
      </c>
      <c r="L308" s="4" t="s">
        <v>2049</v>
      </c>
      <c r="M308" s="4" t="s">
        <v>2050</v>
      </c>
      <c r="N308" s="4"/>
    </row>
    <row r="309" customFormat="false" ht="15" hidden="false" customHeight="false" outlineLevel="0" collapsed="false">
      <c r="A309" s="4" t="s">
        <v>2051</v>
      </c>
      <c r="B309" s="4" t="s">
        <v>539</v>
      </c>
      <c r="C309" s="22" t="n">
        <v>1</v>
      </c>
      <c r="D309" s="16" t="s">
        <v>2052</v>
      </c>
      <c r="E309" s="16" t="s">
        <v>2053</v>
      </c>
      <c r="F309" s="6" t="n">
        <v>46284</v>
      </c>
      <c r="G309" s="6" t="n">
        <v>46284</v>
      </c>
      <c r="H309" s="23" t="n">
        <f aca="false">ABS(F309-G309)</f>
        <v>0</v>
      </c>
      <c r="I309" s="7" t="n">
        <v>31797.31</v>
      </c>
      <c r="J309" s="7" t="n">
        <v>31797.31</v>
      </c>
      <c r="K309" s="7" t="n">
        <f aca="false">I309-J309</f>
        <v>0</v>
      </c>
      <c r="L309" s="4" t="s">
        <v>2054</v>
      </c>
      <c r="M309" s="4" t="s">
        <v>2055</v>
      </c>
      <c r="N309" s="4"/>
    </row>
    <row r="310" customFormat="false" ht="15" hidden="false" customHeight="false" outlineLevel="0" collapsed="false">
      <c r="A310" s="4" t="s">
        <v>2056</v>
      </c>
      <c r="B310" s="4" t="s">
        <v>539</v>
      </c>
      <c r="C310" s="22" t="n">
        <v>1</v>
      </c>
      <c r="D310" s="16" t="s">
        <v>2057</v>
      </c>
      <c r="E310" s="16" t="s">
        <v>2058</v>
      </c>
      <c r="F310" s="6" t="n">
        <v>46284</v>
      </c>
      <c r="G310" s="6" t="n">
        <v>46284</v>
      </c>
      <c r="H310" s="23" t="n">
        <f aca="false">ABS(F310-G310)</f>
        <v>0</v>
      </c>
      <c r="I310" s="7" t="n">
        <v>50238.1</v>
      </c>
      <c r="J310" s="7" t="n">
        <v>50238.1</v>
      </c>
      <c r="K310" s="7" t="n">
        <f aca="false">I310-J310</f>
        <v>0</v>
      </c>
      <c r="L310" s="4" t="s">
        <v>2059</v>
      </c>
      <c r="M310" s="4" t="s">
        <v>2060</v>
      </c>
      <c r="N310" s="4"/>
    </row>
    <row r="311" customFormat="false" ht="15" hidden="false" customHeight="false" outlineLevel="0" collapsed="false">
      <c r="A311" s="4" t="s">
        <v>2061</v>
      </c>
      <c r="B311" s="4" t="s">
        <v>539</v>
      </c>
      <c r="C311" s="22" t="n">
        <v>1</v>
      </c>
      <c r="D311" s="16" t="s">
        <v>2062</v>
      </c>
      <c r="E311" s="16" t="s">
        <v>2063</v>
      </c>
      <c r="F311" s="6" t="n">
        <v>46284</v>
      </c>
      <c r="G311" s="6" t="n">
        <v>46284</v>
      </c>
      <c r="H311" s="23" t="n">
        <f aca="false">ABS(F311-G311)</f>
        <v>0</v>
      </c>
      <c r="I311" s="7" t="n">
        <v>-36356.19</v>
      </c>
      <c r="J311" s="7" t="n">
        <v>-36356.19</v>
      </c>
      <c r="K311" s="7" t="n">
        <f aca="false">I311-J311</f>
        <v>0</v>
      </c>
      <c r="L311" s="4" t="s">
        <v>2064</v>
      </c>
      <c r="M311" s="4" t="s">
        <v>2065</v>
      </c>
      <c r="N311" s="4"/>
    </row>
    <row r="312" customFormat="false" ht="15" hidden="false" customHeight="false" outlineLevel="0" collapsed="false">
      <c r="A312" s="4" t="s">
        <v>2066</v>
      </c>
      <c r="B312" s="4" t="s">
        <v>539</v>
      </c>
      <c r="C312" s="22" t="n">
        <v>1</v>
      </c>
      <c r="D312" s="16" t="s">
        <v>2067</v>
      </c>
      <c r="E312" s="16" t="s">
        <v>2068</v>
      </c>
      <c r="F312" s="6" t="n">
        <v>46285</v>
      </c>
      <c r="G312" s="6" t="n">
        <v>46285</v>
      </c>
      <c r="H312" s="23" t="n">
        <f aca="false">ABS(F312-G312)</f>
        <v>0</v>
      </c>
      <c r="I312" s="7" t="n">
        <v>68018.74</v>
      </c>
      <c r="J312" s="7" t="n">
        <v>68018.74</v>
      </c>
      <c r="K312" s="7" t="n">
        <f aca="false">I312-J312</f>
        <v>0</v>
      </c>
      <c r="L312" s="4" t="s">
        <v>2069</v>
      </c>
      <c r="M312" s="4" t="s">
        <v>2070</v>
      </c>
      <c r="N312" s="4"/>
    </row>
    <row r="313" customFormat="false" ht="15" hidden="false" customHeight="false" outlineLevel="0" collapsed="false">
      <c r="A313" s="4" t="s">
        <v>2071</v>
      </c>
      <c r="B313" s="4" t="s">
        <v>539</v>
      </c>
      <c r="C313" s="22" t="n">
        <v>1</v>
      </c>
      <c r="D313" s="16" t="s">
        <v>2072</v>
      </c>
      <c r="E313" s="16" t="s">
        <v>2073</v>
      </c>
      <c r="F313" s="6" t="n">
        <v>46285</v>
      </c>
      <c r="G313" s="6" t="n">
        <v>46285</v>
      </c>
      <c r="H313" s="23" t="n">
        <f aca="false">ABS(F313-G313)</f>
        <v>0</v>
      </c>
      <c r="I313" s="7" t="n">
        <v>6750.54</v>
      </c>
      <c r="J313" s="7" t="n">
        <v>6750.54</v>
      </c>
      <c r="K313" s="7" t="n">
        <f aca="false">I313-J313</f>
        <v>0</v>
      </c>
      <c r="L313" s="4" t="s">
        <v>2074</v>
      </c>
      <c r="M313" s="4" t="s">
        <v>2075</v>
      </c>
      <c r="N313" s="4"/>
    </row>
    <row r="314" customFormat="false" ht="15" hidden="false" customHeight="false" outlineLevel="0" collapsed="false">
      <c r="A314" s="4" t="s">
        <v>2076</v>
      </c>
      <c r="B314" s="4" t="s">
        <v>539</v>
      </c>
      <c r="C314" s="22" t="n">
        <v>1</v>
      </c>
      <c r="D314" s="16" t="s">
        <v>2077</v>
      </c>
      <c r="E314" s="16" t="s">
        <v>2078</v>
      </c>
      <c r="F314" s="6" t="n">
        <v>46285</v>
      </c>
      <c r="G314" s="6" t="n">
        <v>46285</v>
      </c>
      <c r="H314" s="23" t="n">
        <f aca="false">ABS(F314-G314)</f>
        <v>0</v>
      </c>
      <c r="I314" s="7" t="n">
        <v>86822.24</v>
      </c>
      <c r="J314" s="7" t="n">
        <v>86822.24</v>
      </c>
      <c r="K314" s="7" t="n">
        <f aca="false">I314-J314</f>
        <v>0</v>
      </c>
      <c r="L314" s="4" t="s">
        <v>2079</v>
      </c>
      <c r="M314" s="4" t="s">
        <v>2080</v>
      </c>
      <c r="N314" s="4"/>
    </row>
    <row r="315" customFormat="false" ht="15" hidden="false" customHeight="false" outlineLevel="0" collapsed="false">
      <c r="A315" s="4" t="s">
        <v>2081</v>
      </c>
      <c r="B315" s="4" t="s">
        <v>539</v>
      </c>
      <c r="C315" s="22" t="n">
        <v>1</v>
      </c>
      <c r="D315" s="16" t="s">
        <v>2082</v>
      </c>
      <c r="E315" s="16" t="s">
        <v>2083</v>
      </c>
      <c r="F315" s="6" t="n">
        <v>46285</v>
      </c>
      <c r="G315" s="6" t="n">
        <v>46285</v>
      </c>
      <c r="H315" s="23" t="n">
        <f aca="false">ABS(F315-G315)</f>
        <v>0</v>
      </c>
      <c r="I315" s="7" t="n">
        <v>13112.94</v>
      </c>
      <c r="J315" s="7" t="n">
        <v>13112.94</v>
      </c>
      <c r="K315" s="7" t="n">
        <f aca="false">I315-J315</f>
        <v>0</v>
      </c>
      <c r="L315" s="4" t="s">
        <v>2084</v>
      </c>
      <c r="M315" s="4" t="s">
        <v>2085</v>
      </c>
      <c r="N315" s="4"/>
    </row>
    <row r="316" customFormat="false" ht="15" hidden="false" customHeight="false" outlineLevel="0" collapsed="false">
      <c r="A316" s="4" t="s">
        <v>2086</v>
      </c>
      <c r="B316" s="4" t="s">
        <v>539</v>
      </c>
      <c r="C316" s="22" t="n">
        <v>1</v>
      </c>
      <c r="D316" s="16" t="s">
        <v>2087</v>
      </c>
      <c r="E316" s="16" t="s">
        <v>2088</v>
      </c>
      <c r="F316" s="6" t="n">
        <v>46285</v>
      </c>
      <c r="G316" s="6" t="n">
        <v>46285</v>
      </c>
      <c r="H316" s="23" t="n">
        <f aca="false">ABS(F316-G316)</f>
        <v>0</v>
      </c>
      <c r="I316" s="7" t="n">
        <v>59488.21</v>
      </c>
      <c r="J316" s="7" t="n">
        <v>59488.21</v>
      </c>
      <c r="K316" s="7" t="n">
        <f aca="false">I316-J316</f>
        <v>0</v>
      </c>
      <c r="L316" s="4" t="s">
        <v>2089</v>
      </c>
      <c r="M316" s="4" t="s">
        <v>2090</v>
      </c>
      <c r="N316" s="4"/>
    </row>
    <row r="317" customFormat="false" ht="15" hidden="false" customHeight="false" outlineLevel="0" collapsed="false">
      <c r="A317" s="4" t="s">
        <v>2091</v>
      </c>
      <c r="B317" s="4" t="s">
        <v>539</v>
      </c>
      <c r="C317" s="22" t="n">
        <v>1</v>
      </c>
      <c r="D317" s="16" t="s">
        <v>2092</v>
      </c>
      <c r="E317" s="16" t="s">
        <v>2093</v>
      </c>
      <c r="F317" s="6" t="n">
        <v>46285</v>
      </c>
      <c r="G317" s="6" t="n">
        <v>46285</v>
      </c>
      <c r="H317" s="23" t="n">
        <f aca="false">ABS(F317-G317)</f>
        <v>0</v>
      </c>
      <c r="I317" s="7" t="n">
        <v>89197.99</v>
      </c>
      <c r="J317" s="7" t="n">
        <v>89197.99</v>
      </c>
      <c r="K317" s="7" t="n">
        <f aca="false">I317-J317</f>
        <v>0</v>
      </c>
      <c r="L317" s="4" t="s">
        <v>2094</v>
      </c>
      <c r="M317" s="4" t="s">
        <v>2095</v>
      </c>
      <c r="N317" s="4"/>
    </row>
    <row r="318" customFormat="false" ht="15" hidden="false" customHeight="false" outlineLevel="0" collapsed="false">
      <c r="A318" s="4" t="s">
        <v>2096</v>
      </c>
      <c r="B318" s="4" t="s">
        <v>539</v>
      </c>
      <c r="C318" s="22" t="n">
        <v>1</v>
      </c>
      <c r="D318" s="16" t="s">
        <v>2097</v>
      </c>
      <c r="E318" s="16" t="s">
        <v>2098</v>
      </c>
      <c r="F318" s="6" t="n">
        <v>46285</v>
      </c>
      <c r="G318" s="6" t="n">
        <v>46285</v>
      </c>
      <c r="H318" s="23" t="n">
        <f aca="false">ABS(F318-G318)</f>
        <v>0</v>
      </c>
      <c r="I318" s="7" t="n">
        <v>-32059.04</v>
      </c>
      <c r="J318" s="7" t="n">
        <v>-32059.04</v>
      </c>
      <c r="K318" s="7" t="n">
        <f aca="false">I318-J318</f>
        <v>0</v>
      </c>
      <c r="L318" s="4" t="s">
        <v>2099</v>
      </c>
      <c r="M318" s="4" t="s">
        <v>2100</v>
      </c>
      <c r="N318" s="4"/>
    </row>
    <row r="319" customFormat="false" ht="15" hidden="false" customHeight="false" outlineLevel="0" collapsed="false">
      <c r="A319" s="4" t="s">
        <v>2101</v>
      </c>
      <c r="B319" s="4" t="s">
        <v>539</v>
      </c>
      <c r="C319" s="22" t="n">
        <v>1</v>
      </c>
      <c r="D319" s="16" t="s">
        <v>2102</v>
      </c>
      <c r="E319" s="16" t="s">
        <v>2103</v>
      </c>
      <c r="F319" s="6" t="n">
        <v>46286</v>
      </c>
      <c r="G319" s="6" t="n">
        <v>46286</v>
      </c>
      <c r="H319" s="23" t="n">
        <f aca="false">ABS(F319-G319)</f>
        <v>0</v>
      </c>
      <c r="I319" s="7" t="n">
        <v>63073.98</v>
      </c>
      <c r="J319" s="7" t="n">
        <v>63073.98</v>
      </c>
      <c r="K319" s="7" t="n">
        <f aca="false">I319-J319</f>
        <v>0</v>
      </c>
      <c r="L319" s="4" t="s">
        <v>2104</v>
      </c>
      <c r="M319" s="4" t="s">
        <v>2105</v>
      </c>
      <c r="N319" s="4"/>
    </row>
    <row r="320" customFormat="false" ht="15" hidden="false" customHeight="false" outlineLevel="0" collapsed="false">
      <c r="A320" s="4" t="s">
        <v>2106</v>
      </c>
      <c r="B320" s="4" t="s">
        <v>539</v>
      </c>
      <c r="C320" s="22" t="n">
        <v>1</v>
      </c>
      <c r="D320" s="16" t="s">
        <v>2107</v>
      </c>
      <c r="E320" s="16" t="s">
        <v>2108</v>
      </c>
      <c r="F320" s="6" t="n">
        <v>46286</v>
      </c>
      <c r="G320" s="6" t="n">
        <v>46286</v>
      </c>
      <c r="H320" s="23" t="n">
        <f aca="false">ABS(F320-G320)</f>
        <v>0</v>
      </c>
      <c r="I320" s="7" t="n">
        <v>68429.13</v>
      </c>
      <c r="J320" s="7" t="n">
        <v>68429.13</v>
      </c>
      <c r="K320" s="7" t="n">
        <f aca="false">I320-J320</f>
        <v>0</v>
      </c>
      <c r="L320" s="4" t="s">
        <v>2109</v>
      </c>
      <c r="M320" s="4" t="s">
        <v>2110</v>
      </c>
      <c r="N320" s="4"/>
    </row>
    <row r="321" customFormat="false" ht="15" hidden="false" customHeight="false" outlineLevel="0" collapsed="false">
      <c r="A321" s="4" t="s">
        <v>2111</v>
      </c>
      <c r="B321" s="4" t="s">
        <v>539</v>
      </c>
      <c r="C321" s="22" t="n">
        <v>1</v>
      </c>
      <c r="D321" s="16" t="s">
        <v>2112</v>
      </c>
      <c r="E321" s="16" t="s">
        <v>2113</v>
      </c>
      <c r="F321" s="6" t="n">
        <v>46286</v>
      </c>
      <c r="G321" s="6" t="n">
        <v>46286</v>
      </c>
      <c r="H321" s="23" t="n">
        <f aca="false">ABS(F321-G321)</f>
        <v>0</v>
      </c>
      <c r="I321" s="7" t="n">
        <v>59761.61</v>
      </c>
      <c r="J321" s="7" t="n">
        <v>59761.61</v>
      </c>
      <c r="K321" s="7" t="n">
        <f aca="false">I321-J321</f>
        <v>0</v>
      </c>
      <c r="L321" s="4" t="s">
        <v>2114</v>
      </c>
      <c r="M321" s="4" t="s">
        <v>2115</v>
      </c>
      <c r="N321" s="4"/>
    </row>
    <row r="322" customFormat="false" ht="15" hidden="false" customHeight="false" outlineLevel="0" collapsed="false">
      <c r="A322" s="4" t="s">
        <v>2116</v>
      </c>
      <c r="B322" s="4" t="s">
        <v>539</v>
      </c>
      <c r="C322" s="22" t="n">
        <v>1</v>
      </c>
      <c r="D322" s="16" t="s">
        <v>2117</v>
      </c>
      <c r="E322" s="16" t="s">
        <v>2118</v>
      </c>
      <c r="F322" s="6" t="n">
        <v>46286</v>
      </c>
      <c r="G322" s="6" t="n">
        <v>46286</v>
      </c>
      <c r="H322" s="23" t="n">
        <f aca="false">ABS(F322-G322)</f>
        <v>0</v>
      </c>
      <c r="I322" s="7" t="n">
        <v>12003.29</v>
      </c>
      <c r="J322" s="7" t="n">
        <v>12003.29</v>
      </c>
      <c r="K322" s="7" t="n">
        <f aca="false">I322-J322</f>
        <v>0</v>
      </c>
      <c r="L322" s="4" t="s">
        <v>2119</v>
      </c>
      <c r="M322" s="4" t="s">
        <v>2120</v>
      </c>
      <c r="N322" s="4"/>
    </row>
    <row r="323" customFormat="false" ht="15" hidden="false" customHeight="false" outlineLevel="0" collapsed="false">
      <c r="A323" s="4" t="s">
        <v>2121</v>
      </c>
      <c r="B323" s="4" t="s">
        <v>539</v>
      </c>
      <c r="C323" s="22" t="n">
        <v>1</v>
      </c>
      <c r="D323" s="16" t="s">
        <v>2122</v>
      </c>
      <c r="E323" s="16" t="s">
        <v>2123</v>
      </c>
      <c r="F323" s="6" t="n">
        <v>46286</v>
      </c>
      <c r="G323" s="6" t="n">
        <v>46286</v>
      </c>
      <c r="H323" s="23" t="n">
        <f aca="false">ABS(F323-G323)</f>
        <v>0</v>
      </c>
      <c r="I323" s="7" t="n">
        <v>65522.88</v>
      </c>
      <c r="J323" s="7" t="n">
        <v>65522.88</v>
      </c>
      <c r="K323" s="7" t="n">
        <f aca="false">I323-J323</f>
        <v>0</v>
      </c>
      <c r="L323" s="4" t="s">
        <v>2124</v>
      </c>
      <c r="M323" s="4" t="s">
        <v>2125</v>
      </c>
      <c r="N323" s="4"/>
    </row>
    <row r="324" customFormat="false" ht="15" hidden="false" customHeight="false" outlineLevel="0" collapsed="false">
      <c r="A324" s="4" t="s">
        <v>2126</v>
      </c>
      <c r="B324" s="4" t="s">
        <v>539</v>
      </c>
      <c r="C324" s="22" t="n">
        <v>1</v>
      </c>
      <c r="D324" s="16" t="s">
        <v>2127</v>
      </c>
      <c r="E324" s="16" t="s">
        <v>2128</v>
      </c>
      <c r="F324" s="6" t="n">
        <v>46286</v>
      </c>
      <c r="G324" s="6" t="n">
        <v>46286</v>
      </c>
      <c r="H324" s="23" t="n">
        <f aca="false">ABS(F324-G324)</f>
        <v>0</v>
      </c>
      <c r="I324" s="7" t="n">
        <v>-30047.68</v>
      </c>
      <c r="J324" s="7" t="n">
        <v>-30047.68</v>
      </c>
      <c r="K324" s="7" t="n">
        <f aca="false">I324-J324</f>
        <v>0</v>
      </c>
      <c r="L324" s="4" t="s">
        <v>2129</v>
      </c>
      <c r="M324" s="4" t="s">
        <v>2130</v>
      </c>
      <c r="N324" s="4"/>
    </row>
    <row r="325" customFormat="false" ht="15" hidden="false" customHeight="false" outlineLevel="0" collapsed="false">
      <c r="A325" s="4" t="s">
        <v>2131</v>
      </c>
      <c r="B325" s="4" t="s">
        <v>539</v>
      </c>
      <c r="C325" s="22" t="n">
        <v>1</v>
      </c>
      <c r="D325" s="16" t="s">
        <v>2132</v>
      </c>
      <c r="E325" s="16" t="s">
        <v>2133</v>
      </c>
      <c r="F325" s="6" t="n">
        <v>46287</v>
      </c>
      <c r="G325" s="6" t="n">
        <v>46287</v>
      </c>
      <c r="H325" s="23" t="n">
        <f aca="false">ABS(F325-G325)</f>
        <v>0</v>
      </c>
      <c r="I325" s="7" t="n">
        <v>4310.35</v>
      </c>
      <c r="J325" s="7" t="n">
        <v>4310.35</v>
      </c>
      <c r="K325" s="7" t="n">
        <f aca="false">I325-J325</f>
        <v>0</v>
      </c>
      <c r="L325" s="4" t="s">
        <v>2134</v>
      </c>
      <c r="M325" s="4" t="s">
        <v>2135</v>
      </c>
      <c r="N325" s="4"/>
    </row>
    <row r="326" customFormat="false" ht="15" hidden="false" customHeight="false" outlineLevel="0" collapsed="false">
      <c r="A326" s="4" t="s">
        <v>2136</v>
      </c>
      <c r="B326" s="4" t="s">
        <v>539</v>
      </c>
      <c r="C326" s="22" t="n">
        <v>1</v>
      </c>
      <c r="D326" s="16" t="s">
        <v>2137</v>
      </c>
      <c r="E326" s="16" t="s">
        <v>2138</v>
      </c>
      <c r="F326" s="6" t="n">
        <v>46287</v>
      </c>
      <c r="G326" s="6" t="n">
        <v>46287</v>
      </c>
      <c r="H326" s="23" t="n">
        <f aca="false">ABS(F326-G326)</f>
        <v>0</v>
      </c>
      <c r="I326" s="7" t="n">
        <v>72909.69</v>
      </c>
      <c r="J326" s="7" t="n">
        <v>72909.69</v>
      </c>
      <c r="K326" s="7" t="n">
        <f aca="false">I326-J326</f>
        <v>0</v>
      </c>
      <c r="L326" s="4" t="s">
        <v>2139</v>
      </c>
      <c r="M326" s="4" t="s">
        <v>2140</v>
      </c>
      <c r="N326" s="4"/>
    </row>
    <row r="327" customFormat="false" ht="15" hidden="false" customHeight="false" outlineLevel="0" collapsed="false">
      <c r="A327" s="4" t="s">
        <v>2141</v>
      </c>
      <c r="B327" s="4" t="s">
        <v>539</v>
      </c>
      <c r="C327" s="22" t="n">
        <v>1</v>
      </c>
      <c r="D327" s="16" t="s">
        <v>2142</v>
      </c>
      <c r="E327" s="16" t="s">
        <v>2143</v>
      </c>
      <c r="F327" s="6" t="n">
        <v>46287</v>
      </c>
      <c r="G327" s="6" t="n">
        <v>46287</v>
      </c>
      <c r="H327" s="23" t="n">
        <f aca="false">ABS(F327-G327)</f>
        <v>0</v>
      </c>
      <c r="I327" s="7" t="n">
        <v>87095.62</v>
      </c>
      <c r="J327" s="7" t="n">
        <v>87095.62</v>
      </c>
      <c r="K327" s="7" t="n">
        <f aca="false">I327-J327</f>
        <v>0</v>
      </c>
      <c r="L327" s="4" t="s">
        <v>2144</v>
      </c>
      <c r="M327" s="4" t="s">
        <v>2145</v>
      </c>
      <c r="N327" s="4"/>
    </row>
    <row r="328" customFormat="false" ht="15" hidden="false" customHeight="false" outlineLevel="0" collapsed="false">
      <c r="A328" s="4" t="s">
        <v>2146</v>
      </c>
      <c r="B328" s="4" t="s">
        <v>539</v>
      </c>
      <c r="C328" s="22" t="n">
        <v>1</v>
      </c>
      <c r="D328" s="16" t="s">
        <v>2147</v>
      </c>
      <c r="E328" s="16" t="s">
        <v>2148</v>
      </c>
      <c r="F328" s="6" t="n">
        <v>46287</v>
      </c>
      <c r="G328" s="6" t="n">
        <v>46287</v>
      </c>
      <c r="H328" s="23" t="n">
        <f aca="false">ABS(F328-G328)</f>
        <v>0</v>
      </c>
      <c r="I328" s="7" t="n">
        <v>-11073.96</v>
      </c>
      <c r="J328" s="7" t="n">
        <v>-11073.96</v>
      </c>
      <c r="K328" s="7" t="n">
        <f aca="false">I328-J328</f>
        <v>0</v>
      </c>
      <c r="L328" s="4" t="s">
        <v>2149</v>
      </c>
      <c r="M328" s="4" t="s">
        <v>2150</v>
      </c>
      <c r="N328" s="4"/>
    </row>
    <row r="329" customFormat="false" ht="15" hidden="false" customHeight="false" outlineLevel="0" collapsed="false">
      <c r="A329" s="4" t="s">
        <v>2151</v>
      </c>
      <c r="B329" s="4" t="s">
        <v>539</v>
      </c>
      <c r="C329" s="22" t="n">
        <v>1</v>
      </c>
      <c r="D329" s="16" t="s">
        <v>2152</v>
      </c>
      <c r="E329" s="16" t="s">
        <v>2153</v>
      </c>
      <c r="F329" s="6" t="n">
        <v>46288</v>
      </c>
      <c r="G329" s="6" t="n">
        <v>46288</v>
      </c>
      <c r="H329" s="23" t="n">
        <f aca="false">ABS(F329-G329)</f>
        <v>0</v>
      </c>
      <c r="I329" s="7" t="n">
        <v>16919.45</v>
      </c>
      <c r="J329" s="7" t="n">
        <v>16919.45</v>
      </c>
      <c r="K329" s="7" t="n">
        <f aca="false">I329-J329</f>
        <v>0</v>
      </c>
      <c r="L329" s="4" t="s">
        <v>2154</v>
      </c>
      <c r="M329" s="4" t="s">
        <v>2155</v>
      </c>
      <c r="N329" s="4"/>
    </row>
    <row r="330" customFormat="false" ht="15" hidden="false" customHeight="false" outlineLevel="0" collapsed="false">
      <c r="A330" s="4" t="s">
        <v>2156</v>
      </c>
      <c r="B330" s="4" t="s">
        <v>539</v>
      </c>
      <c r="C330" s="22" t="n">
        <v>1</v>
      </c>
      <c r="D330" s="16" t="s">
        <v>2157</v>
      </c>
      <c r="E330" s="16" t="s">
        <v>2158</v>
      </c>
      <c r="F330" s="6" t="n">
        <v>46288</v>
      </c>
      <c r="G330" s="6" t="n">
        <v>46288</v>
      </c>
      <c r="H330" s="23" t="n">
        <f aca="false">ABS(F330-G330)</f>
        <v>0</v>
      </c>
      <c r="I330" s="7" t="n">
        <v>40659.71</v>
      </c>
      <c r="J330" s="7" t="n">
        <v>40659.71</v>
      </c>
      <c r="K330" s="7" t="n">
        <f aca="false">I330-J330</f>
        <v>0</v>
      </c>
      <c r="L330" s="4" t="s">
        <v>2159</v>
      </c>
      <c r="M330" s="4" t="s">
        <v>2160</v>
      </c>
      <c r="N330" s="4"/>
    </row>
    <row r="331" customFormat="false" ht="15" hidden="false" customHeight="false" outlineLevel="0" collapsed="false">
      <c r="A331" s="4" t="s">
        <v>2161</v>
      </c>
      <c r="B331" s="4" t="s">
        <v>539</v>
      </c>
      <c r="C331" s="22" t="n">
        <v>1</v>
      </c>
      <c r="D331" s="16" t="s">
        <v>2162</v>
      </c>
      <c r="E331" s="16" t="s">
        <v>2163</v>
      </c>
      <c r="F331" s="6" t="n">
        <v>46288</v>
      </c>
      <c r="G331" s="6" t="n">
        <v>46288</v>
      </c>
      <c r="H331" s="23" t="n">
        <f aca="false">ABS(F331-G331)</f>
        <v>0</v>
      </c>
      <c r="I331" s="7" t="n">
        <v>57635.37</v>
      </c>
      <c r="J331" s="7" t="n">
        <v>57635.37</v>
      </c>
      <c r="K331" s="7" t="n">
        <f aca="false">I331-J331</f>
        <v>0</v>
      </c>
      <c r="L331" s="4" t="s">
        <v>2164</v>
      </c>
      <c r="M331" s="4" t="s">
        <v>2165</v>
      </c>
      <c r="N331" s="4"/>
    </row>
    <row r="332" customFormat="false" ht="15" hidden="false" customHeight="false" outlineLevel="0" collapsed="false">
      <c r="A332" s="4" t="s">
        <v>2166</v>
      </c>
      <c r="B332" s="4" t="s">
        <v>539</v>
      </c>
      <c r="C332" s="22" t="n">
        <v>1</v>
      </c>
      <c r="D332" s="16" t="s">
        <v>2167</v>
      </c>
      <c r="E332" s="16" t="s">
        <v>2168</v>
      </c>
      <c r="F332" s="6" t="n">
        <v>46288</v>
      </c>
      <c r="G332" s="6" t="n">
        <v>46288</v>
      </c>
      <c r="H332" s="23" t="n">
        <f aca="false">ABS(F332-G332)</f>
        <v>0</v>
      </c>
      <c r="I332" s="7" t="n">
        <v>-19601.71</v>
      </c>
      <c r="J332" s="7" t="n">
        <v>-19601.71</v>
      </c>
      <c r="K332" s="7" t="n">
        <f aca="false">I332-J332</f>
        <v>0</v>
      </c>
      <c r="L332" s="4" t="s">
        <v>2169</v>
      </c>
      <c r="M332" s="4" t="s">
        <v>2170</v>
      </c>
      <c r="N332" s="4"/>
    </row>
    <row r="333" customFormat="false" ht="15" hidden="false" customHeight="false" outlineLevel="0" collapsed="false">
      <c r="A333" s="4" t="s">
        <v>2171</v>
      </c>
      <c r="B333" s="4" t="s">
        <v>539</v>
      </c>
      <c r="C333" s="22" t="n">
        <v>1</v>
      </c>
      <c r="D333" s="16" t="s">
        <v>2172</v>
      </c>
      <c r="E333" s="16" t="s">
        <v>2173</v>
      </c>
      <c r="F333" s="6" t="n">
        <v>46288</v>
      </c>
      <c r="G333" s="6" t="n">
        <v>46288</v>
      </c>
      <c r="H333" s="23" t="n">
        <f aca="false">ABS(F333-G333)</f>
        <v>0</v>
      </c>
      <c r="I333" s="7" t="n">
        <v>-17353.78</v>
      </c>
      <c r="J333" s="7" t="n">
        <v>-17353.78</v>
      </c>
      <c r="K333" s="7" t="n">
        <f aca="false">I333-J333</f>
        <v>0</v>
      </c>
      <c r="L333" s="4" t="s">
        <v>2174</v>
      </c>
      <c r="M333" s="4" t="s">
        <v>2175</v>
      </c>
      <c r="N333" s="4"/>
    </row>
    <row r="334" customFormat="false" ht="15" hidden="false" customHeight="false" outlineLevel="0" collapsed="false">
      <c r="A334" s="4" t="s">
        <v>2176</v>
      </c>
      <c r="B334" s="4" t="s">
        <v>539</v>
      </c>
      <c r="C334" s="22" t="n">
        <v>1</v>
      </c>
      <c r="D334" s="16" t="s">
        <v>2177</v>
      </c>
      <c r="E334" s="16" t="s">
        <v>2178</v>
      </c>
      <c r="F334" s="6" t="n">
        <v>46288</v>
      </c>
      <c r="G334" s="6" t="n">
        <v>46288</v>
      </c>
      <c r="H334" s="23" t="n">
        <f aca="false">ABS(F334-G334)</f>
        <v>0</v>
      </c>
      <c r="I334" s="7" t="n">
        <v>-49620.57</v>
      </c>
      <c r="J334" s="7" t="n">
        <v>-49620.57</v>
      </c>
      <c r="K334" s="7" t="n">
        <f aca="false">I334-J334</f>
        <v>0</v>
      </c>
      <c r="L334" s="4" t="s">
        <v>2179</v>
      </c>
      <c r="M334" s="4" t="s">
        <v>2180</v>
      </c>
      <c r="N334" s="4"/>
    </row>
    <row r="335" customFormat="false" ht="15" hidden="false" customHeight="false" outlineLevel="0" collapsed="false">
      <c r="A335" s="4" t="s">
        <v>2181</v>
      </c>
      <c r="B335" s="4" t="s">
        <v>539</v>
      </c>
      <c r="C335" s="22" t="n">
        <v>1</v>
      </c>
      <c r="D335" s="16" t="s">
        <v>2182</v>
      </c>
      <c r="E335" s="16" t="s">
        <v>2183</v>
      </c>
      <c r="F335" s="6" t="n">
        <v>46288</v>
      </c>
      <c r="G335" s="6" t="n">
        <v>46288</v>
      </c>
      <c r="H335" s="23" t="n">
        <f aca="false">ABS(F335-G335)</f>
        <v>0</v>
      </c>
      <c r="I335" s="7" t="n">
        <v>-18492.84</v>
      </c>
      <c r="J335" s="7" t="n">
        <v>-18492.84</v>
      </c>
      <c r="K335" s="7" t="n">
        <f aca="false">I335-J335</f>
        <v>0</v>
      </c>
      <c r="L335" s="4" t="s">
        <v>2184</v>
      </c>
      <c r="M335" s="4" t="s">
        <v>2185</v>
      </c>
      <c r="N335" s="4"/>
    </row>
    <row r="336" customFormat="false" ht="15" hidden="false" customHeight="false" outlineLevel="0" collapsed="false">
      <c r="A336" s="4" t="s">
        <v>2186</v>
      </c>
      <c r="B336" s="4" t="s">
        <v>539</v>
      </c>
      <c r="C336" s="22" t="n">
        <v>1</v>
      </c>
      <c r="D336" s="16" t="s">
        <v>2187</v>
      </c>
      <c r="E336" s="16" t="s">
        <v>2188</v>
      </c>
      <c r="F336" s="6" t="n">
        <v>46289</v>
      </c>
      <c r="G336" s="6" t="n">
        <v>46289</v>
      </c>
      <c r="H336" s="23" t="n">
        <f aca="false">ABS(F336-G336)</f>
        <v>0</v>
      </c>
      <c r="I336" s="7" t="n">
        <v>80922.81</v>
      </c>
      <c r="J336" s="7" t="n">
        <v>80922.81</v>
      </c>
      <c r="K336" s="7" t="n">
        <f aca="false">I336-J336</f>
        <v>0</v>
      </c>
      <c r="L336" s="4" t="s">
        <v>2189</v>
      </c>
      <c r="M336" s="4" t="s">
        <v>2190</v>
      </c>
      <c r="N336" s="4"/>
    </row>
    <row r="337" customFormat="false" ht="15" hidden="false" customHeight="false" outlineLevel="0" collapsed="false">
      <c r="A337" s="4" t="s">
        <v>2191</v>
      </c>
      <c r="B337" s="4" t="s">
        <v>539</v>
      </c>
      <c r="C337" s="22" t="n">
        <v>1</v>
      </c>
      <c r="D337" s="16" t="s">
        <v>2192</v>
      </c>
      <c r="E337" s="16" t="s">
        <v>2193</v>
      </c>
      <c r="F337" s="6" t="n">
        <v>46289</v>
      </c>
      <c r="G337" s="6" t="n">
        <v>46289</v>
      </c>
      <c r="H337" s="23" t="n">
        <f aca="false">ABS(F337-G337)</f>
        <v>0</v>
      </c>
      <c r="I337" s="7" t="n">
        <v>26915.24</v>
      </c>
      <c r="J337" s="7" t="n">
        <v>26915.24</v>
      </c>
      <c r="K337" s="7" t="n">
        <f aca="false">I337-J337</f>
        <v>0</v>
      </c>
      <c r="L337" s="4" t="s">
        <v>2194</v>
      </c>
      <c r="M337" s="4" t="s">
        <v>2195</v>
      </c>
      <c r="N337" s="4"/>
    </row>
    <row r="338" customFormat="false" ht="15" hidden="false" customHeight="false" outlineLevel="0" collapsed="false">
      <c r="A338" s="4" t="s">
        <v>2196</v>
      </c>
      <c r="B338" s="4" t="s">
        <v>539</v>
      </c>
      <c r="C338" s="22" t="n">
        <v>1</v>
      </c>
      <c r="D338" s="16" t="s">
        <v>2197</v>
      </c>
      <c r="E338" s="16" t="s">
        <v>2198</v>
      </c>
      <c r="F338" s="6" t="n">
        <v>46289</v>
      </c>
      <c r="G338" s="6" t="n">
        <v>46289</v>
      </c>
      <c r="H338" s="23" t="n">
        <f aca="false">ABS(F338-G338)</f>
        <v>0</v>
      </c>
      <c r="I338" s="7" t="n">
        <v>3858.13</v>
      </c>
      <c r="J338" s="7" t="n">
        <v>3858.13</v>
      </c>
      <c r="K338" s="7" t="n">
        <f aca="false">I338-J338</f>
        <v>0</v>
      </c>
      <c r="L338" s="4" t="s">
        <v>2199</v>
      </c>
      <c r="M338" s="4" t="s">
        <v>2200</v>
      </c>
      <c r="N338" s="4"/>
    </row>
    <row r="339" customFormat="false" ht="15" hidden="false" customHeight="false" outlineLevel="0" collapsed="false">
      <c r="A339" s="4" t="s">
        <v>2201</v>
      </c>
      <c r="B339" s="4" t="s">
        <v>539</v>
      </c>
      <c r="C339" s="22" t="n">
        <v>1</v>
      </c>
      <c r="D339" s="16" t="s">
        <v>2202</v>
      </c>
      <c r="E339" s="16" t="s">
        <v>2203</v>
      </c>
      <c r="F339" s="6" t="n">
        <v>46289</v>
      </c>
      <c r="G339" s="6" t="n">
        <v>46289</v>
      </c>
      <c r="H339" s="23" t="n">
        <f aca="false">ABS(F339-G339)</f>
        <v>0</v>
      </c>
      <c r="I339" s="7" t="n">
        <v>-35378.93</v>
      </c>
      <c r="J339" s="7" t="n">
        <v>-35378.93</v>
      </c>
      <c r="K339" s="7" t="n">
        <f aca="false">I339-J339</f>
        <v>0</v>
      </c>
      <c r="L339" s="4" t="s">
        <v>2204</v>
      </c>
      <c r="M339" s="4" t="s">
        <v>2205</v>
      </c>
      <c r="N339" s="4"/>
    </row>
    <row r="340" customFormat="false" ht="15" hidden="false" customHeight="false" outlineLevel="0" collapsed="false">
      <c r="A340" s="4" t="s">
        <v>2206</v>
      </c>
      <c r="B340" s="4" t="s">
        <v>539</v>
      </c>
      <c r="C340" s="22" t="n">
        <v>1</v>
      </c>
      <c r="D340" s="16" t="s">
        <v>2207</v>
      </c>
      <c r="E340" s="16" t="s">
        <v>2208</v>
      </c>
      <c r="F340" s="6" t="n">
        <v>46289</v>
      </c>
      <c r="G340" s="6" t="n">
        <v>46289</v>
      </c>
      <c r="H340" s="23" t="n">
        <f aca="false">ABS(F340-G340)</f>
        <v>0</v>
      </c>
      <c r="I340" s="7" t="n">
        <v>-2577.49</v>
      </c>
      <c r="J340" s="7" t="n">
        <v>-2577.49</v>
      </c>
      <c r="K340" s="7" t="n">
        <f aca="false">I340-J340</f>
        <v>0</v>
      </c>
      <c r="L340" s="4" t="s">
        <v>2209</v>
      </c>
      <c r="M340" s="4" t="s">
        <v>2210</v>
      </c>
      <c r="N340" s="4"/>
    </row>
    <row r="341" customFormat="false" ht="15" hidden="false" customHeight="false" outlineLevel="0" collapsed="false">
      <c r="A341" s="4" t="s">
        <v>2211</v>
      </c>
      <c r="B341" s="4" t="s">
        <v>539</v>
      </c>
      <c r="C341" s="22" t="n">
        <v>0.995</v>
      </c>
      <c r="D341" s="16" t="s">
        <v>2212</v>
      </c>
      <c r="E341" s="16" t="s">
        <v>2213</v>
      </c>
      <c r="F341" s="6" t="n">
        <v>46205</v>
      </c>
      <c r="G341" s="6" t="n">
        <v>46204</v>
      </c>
      <c r="H341" s="23" t="n">
        <f aca="false">ABS(F341-G341)</f>
        <v>1</v>
      </c>
      <c r="I341" s="7" t="n">
        <v>80301.26</v>
      </c>
      <c r="J341" s="7" t="n">
        <v>80301.26</v>
      </c>
      <c r="K341" s="7" t="n">
        <f aca="false">I341-J341</f>
        <v>0</v>
      </c>
      <c r="L341" s="4" t="s">
        <v>2214</v>
      </c>
      <c r="M341" s="4" t="s">
        <v>2215</v>
      </c>
      <c r="N341" s="4"/>
    </row>
    <row r="342" customFormat="false" ht="15" hidden="false" customHeight="false" outlineLevel="0" collapsed="false">
      <c r="A342" s="4" t="s">
        <v>2216</v>
      </c>
      <c r="B342" s="4" t="s">
        <v>539</v>
      </c>
      <c r="C342" s="22" t="n">
        <v>0.995</v>
      </c>
      <c r="D342" s="16" t="s">
        <v>2217</v>
      </c>
      <c r="E342" s="16" t="s">
        <v>2218</v>
      </c>
      <c r="F342" s="6" t="n">
        <v>46205</v>
      </c>
      <c r="G342" s="6" t="n">
        <v>46204</v>
      </c>
      <c r="H342" s="23" t="n">
        <f aca="false">ABS(F342-G342)</f>
        <v>1</v>
      </c>
      <c r="I342" s="7" t="n">
        <v>39464.96</v>
      </c>
      <c r="J342" s="7" t="n">
        <v>39464.96</v>
      </c>
      <c r="K342" s="7" t="n">
        <f aca="false">I342-J342</f>
        <v>0</v>
      </c>
      <c r="L342" s="4" t="s">
        <v>2219</v>
      </c>
      <c r="M342" s="4" t="s">
        <v>2220</v>
      </c>
      <c r="N342" s="4"/>
    </row>
    <row r="343" customFormat="false" ht="15" hidden="false" customHeight="false" outlineLevel="0" collapsed="false">
      <c r="A343" s="4" t="s">
        <v>2221</v>
      </c>
      <c r="B343" s="4" t="s">
        <v>539</v>
      </c>
      <c r="C343" s="22" t="n">
        <v>0.995</v>
      </c>
      <c r="D343" s="16" t="s">
        <v>2222</v>
      </c>
      <c r="E343" s="16" t="s">
        <v>2223</v>
      </c>
      <c r="F343" s="6" t="n">
        <v>46205</v>
      </c>
      <c r="G343" s="6" t="n">
        <v>46204</v>
      </c>
      <c r="H343" s="23" t="n">
        <f aca="false">ABS(F343-G343)</f>
        <v>1</v>
      </c>
      <c r="I343" s="7" t="n">
        <v>40257.56</v>
      </c>
      <c r="J343" s="7" t="n">
        <v>40257.56</v>
      </c>
      <c r="K343" s="7" t="n">
        <f aca="false">I343-J343</f>
        <v>0</v>
      </c>
      <c r="L343" s="4" t="s">
        <v>2224</v>
      </c>
      <c r="M343" s="4" t="s">
        <v>2225</v>
      </c>
      <c r="N343" s="4"/>
    </row>
    <row r="344" customFormat="false" ht="15" hidden="false" customHeight="false" outlineLevel="0" collapsed="false">
      <c r="A344" s="4" t="s">
        <v>2226</v>
      </c>
      <c r="B344" s="4" t="s">
        <v>539</v>
      </c>
      <c r="C344" s="22" t="n">
        <v>0.995</v>
      </c>
      <c r="D344" s="16" t="s">
        <v>2227</v>
      </c>
      <c r="E344" s="16" t="s">
        <v>2228</v>
      </c>
      <c r="F344" s="6" t="n">
        <v>46205</v>
      </c>
      <c r="G344" s="6" t="n">
        <v>46204</v>
      </c>
      <c r="H344" s="23" t="n">
        <f aca="false">ABS(F344-G344)</f>
        <v>1</v>
      </c>
      <c r="I344" s="7" t="n">
        <v>92963.64</v>
      </c>
      <c r="J344" s="7" t="n">
        <v>92963.64</v>
      </c>
      <c r="K344" s="7" t="n">
        <f aca="false">I344-J344</f>
        <v>0</v>
      </c>
      <c r="L344" s="4" t="s">
        <v>2229</v>
      </c>
      <c r="M344" s="4" t="s">
        <v>2230</v>
      </c>
      <c r="N344" s="4"/>
    </row>
    <row r="345" customFormat="false" ht="15" hidden="false" customHeight="false" outlineLevel="0" collapsed="false">
      <c r="A345" s="4" t="s">
        <v>2231</v>
      </c>
      <c r="B345" s="4" t="s">
        <v>539</v>
      </c>
      <c r="C345" s="22" t="n">
        <v>0.995</v>
      </c>
      <c r="D345" s="16" t="s">
        <v>2232</v>
      </c>
      <c r="E345" s="16" t="s">
        <v>2233</v>
      </c>
      <c r="F345" s="6" t="n">
        <v>46205</v>
      </c>
      <c r="G345" s="6" t="n">
        <v>46204</v>
      </c>
      <c r="H345" s="23" t="n">
        <f aca="false">ABS(F345-G345)</f>
        <v>1</v>
      </c>
      <c r="I345" s="7" t="n">
        <v>29064.46</v>
      </c>
      <c r="J345" s="7" t="n">
        <v>29064.46</v>
      </c>
      <c r="K345" s="7" t="n">
        <f aca="false">I345-J345</f>
        <v>0</v>
      </c>
      <c r="L345" s="4" t="s">
        <v>2234</v>
      </c>
      <c r="M345" s="4" t="s">
        <v>2235</v>
      </c>
      <c r="N345" s="4"/>
    </row>
    <row r="346" customFormat="false" ht="15" hidden="false" customHeight="false" outlineLevel="0" collapsed="false">
      <c r="A346" s="4" t="s">
        <v>2236</v>
      </c>
      <c r="B346" s="4" t="s">
        <v>539</v>
      </c>
      <c r="C346" s="22" t="n">
        <v>0.995</v>
      </c>
      <c r="D346" s="16" t="s">
        <v>2237</v>
      </c>
      <c r="E346" s="16" t="s">
        <v>2238</v>
      </c>
      <c r="F346" s="6" t="n">
        <v>46205</v>
      </c>
      <c r="G346" s="6" t="n">
        <v>46204</v>
      </c>
      <c r="H346" s="23" t="n">
        <f aca="false">ABS(F346-G346)</f>
        <v>1</v>
      </c>
      <c r="I346" s="7" t="n">
        <v>-31334.04</v>
      </c>
      <c r="J346" s="7" t="n">
        <v>-31334.04</v>
      </c>
      <c r="K346" s="7" t="n">
        <f aca="false">I346-J346</f>
        <v>0</v>
      </c>
      <c r="L346" s="4" t="s">
        <v>2239</v>
      </c>
      <c r="M346" s="4" t="s">
        <v>2240</v>
      </c>
      <c r="N346" s="4"/>
    </row>
    <row r="347" customFormat="false" ht="15" hidden="false" customHeight="false" outlineLevel="0" collapsed="false">
      <c r="A347" s="4" t="s">
        <v>2241</v>
      </c>
      <c r="B347" s="4" t="s">
        <v>539</v>
      </c>
      <c r="C347" s="22" t="n">
        <v>0.995</v>
      </c>
      <c r="D347" s="16" t="s">
        <v>2242</v>
      </c>
      <c r="E347" s="16" t="s">
        <v>2243</v>
      </c>
      <c r="F347" s="6" t="n">
        <v>46206</v>
      </c>
      <c r="G347" s="6" t="n">
        <v>46205</v>
      </c>
      <c r="H347" s="23" t="n">
        <f aca="false">ABS(F347-G347)</f>
        <v>1</v>
      </c>
      <c r="I347" s="7" t="n">
        <v>14194.34</v>
      </c>
      <c r="J347" s="7" t="n">
        <v>14194.34</v>
      </c>
      <c r="K347" s="7" t="n">
        <f aca="false">I347-J347</f>
        <v>0</v>
      </c>
      <c r="L347" s="4" t="s">
        <v>2244</v>
      </c>
      <c r="M347" s="4" t="s">
        <v>2245</v>
      </c>
      <c r="N347" s="4"/>
    </row>
    <row r="348" customFormat="false" ht="15" hidden="false" customHeight="false" outlineLevel="0" collapsed="false">
      <c r="A348" s="4" t="s">
        <v>2246</v>
      </c>
      <c r="B348" s="4" t="s">
        <v>539</v>
      </c>
      <c r="C348" s="22" t="n">
        <v>0.995</v>
      </c>
      <c r="D348" s="16" t="s">
        <v>2247</v>
      </c>
      <c r="E348" s="16" t="s">
        <v>2248</v>
      </c>
      <c r="F348" s="6" t="n">
        <v>46206</v>
      </c>
      <c r="G348" s="6" t="n">
        <v>46205</v>
      </c>
      <c r="H348" s="23" t="n">
        <f aca="false">ABS(F348-G348)</f>
        <v>1</v>
      </c>
      <c r="I348" s="7" t="n">
        <v>33180.93</v>
      </c>
      <c r="J348" s="7" t="n">
        <v>33180.93</v>
      </c>
      <c r="K348" s="7" t="n">
        <f aca="false">I348-J348</f>
        <v>0</v>
      </c>
      <c r="L348" s="4" t="s">
        <v>2249</v>
      </c>
      <c r="M348" s="4" t="s">
        <v>2250</v>
      </c>
      <c r="N348" s="4"/>
    </row>
    <row r="349" customFormat="false" ht="15" hidden="false" customHeight="false" outlineLevel="0" collapsed="false">
      <c r="A349" s="4" t="s">
        <v>2251</v>
      </c>
      <c r="B349" s="4" t="s">
        <v>539</v>
      </c>
      <c r="C349" s="22" t="n">
        <v>0.995</v>
      </c>
      <c r="D349" s="16" t="s">
        <v>2252</v>
      </c>
      <c r="E349" s="16" t="s">
        <v>2253</v>
      </c>
      <c r="F349" s="6" t="n">
        <v>46206</v>
      </c>
      <c r="G349" s="6" t="n">
        <v>46205</v>
      </c>
      <c r="H349" s="23" t="n">
        <f aca="false">ABS(F349-G349)</f>
        <v>1</v>
      </c>
      <c r="I349" s="7" t="n">
        <v>56947.73</v>
      </c>
      <c r="J349" s="7" t="n">
        <v>56947.73</v>
      </c>
      <c r="K349" s="7" t="n">
        <f aca="false">I349-J349</f>
        <v>0</v>
      </c>
      <c r="L349" s="4" t="s">
        <v>2254</v>
      </c>
      <c r="M349" s="4" t="s">
        <v>2255</v>
      </c>
      <c r="N349" s="4"/>
    </row>
    <row r="350" customFormat="false" ht="15" hidden="false" customHeight="false" outlineLevel="0" collapsed="false">
      <c r="A350" s="4" t="s">
        <v>2256</v>
      </c>
      <c r="B350" s="4" t="s">
        <v>539</v>
      </c>
      <c r="C350" s="22" t="n">
        <v>0.995</v>
      </c>
      <c r="D350" s="16" t="s">
        <v>2257</v>
      </c>
      <c r="E350" s="16" t="s">
        <v>2258</v>
      </c>
      <c r="F350" s="6" t="n">
        <v>46206</v>
      </c>
      <c r="G350" s="6" t="n">
        <v>46205</v>
      </c>
      <c r="H350" s="23" t="n">
        <f aca="false">ABS(F350-G350)</f>
        <v>1</v>
      </c>
      <c r="I350" s="7" t="n">
        <v>14196.36</v>
      </c>
      <c r="J350" s="7" t="n">
        <v>14196.36</v>
      </c>
      <c r="K350" s="7" t="n">
        <f aca="false">I350-J350</f>
        <v>0</v>
      </c>
      <c r="L350" s="4" t="s">
        <v>2259</v>
      </c>
      <c r="M350" s="4" t="s">
        <v>2260</v>
      </c>
      <c r="N350" s="4"/>
    </row>
    <row r="351" customFormat="false" ht="15" hidden="false" customHeight="false" outlineLevel="0" collapsed="false">
      <c r="A351" s="4" t="s">
        <v>2261</v>
      </c>
      <c r="B351" s="4" t="s">
        <v>539</v>
      </c>
      <c r="C351" s="22" t="n">
        <v>0.995</v>
      </c>
      <c r="D351" s="16" t="s">
        <v>2262</v>
      </c>
      <c r="E351" s="16" t="s">
        <v>2263</v>
      </c>
      <c r="F351" s="6" t="n">
        <v>46206</v>
      </c>
      <c r="G351" s="6" t="n">
        <v>46205</v>
      </c>
      <c r="H351" s="23" t="n">
        <f aca="false">ABS(F351-G351)</f>
        <v>1</v>
      </c>
      <c r="I351" s="7" t="n">
        <v>-58473.02</v>
      </c>
      <c r="J351" s="7" t="n">
        <v>-58473.02</v>
      </c>
      <c r="K351" s="7" t="n">
        <f aca="false">I351-J351</f>
        <v>0</v>
      </c>
      <c r="L351" s="4" t="s">
        <v>2264</v>
      </c>
      <c r="M351" s="4" t="s">
        <v>2265</v>
      </c>
      <c r="N351" s="4"/>
    </row>
    <row r="352" customFormat="false" ht="15" hidden="false" customHeight="false" outlineLevel="0" collapsed="false">
      <c r="A352" s="4" t="s">
        <v>2266</v>
      </c>
      <c r="B352" s="4" t="s">
        <v>539</v>
      </c>
      <c r="C352" s="22" t="n">
        <v>0.995</v>
      </c>
      <c r="D352" s="16" t="s">
        <v>2267</v>
      </c>
      <c r="E352" s="16" t="s">
        <v>2268</v>
      </c>
      <c r="F352" s="6" t="n">
        <v>46207</v>
      </c>
      <c r="G352" s="6" t="n">
        <v>46206</v>
      </c>
      <c r="H352" s="23" t="n">
        <f aca="false">ABS(F352-G352)</f>
        <v>1</v>
      </c>
      <c r="I352" s="7" t="n">
        <v>51162.61</v>
      </c>
      <c r="J352" s="7" t="n">
        <v>51162.61</v>
      </c>
      <c r="K352" s="7" t="n">
        <f aca="false">I352-J352</f>
        <v>0</v>
      </c>
      <c r="L352" s="4" t="s">
        <v>2269</v>
      </c>
      <c r="M352" s="4" t="s">
        <v>2270</v>
      </c>
      <c r="N352" s="4"/>
    </row>
    <row r="353" customFormat="false" ht="15" hidden="false" customHeight="false" outlineLevel="0" collapsed="false">
      <c r="A353" s="4" t="s">
        <v>2271</v>
      </c>
      <c r="B353" s="4" t="s">
        <v>539</v>
      </c>
      <c r="C353" s="22" t="n">
        <v>0.995</v>
      </c>
      <c r="D353" s="16" t="s">
        <v>2272</v>
      </c>
      <c r="E353" s="16" t="s">
        <v>2273</v>
      </c>
      <c r="F353" s="6" t="n">
        <v>46207</v>
      </c>
      <c r="G353" s="6" t="n">
        <v>46206</v>
      </c>
      <c r="H353" s="23" t="n">
        <f aca="false">ABS(F353-G353)</f>
        <v>1</v>
      </c>
      <c r="I353" s="7" t="n">
        <v>45197.71</v>
      </c>
      <c r="J353" s="7" t="n">
        <v>45197.71</v>
      </c>
      <c r="K353" s="7" t="n">
        <f aca="false">I353-J353</f>
        <v>0</v>
      </c>
      <c r="L353" s="4" t="s">
        <v>2274</v>
      </c>
      <c r="M353" s="4" t="s">
        <v>2275</v>
      </c>
      <c r="N353" s="4"/>
    </row>
    <row r="354" customFormat="false" ht="15" hidden="false" customHeight="false" outlineLevel="0" collapsed="false">
      <c r="A354" s="4" t="s">
        <v>2276</v>
      </c>
      <c r="B354" s="4" t="s">
        <v>539</v>
      </c>
      <c r="C354" s="22" t="n">
        <v>0.995</v>
      </c>
      <c r="D354" s="16" t="s">
        <v>2277</v>
      </c>
      <c r="E354" s="16" t="s">
        <v>2278</v>
      </c>
      <c r="F354" s="6" t="n">
        <v>46207</v>
      </c>
      <c r="G354" s="6" t="n">
        <v>46206</v>
      </c>
      <c r="H354" s="23" t="n">
        <f aca="false">ABS(F354-G354)</f>
        <v>1</v>
      </c>
      <c r="I354" s="7" t="n">
        <v>55404.83</v>
      </c>
      <c r="J354" s="7" t="n">
        <v>55404.83</v>
      </c>
      <c r="K354" s="7" t="n">
        <f aca="false">I354-J354</f>
        <v>0</v>
      </c>
      <c r="L354" s="4" t="s">
        <v>2279</v>
      </c>
      <c r="M354" s="4" t="s">
        <v>2280</v>
      </c>
      <c r="N354" s="4"/>
    </row>
    <row r="355" customFormat="false" ht="15" hidden="false" customHeight="false" outlineLevel="0" collapsed="false">
      <c r="A355" s="4" t="s">
        <v>2281</v>
      </c>
      <c r="B355" s="4" t="s">
        <v>539</v>
      </c>
      <c r="C355" s="22" t="n">
        <v>0.995</v>
      </c>
      <c r="D355" s="16" t="s">
        <v>2282</v>
      </c>
      <c r="E355" s="16" t="s">
        <v>2283</v>
      </c>
      <c r="F355" s="6" t="n">
        <v>46207</v>
      </c>
      <c r="G355" s="6" t="n">
        <v>46206</v>
      </c>
      <c r="H355" s="23" t="n">
        <f aca="false">ABS(F355-G355)</f>
        <v>1</v>
      </c>
      <c r="I355" s="7" t="n">
        <v>46767.67</v>
      </c>
      <c r="J355" s="7" t="n">
        <v>46767.67</v>
      </c>
      <c r="K355" s="7" t="n">
        <f aca="false">I355-J355</f>
        <v>0</v>
      </c>
      <c r="L355" s="4" t="s">
        <v>2284</v>
      </c>
      <c r="M355" s="4" t="s">
        <v>2285</v>
      </c>
      <c r="N355" s="4"/>
    </row>
    <row r="356" customFormat="false" ht="15" hidden="false" customHeight="false" outlineLevel="0" collapsed="false">
      <c r="A356" s="4" t="s">
        <v>2286</v>
      </c>
      <c r="B356" s="4" t="s">
        <v>539</v>
      </c>
      <c r="C356" s="22" t="n">
        <v>0.995</v>
      </c>
      <c r="D356" s="16" t="s">
        <v>2287</v>
      </c>
      <c r="E356" s="16" t="s">
        <v>2288</v>
      </c>
      <c r="F356" s="6" t="n">
        <v>46207</v>
      </c>
      <c r="G356" s="6" t="n">
        <v>46206</v>
      </c>
      <c r="H356" s="23" t="n">
        <f aca="false">ABS(F356-G356)</f>
        <v>1</v>
      </c>
      <c r="I356" s="7" t="n">
        <v>39488.33</v>
      </c>
      <c r="J356" s="7" t="n">
        <v>39488.33</v>
      </c>
      <c r="K356" s="7" t="n">
        <f aca="false">I356-J356</f>
        <v>0</v>
      </c>
      <c r="L356" s="4" t="s">
        <v>2289</v>
      </c>
      <c r="M356" s="4" t="s">
        <v>2290</v>
      </c>
      <c r="N356" s="4"/>
    </row>
    <row r="357" customFormat="false" ht="15" hidden="false" customHeight="false" outlineLevel="0" collapsed="false">
      <c r="A357" s="4" t="s">
        <v>2291</v>
      </c>
      <c r="B357" s="4" t="s">
        <v>539</v>
      </c>
      <c r="C357" s="22" t="n">
        <v>0.995</v>
      </c>
      <c r="D357" s="16" t="s">
        <v>2292</v>
      </c>
      <c r="E357" s="16" t="s">
        <v>2293</v>
      </c>
      <c r="F357" s="6" t="n">
        <v>46207</v>
      </c>
      <c r="G357" s="6" t="n">
        <v>46206</v>
      </c>
      <c r="H357" s="23" t="n">
        <f aca="false">ABS(F357-G357)</f>
        <v>1</v>
      </c>
      <c r="I357" s="7" t="n">
        <v>-14595.64</v>
      </c>
      <c r="J357" s="7" t="n">
        <v>-14595.64</v>
      </c>
      <c r="K357" s="7" t="n">
        <f aca="false">I357-J357</f>
        <v>0</v>
      </c>
      <c r="L357" s="4" t="s">
        <v>2294</v>
      </c>
      <c r="M357" s="4" t="s">
        <v>2295</v>
      </c>
      <c r="N357" s="4"/>
    </row>
    <row r="358" customFormat="false" ht="15" hidden="false" customHeight="false" outlineLevel="0" collapsed="false">
      <c r="A358" s="4" t="s">
        <v>2296</v>
      </c>
      <c r="B358" s="4" t="s">
        <v>539</v>
      </c>
      <c r="C358" s="22" t="n">
        <v>0.995</v>
      </c>
      <c r="D358" s="16" t="s">
        <v>2297</v>
      </c>
      <c r="E358" s="16" t="s">
        <v>2298</v>
      </c>
      <c r="F358" s="6" t="n">
        <v>46208</v>
      </c>
      <c r="G358" s="6" t="n">
        <v>46207</v>
      </c>
      <c r="H358" s="23" t="n">
        <f aca="false">ABS(F358-G358)</f>
        <v>1</v>
      </c>
      <c r="I358" s="7" t="n">
        <v>29463.69</v>
      </c>
      <c r="J358" s="7" t="n">
        <v>29463.69</v>
      </c>
      <c r="K358" s="7" t="n">
        <f aca="false">I358-J358</f>
        <v>0</v>
      </c>
      <c r="L358" s="4" t="s">
        <v>2299</v>
      </c>
      <c r="M358" s="4" t="s">
        <v>2300</v>
      </c>
      <c r="N358" s="4"/>
    </row>
    <row r="359" customFormat="false" ht="15" hidden="false" customHeight="false" outlineLevel="0" collapsed="false">
      <c r="A359" s="4" t="s">
        <v>2301</v>
      </c>
      <c r="B359" s="4" t="s">
        <v>539</v>
      </c>
      <c r="C359" s="22" t="n">
        <v>0.995</v>
      </c>
      <c r="D359" s="16" t="s">
        <v>2302</v>
      </c>
      <c r="E359" s="16" t="s">
        <v>2303</v>
      </c>
      <c r="F359" s="6" t="n">
        <v>46208</v>
      </c>
      <c r="G359" s="6" t="n">
        <v>46207</v>
      </c>
      <c r="H359" s="23" t="n">
        <f aca="false">ABS(F359-G359)</f>
        <v>1</v>
      </c>
      <c r="I359" s="7" t="n">
        <v>25701.64</v>
      </c>
      <c r="J359" s="7" t="n">
        <v>25701.64</v>
      </c>
      <c r="K359" s="7" t="n">
        <f aca="false">I359-J359</f>
        <v>0</v>
      </c>
      <c r="L359" s="4" t="s">
        <v>2304</v>
      </c>
      <c r="M359" s="4" t="s">
        <v>2305</v>
      </c>
      <c r="N359" s="4"/>
    </row>
    <row r="360" customFormat="false" ht="15" hidden="false" customHeight="false" outlineLevel="0" collapsed="false">
      <c r="A360" s="4" t="s">
        <v>2306</v>
      </c>
      <c r="B360" s="4" t="s">
        <v>539</v>
      </c>
      <c r="C360" s="22" t="n">
        <v>0.995</v>
      </c>
      <c r="D360" s="16" t="s">
        <v>2307</v>
      </c>
      <c r="E360" s="16" t="s">
        <v>2308</v>
      </c>
      <c r="F360" s="6" t="n">
        <v>46209</v>
      </c>
      <c r="G360" s="6" t="n">
        <v>46208</v>
      </c>
      <c r="H360" s="23" t="n">
        <f aca="false">ABS(F360-G360)</f>
        <v>1</v>
      </c>
      <c r="I360" s="7" t="n">
        <v>80508.62</v>
      </c>
      <c r="J360" s="7" t="n">
        <v>80508.62</v>
      </c>
      <c r="K360" s="7" t="n">
        <f aca="false">I360-J360</f>
        <v>0</v>
      </c>
      <c r="L360" s="4" t="s">
        <v>2309</v>
      </c>
      <c r="M360" s="4" t="s">
        <v>2310</v>
      </c>
      <c r="N360" s="4"/>
    </row>
    <row r="361" customFormat="false" ht="15" hidden="false" customHeight="false" outlineLevel="0" collapsed="false">
      <c r="A361" s="4" t="s">
        <v>2311</v>
      </c>
      <c r="B361" s="4" t="s">
        <v>539</v>
      </c>
      <c r="C361" s="22" t="n">
        <v>0.995</v>
      </c>
      <c r="D361" s="16" t="s">
        <v>2312</v>
      </c>
      <c r="E361" s="16" t="s">
        <v>2313</v>
      </c>
      <c r="F361" s="6" t="n">
        <v>46209</v>
      </c>
      <c r="G361" s="6" t="n">
        <v>46208</v>
      </c>
      <c r="H361" s="23" t="n">
        <f aca="false">ABS(F361-G361)</f>
        <v>1</v>
      </c>
      <c r="I361" s="7" t="n">
        <v>19679.43</v>
      </c>
      <c r="J361" s="7" t="n">
        <v>19679.43</v>
      </c>
      <c r="K361" s="7" t="n">
        <f aca="false">I361-J361</f>
        <v>0</v>
      </c>
      <c r="L361" s="4" t="s">
        <v>2314</v>
      </c>
      <c r="M361" s="4" t="s">
        <v>2315</v>
      </c>
      <c r="N361" s="4"/>
    </row>
    <row r="362" customFormat="false" ht="15" hidden="false" customHeight="false" outlineLevel="0" collapsed="false">
      <c r="A362" s="4" t="s">
        <v>2316</v>
      </c>
      <c r="B362" s="4" t="s">
        <v>539</v>
      </c>
      <c r="C362" s="22" t="n">
        <v>0.995</v>
      </c>
      <c r="D362" s="16" t="s">
        <v>2317</v>
      </c>
      <c r="E362" s="16" t="s">
        <v>2318</v>
      </c>
      <c r="F362" s="6" t="n">
        <v>46209</v>
      </c>
      <c r="G362" s="6" t="n">
        <v>46208</v>
      </c>
      <c r="H362" s="23" t="n">
        <f aca="false">ABS(F362-G362)</f>
        <v>1</v>
      </c>
      <c r="I362" s="7" t="n">
        <v>26367.59</v>
      </c>
      <c r="J362" s="7" t="n">
        <v>26367.59</v>
      </c>
      <c r="K362" s="7" t="n">
        <f aca="false">I362-J362</f>
        <v>0</v>
      </c>
      <c r="L362" s="4" t="s">
        <v>2319</v>
      </c>
      <c r="M362" s="4" t="s">
        <v>2320</v>
      </c>
      <c r="N362" s="4"/>
    </row>
    <row r="363" customFormat="false" ht="15" hidden="false" customHeight="false" outlineLevel="0" collapsed="false">
      <c r="A363" s="4" t="s">
        <v>2321</v>
      </c>
      <c r="B363" s="4" t="s">
        <v>539</v>
      </c>
      <c r="C363" s="22" t="n">
        <v>0.995</v>
      </c>
      <c r="D363" s="16" t="s">
        <v>2322</v>
      </c>
      <c r="E363" s="16" t="s">
        <v>2323</v>
      </c>
      <c r="F363" s="6" t="n">
        <v>46209</v>
      </c>
      <c r="G363" s="6" t="n">
        <v>46208</v>
      </c>
      <c r="H363" s="23" t="n">
        <f aca="false">ABS(F363-G363)</f>
        <v>1</v>
      </c>
      <c r="I363" s="7" t="n">
        <v>-41522.76</v>
      </c>
      <c r="J363" s="7" t="n">
        <v>-41522.76</v>
      </c>
      <c r="K363" s="7" t="n">
        <f aca="false">I363-J363</f>
        <v>0</v>
      </c>
      <c r="L363" s="4" t="s">
        <v>2324</v>
      </c>
      <c r="M363" s="4" t="s">
        <v>2325</v>
      </c>
      <c r="N363" s="4"/>
    </row>
    <row r="364" customFormat="false" ht="15" hidden="false" customHeight="false" outlineLevel="0" collapsed="false">
      <c r="A364" s="4" t="s">
        <v>2326</v>
      </c>
      <c r="B364" s="4" t="s">
        <v>539</v>
      </c>
      <c r="C364" s="22" t="n">
        <v>0.995</v>
      </c>
      <c r="D364" s="16" t="s">
        <v>2327</v>
      </c>
      <c r="E364" s="16" t="s">
        <v>2328</v>
      </c>
      <c r="F364" s="6" t="n">
        <v>46210</v>
      </c>
      <c r="G364" s="6" t="n">
        <v>46209</v>
      </c>
      <c r="H364" s="23" t="n">
        <f aca="false">ABS(F364-G364)</f>
        <v>1</v>
      </c>
      <c r="I364" s="7" t="n">
        <v>87122.55</v>
      </c>
      <c r="J364" s="7" t="n">
        <v>87122.55</v>
      </c>
      <c r="K364" s="7" t="n">
        <f aca="false">I364-J364</f>
        <v>0</v>
      </c>
      <c r="L364" s="4" t="s">
        <v>2329</v>
      </c>
      <c r="M364" s="4" t="s">
        <v>2330</v>
      </c>
      <c r="N364" s="4"/>
    </row>
    <row r="365" customFormat="false" ht="15" hidden="false" customHeight="false" outlineLevel="0" collapsed="false">
      <c r="A365" s="4" t="s">
        <v>2331</v>
      </c>
      <c r="B365" s="4" t="s">
        <v>539</v>
      </c>
      <c r="C365" s="22" t="n">
        <v>0.995</v>
      </c>
      <c r="D365" s="16" t="s">
        <v>2332</v>
      </c>
      <c r="E365" s="16" t="s">
        <v>2333</v>
      </c>
      <c r="F365" s="6" t="n">
        <v>46210</v>
      </c>
      <c r="G365" s="6" t="n">
        <v>46209</v>
      </c>
      <c r="H365" s="23" t="n">
        <f aca="false">ABS(F365-G365)</f>
        <v>1</v>
      </c>
      <c r="I365" s="7" t="n">
        <v>11057.01</v>
      </c>
      <c r="J365" s="7" t="n">
        <v>11057.01</v>
      </c>
      <c r="K365" s="7" t="n">
        <f aca="false">I365-J365</f>
        <v>0</v>
      </c>
      <c r="L365" s="4" t="s">
        <v>2334</v>
      </c>
      <c r="M365" s="4" t="s">
        <v>2335</v>
      </c>
      <c r="N365" s="4"/>
    </row>
    <row r="366" customFormat="false" ht="15" hidden="false" customHeight="false" outlineLevel="0" collapsed="false">
      <c r="A366" s="4" t="s">
        <v>2336</v>
      </c>
      <c r="B366" s="4" t="s">
        <v>539</v>
      </c>
      <c r="C366" s="22" t="n">
        <v>0.995</v>
      </c>
      <c r="D366" s="16" t="s">
        <v>2337</v>
      </c>
      <c r="E366" s="16" t="s">
        <v>2338</v>
      </c>
      <c r="F366" s="6" t="n">
        <v>46210</v>
      </c>
      <c r="G366" s="6" t="n">
        <v>46209</v>
      </c>
      <c r="H366" s="23" t="n">
        <f aca="false">ABS(F366-G366)</f>
        <v>1</v>
      </c>
      <c r="I366" s="7" t="n">
        <v>56971.16</v>
      </c>
      <c r="J366" s="7" t="n">
        <v>56971.16</v>
      </c>
      <c r="K366" s="7" t="n">
        <f aca="false">I366-J366</f>
        <v>0</v>
      </c>
      <c r="L366" s="4" t="s">
        <v>2339</v>
      </c>
      <c r="M366" s="4" t="s">
        <v>2340</v>
      </c>
      <c r="N366" s="4"/>
    </row>
    <row r="367" customFormat="false" ht="15" hidden="false" customHeight="false" outlineLevel="0" collapsed="false">
      <c r="A367" s="4" t="s">
        <v>2341</v>
      </c>
      <c r="B367" s="4" t="s">
        <v>539</v>
      </c>
      <c r="C367" s="22" t="n">
        <v>0.995</v>
      </c>
      <c r="D367" s="16" t="s">
        <v>2342</v>
      </c>
      <c r="E367" s="16" t="s">
        <v>2343</v>
      </c>
      <c r="F367" s="6" t="n">
        <v>46210</v>
      </c>
      <c r="G367" s="6" t="n">
        <v>46209</v>
      </c>
      <c r="H367" s="23" t="n">
        <f aca="false">ABS(F367-G367)</f>
        <v>1</v>
      </c>
      <c r="I367" s="7" t="n">
        <v>36129.13</v>
      </c>
      <c r="J367" s="7" t="n">
        <v>36129.13</v>
      </c>
      <c r="K367" s="7" t="n">
        <f aca="false">I367-J367</f>
        <v>0</v>
      </c>
      <c r="L367" s="4" t="s">
        <v>2344</v>
      </c>
      <c r="M367" s="4" t="s">
        <v>2345</v>
      </c>
      <c r="N367" s="4"/>
    </row>
    <row r="368" customFormat="false" ht="15" hidden="false" customHeight="false" outlineLevel="0" collapsed="false">
      <c r="A368" s="4" t="s">
        <v>2346</v>
      </c>
      <c r="B368" s="4" t="s">
        <v>539</v>
      </c>
      <c r="C368" s="22" t="n">
        <v>0.995</v>
      </c>
      <c r="D368" s="16" t="s">
        <v>2347</v>
      </c>
      <c r="E368" s="16" t="s">
        <v>2348</v>
      </c>
      <c r="F368" s="6" t="n">
        <v>46210</v>
      </c>
      <c r="G368" s="6" t="n">
        <v>46209</v>
      </c>
      <c r="H368" s="23" t="n">
        <f aca="false">ABS(F368-G368)</f>
        <v>1</v>
      </c>
      <c r="I368" s="7" t="n">
        <v>68973.03</v>
      </c>
      <c r="J368" s="7" t="n">
        <v>68973.03</v>
      </c>
      <c r="K368" s="7" t="n">
        <f aca="false">I368-J368</f>
        <v>0</v>
      </c>
      <c r="L368" s="4" t="s">
        <v>2349</v>
      </c>
      <c r="M368" s="4" t="s">
        <v>2350</v>
      </c>
      <c r="N368" s="4"/>
    </row>
    <row r="369" customFormat="false" ht="15" hidden="false" customHeight="false" outlineLevel="0" collapsed="false">
      <c r="A369" s="4" t="s">
        <v>2351</v>
      </c>
      <c r="B369" s="4" t="s">
        <v>539</v>
      </c>
      <c r="C369" s="22" t="n">
        <v>0.995</v>
      </c>
      <c r="D369" s="16" t="s">
        <v>2352</v>
      </c>
      <c r="E369" s="16" t="s">
        <v>2353</v>
      </c>
      <c r="F369" s="6" t="n">
        <v>46210</v>
      </c>
      <c r="G369" s="6" t="n">
        <v>46209</v>
      </c>
      <c r="H369" s="23" t="n">
        <f aca="false">ABS(F369-G369)</f>
        <v>1</v>
      </c>
      <c r="I369" s="7" t="n">
        <v>-15335.1</v>
      </c>
      <c r="J369" s="7" t="n">
        <v>-15335.1</v>
      </c>
      <c r="K369" s="7" t="n">
        <f aca="false">I369-J369</f>
        <v>0</v>
      </c>
      <c r="L369" s="4" t="s">
        <v>2354</v>
      </c>
      <c r="M369" s="4" t="s">
        <v>2355</v>
      </c>
      <c r="N369" s="4"/>
    </row>
    <row r="370" customFormat="false" ht="15" hidden="false" customHeight="false" outlineLevel="0" collapsed="false">
      <c r="A370" s="4" t="s">
        <v>2356</v>
      </c>
      <c r="B370" s="4" t="s">
        <v>539</v>
      </c>
      <c r="C370" s="22" t="n">
        <v>0.995</v>
      </c>
      <c r="D370" s="16" t="s">
        <v>2357</v>
      </c>
      <c r="E370" s="16" t="s">
        <v>2358</v>
      </c>
      <c r="F370" s="6" t="n">
        <v>46210</v>
      </c>
      <c r="G370" s="6" t="n">
        <v>46209</v>
      </c>
      <c r="H370" s="23" t="n">
        <f aca="false">ABS(F370-G370)</f>
        <v>1</v>
      </c>
      <c r="I370" s="7" t="n">
        <v>-4600.79</v>
      </c>
      <c r="J370" s="7" t="n">
        <v>-4600.79</v>
      </c>
      <c r="K370" s="7" t="n">
        <f aca="false">I370-J370</f>
        <v>0</v>
      </c>
      <c r="L370" s="4" t="s">
        <v>2359</v>
      </c>
      <c r="M370" s="4" t="s">
        <v>2360</v>
      </c>
      <c r="N370" s="4"/>
    </row>
    <row r="371" customFormat="false" ht="15" hidden="false" customHeight="false" outlineLevel="0" collapsed="false">
      <c r="A371" s="4" t="s">
        <v>2361</v>
      </c>
      <c r="B371" s="4" t="s">
        <v>539</v>
      </c>
      <c r="C371" s="22" t="n">
        <v>0.995</v>
      </c>
      <c r="D371" s="16" t="s">
        <v>2362</v>
      </c>
      <c r="E371" s="16" t="s">
        <v>2363</v>
      </c>
      <c r="F371" s="6" t="n">
        <v>46211</v>
      </c>
      <c r="G371" s="6" t="n">
        <v>46210</v>
      </c>
      <c r="H371" s="23" t="n">
        <f aca="false">ABS(F371-G371)</f>
        <v>1</v>
      </c>
      <c r="I371" s="7" t="n">
        <v>63256.91</v>
      </c>
      <c r="J371" s="7" t="n">
        <v>63256.91</v>
      </c>
      <c r="K371" s="7" t="n">
        <f aca="false">I371-J371</f>
        <v>0</v>
      </c>
      <c r="L371" s="4" t="s">
        <v>2364</v>
      </c>
      <c r="M371" s="4" t="s">
        <v>2365</v>
      </c>
      <c r="N371" s="4"/>
    </row>
    <row r="372" customFormat="false" ht="15" hidden="false" customHeight="false" outlineLevel="0" collapsed="false">
      <c r="A372" s="4" t="s">
        <v>2366</v>
      </c>
      <c r="B372" s="4" t="s">
        <v>539</v>
      </c>
      <c r="C372" s="22" t="n">
        <v>0.995</v>
      </c>
      <c r="D372" s="16" t="s">
        <v>2367</v>
      </c>
      <c r="E372" s="16" t="s">
        <v>2368</v>
      </c>
      <c r="F372" s="6" t="n">
        <v>46211</v>
      </c>
      <c r="G372" s="6" t="n">
        <v>46210</v>
      </c>
      <c r="H372" s="23" t="n">
        <f aca="false">ABS(F372-G372)</f>
        <v>1</v>
      </c>
      <c r="I372" s="7" t="n">
        <v>42785.34</v>
      </c>
      <c r="J372" s="7" t="n">
        <v>42785.34</v>
      </c>
      <c r="K372" s="7" t="n">
        <f aca="false">I372-J372</f>
        <v>0</v>
      </c>
      <c r="L372" s="4" t="s">
        <v>2369</v>
      </c>
      <c r="M372" s="4" t="s">
        <v>2370</v>
      </c>
      <c r="N372" s="4"/>
    </row>
    <row r="373" customFormat="false" ht="15" hidden="false" customHeight="false" outlineLevel="0" collapsed="false">
      <c r="A373" s="4" t="s">
        <v>2371</v>
      </c>
      <c r="B373" s="4" t="s">
        <v>539</v>
      </c>
      <c r="C373" s="22" t="n">
        <v>0.995</v>
      </c>
      <c r="D373" s="16" t="s">
        <v>2372</v>
      </c>
      <c r="E373" s="16" t="s">
        <v>2373</v>
      </c>
      <c r="F373" s="6" t="n">
        <v>46211</v>
      </c>
      <c r="G373" s="6" t="n">
        <v>46210</v>
      </c>
      <c r="H373" s="23" t="n">
        <f aca="false">ABS(F373-G373)</f>
        <v>1</v>
      </c>
      <c r="I373" s="7" t="n">
        <v>71410.71</v>
      </c>
      <c r="J373" s="7" t="n">
        <v>71410.71</v>
      </c>
      <c r="K373" s="7" t="n">
        <f aca="false">I373-J373</f>
        <v>0</v>
      </c>
      <c r="L373" s="4" t="s">
        <v>2374</v>
      </c>
      <c r="M373" s="4" t="s">
        <v>2375</v>
      </c>
      <c r="N373" s="4"/>
    </row>
    <row r="374" customFormat="false" ht="15" hidden="false" customHeight="false" outlineLevel="0" collapsed="false">
      <c r="A374" s="4" t="s">
        <v>2376</v>
      </c>
      <c r="B374" s="4" t="s">
        <v>539</v>
      </c>
      <c r="C374" s="22" t="n">
        <v>0.995</v>
      </c>
      <c r="D374" s="16" t="s">
        <v>2377</v>
      </c>
      <c r="E374" s="16" t="s">
        <v>2378</v>
      </c>
      <c r="F374" s="6" t="n">
        <v>46211</v>
      </c>
      <c r="G374" s="6" t="n">
        <v>46210</v>
      </c>
      <c r="H374" s="23" t="n">
        <f aca="false">ABS(F374-G374)</f>
        <v>1</v>
      </c>
      <c r="I374" s="7" t="n">
        <v>88568.97</v>
      </c>
      <c r="J374" s="7" t="n">
        <v>88568.97</v>
      </c>
      <c r="K374" s="7" t="n">
        <f aca="false">I374-J374</f>
        <v>0</v>
      </c>
      <c r="L374" s="4" t="s">
        <v>2379</v>
      </c>
      <c r="M374" s="4" t="s">
        <v>2380</v>
      </c>
      <c r="N374" s="4"/>
    </row>
    <row r="375" customFormat="false" ht="15" hidden="false" customHeight="false" outlineLevel="0" collapsed="false">
      <c r="A375" s="4" t="s">
        <v>2381</v>
      </c>
      <c r="B375" s="4" t="s">
        <v>539</v>
      </c>
      <c r="C375" s="22" t="n">
        <v>0.995</v>
      </c>
      <c r="D375" s="16" t="s">
        <v>2382</v>
      </c>
      <c r="E375" s="16" t="s">
        <v>2383</v>
      </c>
      <c r="F375" s="6" t="n">
        <v>46211</v>
      </c>
      <c r="G375" s="6" t="n">
        <v>46210</v>
      </c>
      <c r="H375" s="23" t="n">
        <f aca="false">ABS(F375-G375)</f>
        <v>1</v>
      </c>
      <c r="I375" s="7" t="n">
        <v>71467.08</v>
      </c>
      <c r="J375" s="7" t="n">
        <v>71467.08</v>
      </c>
      <c r="K375" s="7" t="n">
        <f aca="false">I375-J375</f>
        <v>0</v>
      </c>
      <c r="L375" s="4" t="s">
        <v>2384</v>
      </c>
      <c r="M375" s="4" t="s">
        <v>2385</v>
      </c>
      <c r="N375" s="4"/>
    </row>
    <row r="376" customFormat="false" ht="15" hidden="false" customHeight="false" outlineLevel="0" collapsed="false">
      <c r="A376" s="4" t="s">
        <v>2386</v>
      </c>
      <c r="B376" s="4" t="s">
        <v>539</v>
      </c>
      <c r="C376" s="22" t="n">
        <v>0.995</v>
      </c>
      <c r="D376" s="16" t="s">
        <v>2387</v>
      </c>
      <c r="E376" s="16" t="s">
        <v>2388</v>
      </c>
      <c r="F376" s="6" t="n">
        <v>46211</v>
      </c>
      <c r="G376" s="6" t="n">
        <v>46210</v>
      </c>
      <c r="H376" s="23" t="n">
        <f aca="false">ABS(F376-G376)</f>
        <v>1</v>
      </c>
      <c r="I376" s="7" t="n">
        <v>86220.65</v>
      </c>
      <c r="J376" s="7" t="n">
        <v>86220.65</v>
      </c>
      <c r="K376" s="7" t="n">
        <f aca="false">I376-J376</f>
        <v>0</v>
      </c>
      <c r="L376" s="4" t="s">
        <v>2389</v>
      </c>
      <c r="M376" s="4" t="s">
        <v>2390</v>
      </c>
      <c r="N376" s="4"/>
    </row>
    <row r="377" customFormat="false" ht="15" hidden="false" customHeight="false" outlineLevel="0" collapsed="false">
      <c r="A377" s="4" t="s">
        <v>2391</v>
      </c>
      <c r="B377" s="4" t="s">
        <v>539</v>
      </c>
      <c r="C377" s="22" t="n">
        <v>0.995</v>
      </c>
      <c r="D377" s="16" t="s">
        <v>2392</v>
      </c>
      <c r="E377" s="16" t="s">
        <v>2393</v>
      </c>
      <c r="F377" s="6" t="n">
        <v>46211</v>
      </c>
      <c r="G377" s="6" t="n">
        <v>46210</v>
      </c>
      <c r="H377" s="23" t="n">
        <f aca="false">ABS(F377-G377)</f>
        <v>1</v>
      </c>
      <c r="I377" s="7" t="n">
        <v>92285.25</v>
      </c>
      <c r="J377" s="7" t="n">
        <v>92285.25</v>
      </c>
      <c r="K377" s="7" t="n">
        <f aca="false">I377-J377</f>
        <v>0</v>
      </c>
      <c r="L377" s="4" t="s">
        <v>2394</v>
      </c>
      <c r="M377" s="4" t="s">
        <v>2395</v>
      </c>
      <c r="N377" s="4"/>
    </row>
    <row r="378" customFormat="false" ht="15" hidden="false" customHeight="false" outlineLevel="0" collapsed="false">
      <c r="A378" s="4" t="s">
        <v>2396</v>
      </c>
      <c r="B378" s="4" t="s">
        <v>539</v>
      </c>
      <c r="C378" s="22" t="n">
        <v>0.995</v>
      </c>
      <c r="D378" s="16" t="s">
        <v>2397</v>
      </c>
      <c r="E378" s="16" t="s">
        <v>2398</v>
      </c>
      <c r="F378" s="6" t="n">
        <v>46211</v>
      </c>
      <c r="G378" s="6" t="n">
        <v>46210</v>
      </c>
      <c r="H378" s="23" t="n">
        <f aca="false">ABS(F378-G378)</f>
        <v>1</v>
      </c>
      <c r="I378" s="7" t="n">
        <v>-23446.57</v>
      </c>
      <c r="J378" s="7" t="n">
        <v>-23446.57</v>
      </c>
      <c r="K378" s="7" t="n">
        <f aca="false">I378-J378</f>
        <v>0</v>
      </c>
      <c r="L378" s="4" t="s">
        <v>2399</v>
      </c>
      <c r="M378" s="4" t="s">
        <v>2400</v>
      </c>
      <c r="N378" s="4"/>
    </row>
    <row r="379" customFormat="false" ht="15" hidden="false" customHeight="false" outlineLevel="0" collapsed="false">
      <c r="A379" s="4" t="s">
        <v>2401</v>
      </c>
      <c r="B379" s="4" t="s">
        <v>539</v>
      </c>
      <c r="C379" s="22" t="n">
        <v>0.995</v>
      </c>
      <c r="D379" s="16" t="s">
        <v>2402</v>
      </c>
      <c r="E379" s="16" t="s">
        <v>2403</v>
      </c>
      <c r="F379" s="6" t="n">
        <v>46212</v>
      </c>
      <c r="G379" s="6" t="n">
        <v>46211</v>
      </c>
      <c r="H379" s="23" t="n">
        <f aca="false">ABS(F379-G379)</f>
        <v>1</v>
      </c>
      <c r="I379" s="7" t="n">
        <v>85450.35</v>
      </c>
      <c r="J379" s="7" t="n">
        <v>85450.35</v>
      </c>
      <c r="K379" s="7" t="n">
        <f aca="false">I379-J379</f>
        <v>0</v>
      </c>
      <c r="L379" s="4" t="s">
        <v>2404</v>
      </c>
      <c r="M379" s="4" t="s">
        <v>2405</v>
      </c>
      <c r="N379" s="4"/>
    </row>
    <row r="380" customFormat="false" ht="15" hidden="false" customHeight="false" outlineLevel="0" collapsed="false">
      <c r="A380" s="4" t="s">
        <v>2406</v>
      </c>
      <c r="B380" s="4" t="s">
        <v>539</v>
      </c>
      <c r="C380" s="22" t="n">
        <v>0.995</v>
      </c>
      <c r="D380" s="16" t="s">
        <v>2407</v>
      </c>
      <c r="E380" s="16" t="s">
        <v>2408</v>
      </c>
      <c r="F380" s="6" t="n">
        <v>46212</v>
      </c>
      <c r="G380" s="6" t="n">
        <v>46211</v>
      </c>
      <c r="H380" s="23" t="n">
        <f aca="false">ABS(F380-G380)</f>
        <v>1</v>
      </c>
      <c r="I380" s="7" t="n">
        <v>-51911.52</v>
      </c>
      <c r="J380" s="7" t="n">
        <v>-51911.52</v>
      </c>
      <c r="K380" s="7" t="n">
        <f aca="false">I380-J380</f>
        <v>0</v>
      </c>
      <c r="L380" s="4" t="s">
        <v>2409</v>
      </c>
      <c r="M380" s="4" t="s">
        <v>2410</v>
      </c>
      <c r="N380" s="4"/>
    </row>
    <row r="381" customFormat="false" ht="15" hidden="false" customHeight="false" outlineLevel="0" collapsed="false">
      <c r="A381" s="4" t="s">
        <v>2411</v>
      </c>
      <c r="B381" s="4" t="s">
        <v>539</v>
      </c>
      <c r="C381" s="22" t="n">
        <v>0.995</v>
      </c>
      <c r="D381" s="16" t="s">
        <v>2412</v>
      </c>
      <c r="E381" s="16" t="s">
        <v>2413</v>
      </c>
      <c r="F381" s="6" t="n">
        <v>46213</v>
      </c>
      <c r="G381" s="6" t="n">
        <v>46212</v>
      </c>
      <c r="H381" s="23" t="n">
        <f aca="false">ABS(F381-G381)</f>
        <v>1</v>
      </c>
      <c r="I381" s="7" t="n">
        <v>5563.65</v>
      </c>
      <c r="J381" s="7" t="n">
        <v>5563.65</v>
      </c>
      <c r="K381" s="7" t="n">
        <f aca="false">I381-J381</f>
        <v>0</v>
      </c>
      <c r="L381" s="4" t="s">
        <v>2414</v>
      </c>
      <c r="M381" s="4" t="s">
        <v>2415</v>
      </c>
      <c r="N381" s="4"/>
    </row>
    <row r="382" customFormat="false" ht="15" hidden="false" customHeight="false" outlineLevel="0" collapsed="false">
      <c r="A382" s="4" t="s">
        <v>2416</v>
      </c>
      <c r="B382" s="4" t="s">
        <v>539</v>
      </c>
      <c r="C382" s="22" t="n">
        <v>0.995</v>
      </c>
      <c r="D382" s="16" t="s">
        <v>2417</v>
      </c>
      <c r="E382" s="16" t="s">
        <v>2418</v>
      </c>
      <c r="F382" s="6" t="n">
        <v>46213</v>
      </c>
      <c r="G382" s="6" t="n">
        <v>46212</v>
      </c>
      <c r="H382" s="23" t="n">
        <f aca="false">ABS(F382-G382)</f>
        <v>1</v>
      </c>
      <c r="I382" s="7" t="n">
        <v>53420.12</v>
      </c>
      <c r="J382" s="7" t="n">
        <v>53420.12</v>
      </c>
      <c r="K382" s="7" t="n">
        <f aca="false">I382-J382</f>
        <v>0</v>
      </c>
      <c r="L382" s="4" t="s">
        <v>2419</v>
      </c>
      <c r="M382" s="4" t="s">
        <v>2420</v>
      </c>
      <c r="N382" s="4"/>
    </row>
    <row r="383" customFormat="false" ht="15" hidden="false" customHeight="false" outlineLevel="0" collapsed="false">
      <c r="A383" s="4" t="s">
        <v>2421</v>
      </c>
      <c r="B383" s="4" t="s">
        <v>539</v>
      </c>
      <c r="C383" s="22" t="n">
        <v>0.995</v>
      </c>
      <c r="D383" s="16" t="s">
        <v>2422</v>
      </c>
      <c r="E383" s="16" t="s">
        <v>2423</v>
      </c>
      <c r="F383" s="6" t="n">
        <v>46213</v>
      </c>
      <c r="G383" s="6" t="n">
        <v>46212</v>
      </c>
      <c r="H383" s="23" t="n">
        <f aca="false">ABS(F383-G383)</f>
        <v>1</v>
      </c>
      <c r="I383" s="7" t="n">
        <v>-58782.72</v>
      </c>
      <c r="J383" s="7" t="n">
        <v>-58782.72</v>
      </c>
      <c r="K383" s="7" t="n">
        <f aca="false">I383-J383</f>
        <v>0</v>
      </c>
      <c r="L383" s="4" t="s">
        <v>2424</v>
      </c>
      <c r="M383" s="4" t="s">
        <v>2425</v>
      </c>
      <c r="N383" s="4"/>
    </row>
    <row r="384" customFormat="false" ht="15" hidden="false" customHeight="false" outlineLevel="0" collapsed="false">
      <c r="A384" s="4" t="s">
        <v>2426</v>
      </c>
      <c r="B384" s="4" t="s">
        <v>539</v>
      </c>
      <c r="C384" s="22" t="n">
        <v>0.995</v>
      </c>
      <c r="D384" s="16" t="s">
        <v>2427</v>
      </c>
      <c r="E384" s="16" t="s">
        <v>2428</v>
      </c>
      <c r="F384" s="6" t="n">
        <v>46214</v>
      </c>
      <c r="G384" s="6" t="n">
        <v>46213</v>
      </c>
      <c r="H384" s="23" t="n">
        <f aca="false">ABS(F384-G384)</f>
        <v>1</v>
      </c>
      <c r="I384" s="7" t="n">
        <v>46594.98</v>
      </c>
      <c r="J384" s="7" t="n">
        <v>46594.98</v>
      </c>
      <c r="K384" s="7" t="n">
        <f aca="false">I384-J384</f>
        <v>0</v>
      </c>
      <c r="L384" s="4" t="s">
        <v>2429</v>
      </c>
      <c r="M384" s="4" t="s">
        <v>2430</v>
      </c>
      <c r="N384" s="4"/>
    </row>
    <row r="385" customFormat="false" ht="15" hidden="false" customHeight="false" outlineLevel="0" collapsed="false">
      <c r="A385" s="4" t="s">
        <v>2431</v>
      </c>
      <c r="B385" s="4" t="s">
        <v>539</v>
      </c>
      <c r="C385" s="22" t="n">
        <v>0.995</v>
      </c>
      <c r="D385" s="16" t="s">
        <v>2432</v>
      </c>
      <c r="E385" s="16" t="s">
        <v>2433</v>
      </c>
      <c r="F385" s="6" t="n">
        <v>46214</v>
      </c>
      <c r="G385" s="6" t="n">
        <v>46213</v>
      </c>
      <c r="H385" s="23" t="n">
        <f aca="false">ABS(F385-G385)</f>
        <v>1</v>
      </c>
      <c r="I385" s="7" t="n">
        <v>13316.21</v>
      </c>
      <c r="J385" s="7" t="n">
        <v>13316.21</v>
      </c>
      <c r="K385" s="7" t="n">
        <f aca="false">I385-J385</f>
        <v>0</v>
      </c>
      <c r="L385" s="4" t="s">
        <v>2434</v>
      </c>
      <c r="M385" s="4" t="s">
        <v>2435</v>
      </c>
      <c r="N385" s="4"/>
    </row>
    <row r="386" customFormat="false" ht="15" hidden="false" customHeight="false" outlineLevel="0" collapsed="false">
      <c r="A386" s="4" t="s">
        <v>2436</v>
      </c>
      <c r="B386" s="4" t="s">
        <v>539</v>
      </c>
      <c r="C386" s="22" t="n">
        <v>0.995</v>
      </c>
      <c r="D386" s="16" t="s">
        <v>2437</v>
      </c>
      <c r="E386" s="16" t="s">
        <v>2438</v>
      </c>
      <c r="F386" s="6" t="n">
        <v>46214</v>
      </c>
      <c r="G386" s="6" t="n">
        <v>46213</v>
      </c>
      <c r="H386" s="23" t="n">
        <f aca="false">ABS(F386-G386)</f>
        <v>1</v>
      </c>
      <c r="I386" s="7" t="n">
        <v>22296.95</v>
      </c>
      <c r="J386" s="7" t="n">
        <v>22296.95</v>
      </c>
      <c r="K386" s="7" t="n">
        <f aca="false">I386-J386</f>
        <v>0</v>
      </c>
      <c r="L386" s="4" t="s">
        <v>2439</v>
      </c>
      <c r="M386" s="4" t="s">
        <v>2440</v>
      </c>
      <c r="N386" s="4"/>
    </row>
    <row r="387" customFormat="false" ht="15" hidden="false" customHeight="false" outlineLevel="0" collapsed="false">
      <c r="A387" s="4" t="s">
        <v>2441</v>
      </c>
      <c r="B387" s="4" t="s">
        <v>539</v>
      </c>
      <c r="C387" s="22" t="n">
        <v>0.995</v>
      </c>
      <c r="D387" s="16" t="s">
        <v>2442</v>
      </c>
      <c r="E387" s="16" t="s">
        <v>2443</v>
      </c>
      <c r="F387" s="6" t="n">
        <v>46215</v>
      </c>
      <c r="G387" s="6" t="n">
        <v>46214</v>
      </c>
      <c r="H387" s="23" t="n">
        <f aca="false">ABS(F387-G387)</f>
        <v>1</v>
      </c>
      <c r="I387" s="7" t="n">
        <v>13024.1</v>
      </c>
      <c r="J387" s="7" t="n">
        <v>13024.1</v>
      </c>
      <c r="K387" s="7" t="n">
        <f aca="false">I387-J387</f>
        <v>0</v>
      </c>
      <c r="L387" s="4" t="s">
        <v>2444</v>
      </c>
      <c r="M387" s="4" t="s">
        <v>2445</v>
      </c>
      <c r="N387" s="4"/>
    </row>
    <row r="388" customFormat="false" ht="15" hidden="false" customHeight="false" outlineLevel="0" collapsed="false">
      <c r="A388" s="4" t="s">
        <v>2446</v>
      </c>
      <c r="B388" s="4" t="s">
        <v>539</v>
      </c>
      <c r="C388" s="22" t="n">
        <v>0.995</v>
      </c>
      <c r="D388" s="16" t="s">
        <v>2447</v>
      </c>
      <c r="E388" s="16" t="s">
        <v>2448</v>
      </c>
      <c r="F388" s="6" t="n">
        <v>46215</v>
      </c>
      <c r="G388" s="6" t="n">
        <v>46214</v>
      </c>
      <c r="H388" s="23" t="n">
        <f aca="false">ABS(F388-G388)</f>
        <v>1</v>
      </c>
      <c r="I388" s="7" t="n">
        <v>-44513.12</v>
      </c>
      <c r="J388" s="7" t="n">
        <v>-44513.12</v>
      </c>
      <c r="K388" s="7" t="n">
        <f aca="false">I388-J388</f>
        <v>0</v>
      </c>
      <c r="L388" s="4" t="s">
        <v>2449</v>
      </c>
      <c r="M388" s="4" t="s">
        <v>2450</v>
      </c>
      <c r="N388" s="4"/>
    </row>
    <row r="389" customFormat="false" ht="15" hidden="false" customHeight="false" outlineLevel="0" collapsed="false">
      <c r="A389" s="4" t="s">
        <v>2451</v>
      </c>
      <c r="B389" s="4" t="s">
        <v>539</v>
      </c>
      <c r="C389" s="22" t="n">
        <v>0.995</v>
      </c>
      <c r="D389" s="16" t="s">
        <v>2452</v>
      </c>
      <c r="E389" s="16" t="s">
        <v>2453</v>
      </c>
      <c r="F389" s="6" t="n">
        <v>46216</v>
      </c>
      <c r="G389" s="6" t="n">
        <v>46215</v>
      </c>
      <c r="H389" s="23" t="n">
        <f aca="false">ABS(F389-G389)</f>
        <v>1</v>
      </c>
      <c r="I389" s="7" t="n">
        <v>62148.37</v>
      </c>
      <c r="J389" s="7" t="n">
        <v>62148.37</v>
      </c>
      <c r="K389" s="7" t="n">
        <f aca="false">I389-J389</f>
        <v>0</v>
      </c>
      <c r="L389" s="4" t="s">
        <v>2454</v>
      </c>
      <c r="M389" s="4" t="s">
        <v>2455</v>
      </c>
      <c r="N389" s="4"/>
    </row>
    <row r="390" customFormat="false" ht="15" hidden="false" customHeight="false" outlineLevel="0" collapsed="false">
      <c r="A390" s="4" t="s">
        <v>2456</v>
      </c>
      <c r="B390" s="4" t="s">
        <v>539</v>
      </c>
      <c r="C390" s="22" t="n">
        <v>0.995</v>
      </c>
      <c r="D390" s="16" t="s">
        <v>2457</v>
      </c>
      <c r="E390" s="16" t="s">
        <v>2458</v>
      </c>
      <c r="F390" s="6" t="n">
        <v>46216</v>
      </c>
      <c r="G390" s="6" t="n">
        <v>46215</v>
      </c>
      <c r="H390" s="23" t="n">
        <f aca="false">ABS(F390-G390)</f>
        <v>1</v>
      </c>
      <c r="I390" s="7" t="n">
        <v>41985.44</v>
      </c>
      <c r="J390" s="7" t="n">
        <v>41985.44</v>
      </c>
      <c r="K390" s="7" t="n">
        <f aca="false">I390-J390</f>
        <v>0</v>
      </c>
      <c r="L390" s="4" t="s">
        <v>2459</v>
      </c>
      <c r="M390" s="4" t="s">
        <v>2460</v>
      </c>
      <c r="N390" s="4"/>
    </row>
    <row r="391" customFormat="false" ht="15" hidden="false" customHeight="false" outlineLevel="0" collapsed="false">
      <c r="A391" s="4" t="s">
        <v>2461</v>
      </c>
      <c r="B391" s="4" t="s">
        <v>539</v>
      </c>
      <c r="C391" s="22" t="n">
        <v>0.995</v>
      </c>
      <c r="D391" s="16" t="s">
        <v>2462</v>
      </c>
      <c r="E391" s="16" t="s">
        <v>2463</v>
      </c>
      <c r="F391" s="6" t="n">
        <v>46216</v>
      </c>
      <c r="G391" s="6" t="n">
        <v>46215</v>
      </c>
      <c r="H391" s="23" t="n">
        <f aca="false">ABS(F391-G391)</f>
        <v>1</v>
      </c>
      <c r="I391" s="7" t="n">
        <v>87838.23</v>
      </c>
      <c r="J391" s="7" t="n">
        <v>87838.23</v>
      </c>
      <c r="K391" s="7" t="n">
        <f aca="false">I391-J391</f>
        <v>0</v>
      </c>
      <c r="L391" s="4" t="s">
        <v>2464</v>
      </c>
      <c r="M391" s="4" t="s">
        <v>2465</v>
      </c>
      <c r="N391" s="4"/>
    </row>
    <row r="392" customFormat="false" ht="15" hidden="false" customHeight="false" outlineLevel="0" collapsed="false">
      <c r="A392" s="4" t="s">
        <v>2466</v>
      </c>
      <c r="B392" s="4" t="s">
        <v>539</v>
      </c>
      <c r="C392" s="22" t="n">
        <v>0.995</v>
      </c>
      <c r="D392" s="16" t="s">
        <v>2467</v>
      </c>
      <c r="E392" s="16" t="s">
        <v>2468</v>
      </c>
      <c r="F392" s="6" t="n">
        <v>46216</v>
      </c>
      <c r="G392" s="6" t="n">
        <v>46215</v>
      </c>
      <c r="H392" s="23" t="n">
        <f aca="false">ABS(F392-G392)</f>
        <v>1</v>
      </c>
      <c r="I392" s="7" t="n">
        <v>-41648.9</v>
      </c>
      <c r="J392" s="7" t="n">
        <v>-41648.9</v>
      </c>
      <c r="K392" s="7" t="n">
        <f aca="false">I392-J392</f>
        <v>0</v>
      </c>
      <c r="L392" s="4" t="s">
        <v>2469</v>
      </c>
      <c r="M392" s="4" t="s">
        <v>2470</v>
      </c>
      <c r="N392" s="4"/>
    </row>
    <row r="393" customFormat="false" ht="15" hidden="false" customHeight="false" outlineLevel="0" collapsed="false">
      <c r="A393" s="4" t="s">
        <v>2471</v>
      </c>
      <c r="B393" s="4" t="s">
        <v>539</v>
      </c>
      <c r="C393" s="22" t="n">
        <v>0.995</v>
      </c>
      <c r="D393" s="16" t="s">
        <v>2472</v>
      </c>
      <c r="E393" s="16" t="s">
        <v>2473</v>
      </c>
      <c r="F393" s="6" t="n">
        <v>46216</v>
      </c>
      <c r="G393" s="6" t="n">
        <v>46215</v>
      </c>
      <c r="H393" s="23" t="n">
        <f aca="false">ABS(F393-G393)</f>
        <v>1</v>
      </c>
      <c r="I393" s="7" t="n">
        <v>-42499.33</v>
      </c>
      <c r="J393" s="7" t="n">
        <v>-42499.33</v>
      </c>
      <c r="K393" s="7" t="n">
        <f aca="false">I393-J393</f>
        <v>0</v>
      </c>
      <c r="L393" s="4" t="s">
        <v>2474</v>
      </c>
      <c r="M393" s="4" t="s">
        <v>2475</v>
      </c>
      <c r="N393" s="4"/>
    </row>
    <row r="394" customFormat="false" ht="15" hidden="false" customHeight="false" outlineLevel="0" collapsed="false">
      <c r="A394" s="4" t="s">
        <v>2476</v>
      </c>
      <c r="B394" s="4" t="s">
        <v>539</v>
      </c>
      <c r="C394" s="22" t="n">
        <v>0.995</v>
      </c>
      <c r="D394" s="16" t="s">
        <v>2477</v>
      </c>
      <c r="E394" s="16" t="s">
        <v>2478</v>
      </c>
      <c r="F394" s="6" t="n">
        <v>46216</v>
      </c>
      <c r="G394" s="6" t="n">
        <v>46215</v>
      </c>
      <c r="H394" s="23" t="n">
        <f aca="false">ABS(F394-G394)</f>
        <v>1</v>
      </c>
      <c r="I394" s="7" t="n">
        <v>-43263.77</v>
      </c>
      <c r="J394" s="7" t="n">
        <v>-43263.77</v>
      </c>
      <c r="K394" s="7" t="n">
        <f aca="false">I394-J394</f>
        <v>0</v>
      </c>
      <c r="L394" s="4" t="s">
        <v>2479</v>
      </c>
      <c r="M394" s="4" t="s">
        <v>2480</v>
      </c>
      <c r="N394" s="4"/>
    </row>
    <row r="395" customFormat="false" ht="15" hidden="false" customHeight="false" outlineLevel="0" collapsed="false">
      <c r="A395" s="4" t="s">
        <v>2481</v>
      </c>
      <c r="B395" s="4" t="s">
        <v>539</v>
      </c>
      <c r="C395" s="22" t="n">
        <v>0.995</v>
      </c>
      <c r="D395" s="16" t="s">
        <v>2482</v>
      </c>
      <c r="E395" s="16" t="s">
        <v>2483</v>
      </c>
      <c r="F395" s="6" t="n">
        <v>46216</v>
      </c>
      <c r="G395" s="6" t="n">
        <v>46215</v>
      </c>
      <c r="H395" s="23" t="n">
        <f aca="false">ABS(F395-G395)</f>
        <v>1</v>
      </c>
      <c r="I395" s="7" t="n">
        <v>-21160.13</v>
      </c>
      <c r="J395" s="7" t="n">
        <v>-21160.13</v>
      </c>
      <c r="K395" s="7" t="n">
        <f aca="false">I395-J395</f>
        <v>0</v>
      </c>
      <c r="L395" s="4" t="s">
        <v>2484</v>
      </c>
      <c r="M395" s="4" t="s">
        <v>2485</v>
      </c>
      <c r="N395" s="4"/>
    </row>
    <row r="396" customFormat="false" ht="15" hidden="false" customHeight="false" outlineLevel="0" collapsed="false">
      <c r="A396" s="4" t="s">
        <v>2486</v>
      </c>
      <c r="B396" s="4" t="s">
        <v>539</v>
      </c>
      <c r="C396" s="22" t="n">
        <v>0.995</v>
      </c>
      <c r="D396" s="16" t="s">
        <v>2487</v>
      </c>
      <c r="E396" s="16" t="s">
        <v>2488</v>
      </c>
      <c r="F396" s="6" t="n">
        <v>46216</v>
      </c>
      <c r="G396" s="6" t="n">
        <v>46215</v>
      </c>
      <c r="H396" s="23" t="n">
        <f aca="false">ABS(F396-G396)</f>
        <v>1</v>
      </c>
      <c r="I396" s="7" t="n">
        <v>-28768.96</v>
      </c>
      <c r="J396" s="7" t="n">
        <v>-28768.96</v>
      </c>
      <c r="K396" s="7" t="n">
        <f aca="false">I396-J396</f>
        <v>0</v>
      </c>
      <c r="L396" s="4" t="s">
        <v>2489</v>
      </c>
      <c r="M396" s="4" t="s">
        <v>2490</v>
      </c>
      <c r="N396" s="4"/>
    </row>
    <row r="397" customFormat="false" ht="15" hidden="false" customHeight="false" outlineLevel="0" collapsed="false">
      <c r="A397" s="4" t="s">
        <v>2491</v>
      </c>
      <c r="B397" s="4" t="s">
        <v>539</v>
      </c>
      <c r="C397" s="22" t="n">
        <v>0.995</v>
      </c>
      <c r="D397" s="16" t="s">
        <v>2492</v>
      </c>
      <c r="E397" s="16" t="s">
        <v>2493</v>
      </c>
      <c r="F397" s="6" t="n">
        <v>46217</v>
      </c>
      <c r="G397" s="6" t="n">
        <v>46216</v>
      </c>
      <c r="H397" s="23" t="n">
        <f aca="false">ABS(F397-G397)</f>
        <v>1</v>
      </c>
      <c r="I397" s="7" t="n">
        <v>16916.37</v>
      </c>
      <c r="J397" s="7" t="n">
        <v>16916.37</v>
      </c>
      <c r="K397" s="7" t="n">
        <f aca="false">I397-J397</f>
        <v>0</v>
      </c>
      <c r="L397" s="4" t="s">
        <v>2494</v>
      </c>
      <c r="M397" s="4" t="s">
        <v>2495</v>
      </c>
      <c r="N397" s="4"/>
    </row>
    <row r="398" customFormat="false" ht="15" hidden="false" customHeight="false" outlineLevel="0" collapsed="false">
      <c r="A398" s="4" t="s">
        <v>2496</v>
      </c>
      <c r="B398" s="4" t="s">
        <v>539</v>
      </c>
      <c r="C398" s="22" t="n">
        <v>0.995</v>
      </c>
      <c r="D398" s="16" t="s">
        <v>2497</v>
      </c>
      <c r="E398" s="16" t="s">
        <v>2498</v>
      </c>
      <c r="F398" s="6" t="n">
        <v>46217</v>
      </c>
      <c r="G398" s="6" t="n">
        <v>46216</v>
      </c>
      <c r="H398" s="23" t="n">
        <f aca="false">ABS(F398-G398)</f>
        <v>1</v>
      </c>
      <c r="I398" s="7" t="n">
        <v>10735.6</v>
      </c>
      <c r="J398" s="7" t="n">
        <v>10735.6</v>
      </c>
      <c r="K398" s="7" t="n">
        <f aca="false">I398-J398</f>
        <v>0</v>
      </c>
      <c r="L398" s="4" t="s">
        <v>2499</v>
      </c>
      <c r="M398" s="4" t="s">
        <v>2500</v>
      </c>
      <c r="N398" s="4"/>
    </row>
    <row r="399" customFormat="false" ht="15" hidden="false" customHeight="false" outlineLevel="0" collapsed="false">
      <c r="A399" s="4" t="s">
        <v>2501</v>
      </c>
      <c r="B399" s="4" t="s">
        <v>539</v>
      </c>
      <c r="C399" s="22" t="n">
        <v>0.995</v>
      </c>
      <c r="D399" s="16" t="s">
        <v>2502</v>
      </c>
      <c r="E399" s="16" t="s">
        <v>2503</v>
      </c>
      <c r="F399" s="6" t="n">
        <v>46217</v>
      </c>
      <c r="G399" s="6" t="n">
        <v>46216</v>
      </c>
      <c r="H399" s="23" t="n">
        <f aca="false">ABS(F399-G399)</f>
        <v>1</v>
      </c>
      <c r="I399" s="7" t="n">
        <v>62766.94</v>
      </c>
      <c r="J399" s="7" t="n">
        <v>62766.94</v>
      </c>
      <c r="K399" s="7" t="n">
        <f aca="false">I399-J399</f>
        <v>0</v>
      </c>
      <c r="L399" s="4" t="s">
        <v>2504</v>
      </c>
      <c r="M399" s="4" t="s">
        <v>2505</v>
      </c>
      <c r="N399" s="4"/>
    </row>
    <row r="400" customFormat="false" ht="15" hidden="false" customHeight="false" outlineLevel="0" collapsed="false">
      <c r="A400" s="4" t="s">
        <v>2506</v>
      </c>
      <c r="B400" s="4" t="s">
        <v>539</v>
      </c>
      <c r="C400" s="22" t="n">
        <v>0.995</v>
      </c>
      <c r="D400" s="16" t="s">
        <v>2507</v>
      </c>
      <c r="E400" s="16" t="s">
        <v>2508</v>
      </c>
      <c r="F400" s="6" t="n">
        <v>46217</v>
      </c>
      <c r="G400" s="6" t="n">
        <v>46216</v>
      </c>
      <c r="H400" s="23" t="n">
        <f aca="false">ABS(F400-G400)</f>
        <v>1</v>
      </c>
      <c r="I400" s="7" t="n">
        <v>50713.26</v>
      </c>
      <c r="J400" s="7" t="n">
        <v>50713.26</v>
      </c>
      <c r="K400" s="7" t="n">
        <f aca="false">I400-J400</f>
        <v>0</v>
      </c>
      <c r="L400" s="4" t="s">
        <v>2509</v>
      </c>
      <c r="M400" s="4" t="s">
        <v>2510</v>
      </c>
      <c r="N400" s="4"/>
    </row>
    <row r="401" customFormat="false" ht="15" hidden="false" customHeight="false" outlineLevel="0" collapsed="false">
      <c r="A401" s="4" t="s">
        <v>2511</v>
      </c>
      <c r="B401" s="4" t="s">
        <v>539</v>
      </c>
      <c r="C401" s="22" t="n">
        <v>0.995</v>
      </c>
      <c r="D401" s="16" t="s">
        <v>2512</v>
      </c>
      <c r="E401" s="16" t="s">
        <v>2513</v>
      </c>
      <c r="F401" s="6" t="n">
        <v>46217</v>
      </c>
      <c r="G401" s="6" t="n">
        <v>46216</v>
      </c>
      <c r="H401" s="23" t="n">
        <f aca="false">ABS(F401-G401)</f>
        <v>1</v>
      </c>
      <c r="I401" s="7" t="n">
        <v>88107.34</v>
      </c>
      <c r="J401" s="7" t="n">
        <v>88107.34</v>
      </c>
      <c r="K401" s="7" t="n">
        <f aca="false">I401-J401</f>
        <v>0</v>
      </c>
      <c r="L401" s="4" t="s">
        <v>2514</v>
      </c>
      <c r="M401" s="4" t="s">
        <v>2515</v>
      </c>
      <c r="N401" s="4"/>
    </row>
    <row r="402" customFormat="false" ht="15" hidden="false" customHeight="false" outlineLevel="0" collapsed="false">
      <c r="A402" s="4" t="s">
        <v>2516</v>
      </c>
      <c r="B402" s="4" t="s">
        <v>539</v>
      </c>
      <c r="C402" s="22" t="n">
        <v>0.995</v>
      </c>
      <c r="D402" s="16" t="s">
        <v>2517</v>
      </c>
      <c r="E402" s="16" t="s">
        <v>2518</v>
      </c>
      <c r="F402" s="6" t="n">
        <v>46217</v>
      </c>
      <c r="G402" s="6" t="n">
        <v>46216</v>
      </c>
      <c r="H402" s="23" t="n">
        <f aca="false">ABS(F402-G402)</f>
        <v>1</v>
      </c>
      <c r="I402" s="7" t="n">
        <v>-54409.71</v>
      </c>
      <c r="J402" s="7" t="n">
        <v>-54409.71</v>
      </c>
      <c r="K402" s="7" t="n">
        <f aca="false">I402-J402</f>
        <v>0</v>
      </c>
      <c r="L402" s="4" t="s">
        <v>2519</v>
      </c>
      <c r="M402" s="4" t="s">
        <v>2520</v>
      </c>
      <c r="N402" s="4"/>
    </row>
    <row r="403" customFormat="false" ht="15" hidden="false" customHeight="false" outlineLevel="0" collapsed="false">
      <c r="A403" s="4" t="s">
        <v>2521</v>
      </c>
      <c r="B403" s="4" t="s">
        <v>539</v>
      </c>
      <c r="C403" s="22" t="n">
        <v>0.995</v>
      </c>
      <c r="D403" s="16" t="s">
        <v>2522</v>
      </c>
      <c r="E403" s="16" t="s">
        <v>2523</v>
      </c>
      <c r="F403" s="6" t="n">
        <v>46217</v>
      </c>
      <c r="G403" s="6" t="n">
        <v>46216</v>
      </c>
      <c r="H403" s="23" t="n">
        <f aca="false">ABS(F403-G403)</f>
        <v>1</v>
      </c>
      <c r="I403" s="7" t="n">
        <v>-54207.06</v>
      </c>
      <c r="J403" s="7" t="n">
        <v>-54207.06</v>
      </c>
      <c r="K403" s="7" t="n">
        <f aca="false">I403-J403</f>
        <v>0</v>
      </c>
      <c r="L403" s="4" t="s">
        <v>2524</v>
      </c>
      <c r="M403" s="4" t="s">
        <v>2525</v>
      </c>
      <c r="N403" s="4"/>
    </row>
    <row r="404" customFormat="false" ht="15" hidden="false" customHeight="false" outlineLevel="0" collapsed="false">
      <c r="A404" s="4" t="s">
        <v>2526</v>
      </c>
      <c r="B404" s="4" t="s">
        <v>539</v>
      </c>
      <c r="C404" s="22" t="n">
        <v>0.995</v>
      </c>
      <c r="D404" s="16" t="s">
        <v>2527</v>
      </c>
      <c r="E404" s="16" t="s">
        <v>2528</v>
      </c>
      <c r="F404" s="6" t="n">
        <v>46217</v>
      </c>
      <c r="G404" s="6" t="n">
        <v>46216</v>
      </c>
      <c r="H404" s="23" t="n">
        <f aca="false">ABS(F404-G404)</f>
        <v>1</v>
      </c>
      <c r="I404" s="7" t="n">
        <v>-44292.95</v>
      </c>
      <c r="J404" s="7" t="n">
        <v>-44292.95</v>
      </c>
      <c r="K404" s="7" t="n">
        <f aca="false">I404-J404</f>
        <v>0</v>
      </c>
      <c r="L404" s="4" t="s">
        <v>2529</v>
      </c>
      <c r="M404" s="4" t="s">
        <v>2530</v>
      </c>
      <c r="N404" s="4"/>
    </row>
    <row r="405" customFormat="false" ht="15" hidden="false" customHeight="false" outlineLevel="0" collapsed="false">
      <c r="A405" s="4" t="s">
        <v>2531</v>
      </c>
      <c r="B405" s="4" t="s">
        <v>539</v>
      </c>
      <c r="C405" s="22" t="n">
        <v>0.995</v>
      </c>
      <c r="D405" s="16" t="s">
        <v>2532</v>
      </c>
      <c r="E405" s="16" t="s">
        <v>2533</v>
      </c>
      <c r="F405" s="6" t="n">
        <v>46218</v>
      </c>
      <c r="G405" s="6" t="n">
        <v>46217</v>
      </c>
      <c r="H405" s="23" t="n">
        <f aca="false">ABS(F405-G405)</f>
        <v>1</v>
      </c>
      <c r="I405" s="7" t="n">
        <v>51057.64</v>
      </c>
      <c r="J405" s="7" t="n">
        <v>51057.64</v>
      </c>
      <c r="K405" s="7" t="n">
        <f aca="false">I405-J405</f>
        <v>0</v>
      </c>
      <c r="L405" s="4" t="s">
        <v>2534</v>
      </c>
      <c r="M405" s="4" t="s">
        <v>2535</v>
      </c>
      <c r="N405" s="4"/>
    </row>
    <row r="406" customFormat="false" ht="15" hidden="false" customHeight="false" outlineLevel="0" collapsed="false">
      <c r="A406" s="4" t="s">
        <v>2536</v>
      </c>
      <c r="B406" s="4" t="s">
        <v>539</v>
      </c>
      <c r="C406" s="22" t="n">
        <v>0.995</v>
      </c>
      <c r="D406" s="16" t="s">
        <v>2537</v>
      </c>
      <c r="E406" s="16" t="s">
        <v>2538</v>
      </c>
      <c r="F406" s="6" t="n">
        <v>46218</v>
      </c>
      <c r="G406" s="6" t="n">
        <v>46217</v>
      </c>
      <c r="H406" s="23" t="n">
        <f aca="false">ABS(F406-G406)</f>
        <v>1</v>
      </c>
      <c r="I406" s="7" t="n">
        <v>66363.04</v>
      </c>
      <c r="J406" s="7" t="n">
        <v>66363.04</v>
      </c>
      <c r="K406" s="7" t="n">
        <f aca="false">I406-J406</f>
        <v>0</v>
      </c>
      <c r="L406" s="4" t="s">
        <v>2539</v>
      </c>
      <c r="M406" s="4" t="s">
        <v>2540</v>
      </c>
      <c r="N406" s="4"/>
    </row>
    <row r="407" customFormat="false" ht="15" hidden="false" customHeight="false" outlineLevel="0" collapsed="false">
      <c r="A407" s="4" t="s">
        <v>2541</v>
      </c>
      <c r="B407" s="4" t="s">
        <v>539</v>
      </c>
      <c r="C407" s="22" t="n">
        <v>0.995</v>
      </c>
      <c r="D407" s="16" t="s">
        <v>2542</v>
      </c>
      <c r="E407" s="16" t="s">
        <v>2543</v>
      </c>
      <c r="F407" s="6" t="n">
        <v>46218</v>
      </c>
      <c r="G407" s="6" t="n">
        <v>46217</v>
      </c>
      <c r="H407" s="23" t="n">
        <f aca="false">ABS(F407-G407)</f>
        <v>1</v>
      </c>
      <c r="I407" s="7" t="n">
        <v>13053.67</v>
      </c>
      <c r="J407" s="7" t="n">
        <v>13053.67</v>
      </c>
      <c r="K407" s="7" t="n">
        <f aca="false">I407-J407</f>
        <v>0</v>
      </c>
      <c r="L407" s="4" t="s">
        <v>2544</v>
      </c>
      <c r="M407" s="4" t="s">
        <v>2545</v>
      </c>
      <c r="N407" s="4"/>
    </row>
    <row r="408" customFormat="false" ht="15" hidden="false" customHeight="false" outlineLevel="0" collapsed="false">
      <c r="A408" s="4" t="s">
        <v>2546</v>
      </c>
      <c r="B408" s="4" t="s">
        <v>539</v>
      </c>
      <c r="C408" s="22" t="n">
        <v>0.995</v>
      </c>
      <c r="D408" s="16" t="s">
        <v>2547</v>
      </c>
      <c r="E408" s="16" t="s">
        <v>2548</v>
      </c>
      <c r="F408" s="6" t="n">
        <v>46218</v>
      </c>
      <c r="G408" s="6" t="n">
        <v>46217</v>
      </c>
      <c r="H408" s="23" t="n">
        <f aca="false">ABS(F408-G408)</f>
        <v>1</v>
      </c>
      <c r="I408" s="7" t="n">
        <v>67643.37</v>
      </c>
      <c r="J408" s="7" t="n">
        <v>67643.37</v>
      </c>
      <c r="K408" s="7" t="n">
        <f aca="false">I408-J408</f>
        <v>0</v>
      </c>
      <c r="L408" s="4" t="s">
        <v>2549</v>
      </c>
      <c r="M408" s="4" t="s">
        <v>2550</v>
      </c>
      <c r="N408" s="4"/>
    </row>
    <row r="409" customFormat="false" ht="15" hidden="false" customHeight="false" outlineLevel="0" collapsed="false">
      <c r="A409" s="4" t="s">
        <v>2551</v>
      </c>
      <c r="B409" s="4" t="s">
        <v>539</v>
      </c>
      <c r="C409" s="22" t="n">
        <v>0.995</v>
      </c>
      <c r="D409" s="16" t="s">
        <v>2552</v>
      </c>
      <c r="E409" s="16" t="s">
        <v>2553</v>
      </c>
      <c r="F409" s="6" t="n">
        <v>46219</v>
      </c>
      <c r="G409" s="6" t="n">
        <v>46218</v>
      </c>
      <c r="H409" s="23" t="n">
        <f aca="false">ABS(F409-G409)</f>
        <v>1</v>
      </c>
      <c r="I409" s="7" t="n">
        <v>16331.4</v>
      </c>
      <c r="J409" s="7" t="n">
        <v>16331.4</v>
      </c>
      <c r="K409" s="7" t="n">
        <f aca="false">I409-J409</f>
        <v>0</v>
      </c>
      <c r="L409" s="4" t="s">
        <v>2554</v>
      </c>
      <c r="M409" s="4" t="s">
        <v>2555</v>
      </c>
      <c r="N409" s="4"/>
    </row>
    <row r="410" customFormat="false" ht="15" hidden="false" customHeight="false" outlineLevel="0" collapsed="false">
      <c r="A410" s="4" t="s">
        <v>2556</v>
      </c>
      <c r="B410" s="4" t="s">
        <v>539</v>
      </c>
      <c r="C410" s="22" t="n">
        <v>0.995</v>
      </c>
      <c r="D410" s="16" t="s">
        <v>2557</v>
      </c>
      <c r="E410" s="16" t="s">
        <v>2558</v>
      </c>
      <c r="F410" s="6" t="n">
        <v>46219</v>
      </c>
      <c r="G410" s="6" t="n">
        <v>46218</v>
      </c>
      <c r="H410" s="23" t="n">
        <f aca="false">ABS(F410-G410)</f>
        <v>1</v>
      </c>
      <c r="I410" s="7" t="n">
        <v>6626.54</v>
      </c>
      <c r="J410" s="7" t="n">
        <v>6626.54</v>
      </c>
      <c r="K410" s="7" t="n">
        <f aca="false">I410-J410</f>
        <v>0</v>
      </c>
      <c r="L410" s="4" t="s">
        <v>2559</v>
      </c>
      <c r="M410" s="4" t="s">
        <v>2560</v>
      </c>
      <c r="N410" s="4"/>
    </row>
    <row r="411" customFormat="false" ht="15" hidden="false" customHeight="false" outlineLevel="0" collapsed="false">
      <c r="A411" s="4" t="s">
        <v>2561</v>
      </c>
      <c r="B411" s="4" t="s">
        <v>539</v>
      </c>
      <c r="C411" s="22" t="n">
        <v>0.995</v>
      </c>
      <c r="D411" s="16" t="s">
        <v>2562</v>
      </c>
      <c r="E411" s="16" t="s">
        <v>2563</v>
      </c>
      <c r="F411" s="6" t="n">
        <v>46219</v>
      </c>
      <c r="G411" s="6" t="n">
        <v>46218</v>
      </c>
      <c r="H411" s="23" t="n">
        <f aca="false">ABS(F411-G411)</f>
        <v>1</v>
      </c>
      <c r="I411" s="7" t="n">
        <v>-24082.42</v>
      </c>
      <c r="J411" s="7" t="n">
        <v>-24082.42</v>
      </c>
      <c r="K411" s="7" t="n">
        <f aca="false">I411-J411</f>
        <v>0</v>
      </c>
      <c r="L411" s="4" t="s">
        <v>2564</v>
      </c>
      <c r="M411" s="4" t="s">
        <v>2565</v>
      </c>
      <c r="N411" s="4"/>
    </row>
    <row r="412" customFormat="false" ht="15" hidden="false" customHeight="false" outlineLevel="0" collapsed="false">
      <c r="A412" s="4" t="s">
        <v>2566</v>
      </c>
      <c r="B412" s="4" t="s">
        <v>539</v>
      </c>
      <c r="C412" s="22" t="n">
        <v>0.995</v>
      </c>
      <c r="D412" s="16" t="s">
        <v>2567</v>
      </c>
      <c r="E412" s="16" t="s">
        <v>2568</v>
      </c>
      <c r="F412" s="6" t="n">
        <v>46219</v>
      </c>
      <c r="G412" s="6" t="n">
        <v>46218</v>
      </c>
      <c r="H412" s="23" t="n">
        <f aca="false">ABS(F412-G412)</f>
        <v>1</v>
      </c>
      <c r="I412" s="7" t="n">
        <v>-41266.67</v>
      </c>
      <c r="J412" s="7" t="n">
        <v>-41266.67</v>
      </c>
      <c r="K412" s="7" t="n">
        <f aca="false">I412-J412</f>
        <v>0</v>
      </c>
      <c r="L412" s="4" t="s">
        <v>2569</v>
      </c>
      <c r="M412" s="4" t="s">
        <v>2570</v>
      </c>
      <c r="N412" s="4"/>
    </row>
    <row r="413" customFormat="false" ht="15" hidden="false" customHeight="false" outlineLevel="0" collapsed="false">
      <c r="A413" s="4" t="s">
        <v>2571</v>
      </c>
      <c r="B413" s="4" t="s">
        <v>539</v>
      </c>
      <c r="C413" s="22" t="n">
        <v>0.995</v>
      </c>
      <c r="D413" s="16" t="s">
        <v>2572</v>
      </c>
      <c r="E413" s="16" t="s">
        <v>2573</v>
      </c>
      <c r="F413" s="6" t="n">
        <v>46220</v>
      </c>
      <c r="G413" s="6" t="n">
        <v>46219</v>
      </c>
      <c r="H413" s="23" t="n">
        <f aca="false">ABS(F413-G413)</f>
        <v>1</v>
      </c>
      <c r="I413" s="7" t="n">
        <v>62249.82</v>
      </c>
      <c r="J413" s="7" t="n">
        <v>62249.82</v>
      </c>
      <c r="K413" s="7" t="n">
        <f aca="false">I413-J413</f>
        <v>0</v>
      </c>
      <c r="L413" s="4" t="s">
        <v>2574</v>
      </c>
      <c r="M413" s="4" t="s">
        <v>2575</v>
      </c>
      <c r="N413" s="4"/>
    </row>
    <row r="414" customFormat="false" ht="15" hidden="false" customHeight="false" outlineLevel="0" collapsed="false">
      <c r="A414" s="4" t="s">
        <v>2576</v>
      </c>
      <c r="B414" s="4" t="s">
        <v>539</v>
      </c>
      <c r="C414" s="22" t="n">
        <v>0.995</v>
      </c>
      <c r="D414" s="16" t="s">
        <v>2577</v>
      </c>
      <c r="E414" s="16" t="s">
        <v>2578</v>
      </c>
      <c r="F414" s="6" t="n">
        <v>46220</v>
      </c>
      <c r="G414" s="6" t="n">
        <v>46219</v>
      </c>
      <c r="H414" s="23" t="n">
        <f aca="false">ABS(F414-G414)</f>
        <v>1</v>
      </c>
      <c r="I414" s="7" t="n">
        <v>63219.44</v>
      </c>
      <c r="J414" s="7" t="n">
        <v>63219.44</v>
      </c>
      <c r="K414" s="7" t="n">
        <f aca="false">I414-J414</f>
        <v>0</v>
      </c>
      <c r="L414" s="4" t="s">
        <v>2579</v>
      </c>
      <c r="M414" s="4" t="s">
        <v>2580</v>
      </c>
      <c r="N414" s="4"/>
    </row>
    <row r="415" customFormat="false" ht="15" hidden="false" customHeight="false" outlineLevel="0" collapsed="false">
      <c r="A415" s="4" t="s">
        <v>2581</v>
      </c>
      <c r="B415" s="4" t="s">
        <v>539</v>
      </c>
      <c r="C415" s="22" t="n">
        <v>0.995</v>
      </c>
      <c r="D415" s="16" t="s">
        <v>2582</v>
      </c>
      <c r="E415" s="16" t="s">
        <v>2583</v>
      </c>
      <c r="F415" s="6" t="n">
        <v>46220</v>
      </c>
      <c r="G415" s="6" t="n">
        <v>46219</v>
      </c>
      <c r="H415" s="23" t="n">
        <f aca="false">ABS(F415-G415)</f>
        <v>1</v>
      </c>
      <c r="I415" s="7" t="n">
        <v>79845.97</v>
      </c>
      <c r="J415" s="7" t="n">
        <v>79845.97</v>
      </c>
      <c r="K415" s="7" t="n">
        <f aca="false">I415-J415</f>
        <v>0</v>
      </c>
      <c r="L415" s="4" t="s">
        <v>2584</v>
      </c>
      <c r="M415" s="4" t="s">
        <v>2585</v>
      </c>
      <c r="N415" s="4"/>
    </row>
    <row r="416" customFormat="false" ht="15" hidden="false" customHeight="false" outlineLevel="0" collapsed="false">
      <c r="A416" s="4" t="s">
        <v>2586</v>
      </c>
      <c r="B416" s="4" t="s">
        <v>539</v>
      </c>
      <c r="C416" s="22" t="n">
        <v>0.995</v>
      </c>
      <c r="D416" s="16" t="s">
        <v>2587</v>
      </c>
      <c r="E416" s="16" t="s">
        <v>2588</v>
      </c>
      <c r="F416" s="6" t="n">
        <v>46221</v>
      </c>
      <c r="G416" s="6" t="n">
        <v>46220</v>
      </c>
      <c r="H416" s="23" t="n">
        <f aca="false">ABS(F416-G416)</f>
        <v>1</v>
      </c>
      <c r="I416" s="7" t="n">
        <v>41234.42</v>
      </c>
      <c r="J416" s="7" t="n">
        <v>41234.42</v>
      </c>
      <c r="K416" s="7" t="n">
        <f aca="false">I416-J416</f>
        <v>0</v>
      </c>
      <c r="L416" s="4" t="s">
        <v>2589</v>
      </c>
      <c r="M416" s="4" t="s">
        <v>2590</v>
      </c>
      <c r="N416" s="4"/>
    </row>
    <row r="417" customFormat="false" ht="15" hidden="false" customHeight="false" outlineLevel="0" collapsed="false">
      <c r="A417" s="4" t="s">
        <v>2591</v>
      </c>
      <c r="B417" s="4" t="s">
        <v>539</v>
      </c>
      <c r="C417" s="22" t="n">
        <v>0.995</v>
      </c>
      <c r="D417" s="16" t="s">
        <v>2592</v>
      </c>
      <c r="E417" s="16" t="s">
        <v>2593</v>
      </c>
      <c r="F417" s="6" t="n">
        <v>46221</v>
      </c>
      <c r="G417" s="6" t="n">
        <v>46220</v>
      </c>
      <c r="H417" s="23" t="n">
        <f aca="false">ABS(F417-G417)</f>
        <v>1</v>
      </c>
      <c r="I417" s="7" t="n">
        <v>68186.79</v>
      </c>
      <c r="J417" s="7" t="n">
        <v>68186.79</v>
      </c>
      <c r="K417" s="7" t="n">
        <f aca="false">I417-J417</f>
        <v>0</v>
      </c>
      <c r="L417" s="4" t="s">
        <v>2594</v>
      </c>
      <c r="M417" s="4" t="s">
        <v>2595</v>
      </c>
      <c r="N417" s="4"/>
    </row>
    <row r="418" customFormat="false" ht="15" hidden="false" customHeight="false" outlineLevel="0" collapsed="false">
      <c r="A418" s="4" t="s">
        <v>2596</v>
      </c>
      <c r="B418" s="4" t="s">
        <v>539</v>
      </c>
      <c r="C418" s="22" t="n">
        <v>0.995</v>
      </c>
      <c r="D418" s="16" t="s">
        <v>2597</v>
      </c>
      <c r="E418" s="16" t="s">
        <v>2598</v>
      </c>
      <c r="F418" s="6" t="n">
        <v>46222</v>
      </c>
      <c r="G418" s="6" t="n">
        <v>46221</v>
      </c>
      <c r="H418" s="23" t="n">
        <f aca="false">ABS(F418-G418)</f>
        <v>1</v>
      </c>
      <c r="I418" s="7" t="n">
        <v>53548.47</v>
      </c>
      <c r="J418" s="7" t="n">
        <v>53548.47</v>
      </c>
      <c r="K418" s="7" t="n">
        <f aca="false">I418-J418</f>
        <v>0</v>
      </c>
      <c r="L418" s="4" t="s">
        <v>2599</v>
      </c>
      <c r="M418" s="4" t="s">
        <v>2600</v>
      </c>
      <c r="N418" s="4"/>
    </row>
    <row r="419" customFormat="false" ht="15" hidden="false" customHeight="false" outlineLevel="0" collapsed="false">
      <c r="A419" s="4" t="s">
        <v>2601</v>
      </c>
      <c r="B419" s="4" t="s">
        <v>539</v>
      </c>
      <c r="C419" s="22" t="n">
        <v>0.995</v>
      </c>
      <c r="D419" s="16" t="s">
        <v>2602</v>
      </c>
      <c r="E419" s="16" t="s">
        <v>2603</v>
      </c>
      <c r="F419" s="6" t="n">
        <v>46222</v>
      </c>
      <c r="G419" s="6" t="n">
        <v>46221</v>
      </c>
      <c r="H419" s="23" t="n">
        <f aca="false">ABS(F419-G419)</f>
        <v>1</v>
      </c>
      <c r="I419" s="7" t="n">
        <v>-38372.07</v>
      </c>
      <c r="J419" s="7" t="n">
        <v>-38372.07</v>
      </c>
      <c r="K419" s="7" t="n">
        <f aca="false">I419-J419</f>
        <v>0</v>
      </c>
      <c r="L419" s="4" t="s">
        <v>2604</v>
      </c>
      <c r="M419" s="4" t="s">
        <v>2605</v>
      </c>
      <c r="N419" s="4"/>
    </row>
    <row r="420" customFormat="false" ht="15" hidden="false" customHeight="false" outlineLevel="0" collapsed="false">
      <c r="A420" s="4" t="s">
        <v>2606</v>
      </c>
      <c r="B420" s="4" t="s">
        <v>539</v>
      </c>
      <c r="C420" s="22" t="n">
        <v>0.995</v>
      </c>
      <c r="D420" s="16" t="s">
        <v>2607</v>
      </c>
      <c r="E420" s="16" t="s">
        <v>2608</v>
      </c>
      <c r="F420" s="6" t="n">
        <v>46223</v>
      </c>
      <c r="G420" s="6" t="n">
        <v>46222</v>
      </c>
      <c r="H420" s="23" t="n">
        <f aca="false">ABS(F420-G420)</f>
        <v>1</v>
      </c>
      <c r="I420" s="7" t="n">
        <v>57302.83</v>
      </c>
      <c r="J420" s="7" t="n">
        <v>57302.83</v>
      </c>
      <c r="K420" s="7" t="n">
        <f aca="false">I420-J420</f>
        <v>0</v>
      </c>
      <c r="L420" s="4" t="s">
        <v>2609</v>
      </c>
      <c r="M420" s="4" t="s">
        <v>2610</v>
      </c>
      <c r="N420" s="4"/>
    </row>
    <row r="421" customFormat="false" ht="15" hidden="false" customHeight="false" outlineLevel="0" collapsed="false">
      <c r="A421" s="4" t="s">
        <v>2611</v>
      </c>
      <c r="B421" s="4" t="s">
        <v>539</v>
      </c>
      <c r="C421" s="22" t="n">
        <v>0.995</v>
      </c>
      <c r="D421" s="16" t="s">
        <v>2612</v>
      </c>
      <c r="E421" s="16" t="s">
        <v>2613</v>
      </c>
      <c r="F421" s="6" t="n">
        <v>46224</v>
      </c>
      <c r="G421" s="6" t="n">
        <v>46223</v>
      </c>
      <c r="H421" s="23" t="n">
        <f aca="false">ABS(F421-G421)</f>
        <v>1</v>
      </c>
      <c r="I421" s="7" t="n">
        <v>32792.61</v>
      </c>
      <c r="J421" s="7" t="n">
        <v>32792.61</v>
      </c>
      <c r="K421" s="7" t="n">
        <f aca="false">I421-J421</f>
        <v>0</v>
      </c>
      <c r="L421" s="4" t="s">
        <v>2614</v>
      </c>
      <c r="M421" s="4" t="s">
        <v>2615</v>
      </c>
      <c r="N421" s="4"/>
    </row>
    <row r="422" customFormat="false" ht="15" hidden="false" customHeight="false" outlineLevel="0" collapsed="false">
      <c r="A422" s="4" t="s">
        <v>2616</v>
      </c>
      <c r="B422" s="4" t="s">
        <v>539</v>
      </c>
      <c r="C422" s="22" t="n">
        <v>0.995</v>
      </c>
      <c r="D422" s="16" t="s">
        <v>2617</v>
      </c>
      <c r="E422" s="16" t="s">
        <v>2618</v>
      </c>
      <c r="F422" s="6" t="n">
        <v>46224</v>
      </c>
      <c r="G422" s="6" t="n">
        <v>46223</v>
      </c>
      <c r="H422" s="23" t="n">
        <f aca="false">ABS(F422-G422)</f>
        <v>1</v>
      </c>
      <c r="I422" s="7" t="n">
        <v>72656.97</v>
      </c>
      <c r="J422" s="7" t="n">
        <v>72656.97</v>
      </c>
      <c r="K422" s="7" t="n">
        <f aca="false">I422-J422</f>
        <v>0</v>
      </c>
      <c r="L422" s="4" t="s">
        <v>2619</v>
      </c>
      <c r="M422" s="4" t="s">
        <v>2620</v>
      </c>
      <c r="N422" s="4"/>
    </row>
    <row r="423" customFormat="false" ht="15" hidden="false" customHeight="false" outlineLevel="0" collapsed="false">
      <c r="A423" s="4" t="s">
        <v>2621</v>
      </c>
      <c r="B423" s="4" t="s">
        <v>539</v>
      </c>
      <c r="C423" s="22" t="n">
        <v>0.995</v>
      </c>
      <c r="D423" s="16" t="s">
        <v>2622</v>
      </c>
      <c r="E423" s="16" t="s">
        <v>2623</v>
      </c>
      <c r="F423" s="6" t="n">
        <v>46224</v>
      </c>
      <c r="G423" s="6" t="n">
        <v>46223</v>
      </c>
      <c r="H423" s="23" t="n">
        <f aca="false">ABS(F423-G423)</f>
        <v>1</v>
      </c>
      <c r="I423" s="7" t="n">
        <v>85526.43</v>
      </c>
      <c r="J423" s="7" t="n">
        <v>85526.43</v>
      </c>
      <c r="K423" s="7" t="n">
        <f aca="false">I423-J423</f>
        <v>0</v>
      </c>
      <c r="L423" s="4" t="s">
        <v>2624</v>
      </c>
      <c r="M423" s="4" t="s">
        <v>2625</v>
      </c>
      <c r="N423" s="4"/>
    </row>
    <row r="424" customFormat="false" ht="15" hidden="false" customHeight="false" outlineLevel="0" collapsed="false">
      <c r="A424" s="4" t="s">
        <v>2626</v>
      </c>
      <c r="B424" s="4" t="s">
        <v>539</v>
      </c>
      <c r="C424" s="22" t="n">
        <v>0.995</v>
      </c>
      <c r="D424" s="16" t="s">
        <v>2627</v>
      </c>
      <c r="E424" s="16" t="s">
        <v>2628</v>
      </c>
      <c r="F424" s="6" t="n">
        <v>46224</v>
      </c>
      <c r="G424" s="6" t="n">
        <v>46223</v>
      </c>
      <c r="H424" s="23" t="n">
        <f aca="false">ABS(F424-G424)</f>
        <v>1</v>
      </c>
      <c r="I424" s="7" t="n">
        <v>43385.33</v>
      </c>
      <c r="J424" s="7" t="n">
        <v>43385.33</v>
      </c>
      <c r="K424" s="7" t="n">
        <f aca="false">I424-J424</f>
        <v>0</v>
      </c>
      <c r="L424" s="4" t="s">
        <v>2629</v>
      </c>
      <c r="M424" s="4" t="s">
        <v>2630</v>
      </c>
      <c r="N424" s="4"/>
    </row>
    <row r="425" customFormat="false" ht="15" hidden="false" customHeight="false" outlineLevel="0" collapsed="false">
      <c r="A425" s="4" t="s">
        <v>2631</v>
      </c>
      <c r="B425" s="4" t="s">
        <v>539</v>
      </c>
      <c r="C425" s="22" t="n">
        <v>0.995</v>
      </c>
      <c r="D425" s="16" t="s">
        <v>2632</v>
      </c>
      <c r="E425" s="16" t="s">
        <v>2633</v>
      </c>
      <c r="F425" s="6" t="n">
        <v>46224</v>
      </c>
      <c r="G425" s="6" t="n">
        <v>46223</v>
      </c>
      <c r="H425" s="23" t="n">
        <f aca="false">ABS(F425-G425)</f>
        <v>1</v>
      </c>
      <c r="I425" s="7" t="n">
        <v>94016.22</v>
      </c>
      <c r="J425" s="7" t="n">
        <v>94016.22</v>
      </c>
      <c r="K425" s="7" t="n">
        <f aca="false">I425-J425</f>
        <v>0</v>
      </c>
      <c r="L425" s="4" t="s">
        <v>2634</v>
      </c>
      <c r="M425" s="4" t="s">
        <v>2635</v>
      </c>
      <c r="N425" s="4"/>
    </row>
    <row r="426" customFormat="false" ht="15" hidden="false" customHeight="false" outlineLevel="0" collapsed="false">
      <c r="A426" s="4" t="s">
        <v>2636</v>
      </c>
      <c r="B426" s="4" t="s">
        <v>539</v>
      </c>
      <c r="C426" s="22" t="n">
        <v>0.995</v>
      </c>
      <c r="D426" s="16" t="s">
        <v>2637</v>
      </c>
      <c r="E426" s="16" t="s">
        <v>2638</v>
      </c>
      <c r="F426" s="6" t="n">
        <v>46224</v>
      </c>
      <c r="G426" s="6" t="n">
        <v>46223</v>
      </c>
      <c r="H426" s="23" t="n">
        <f aca="false">ABS(F426-G426)</f>
        <v>1</v>
      </c>
      <c r="I426" s="7" t="n">
        <v>-20814.56</v>
      </c>
      <c r="J426" s="7" t="n">
        <v>-20814.56</v>
      </c>
      <c r="K426" s="7" t="n">
        <f aca="false">I426-J426</f>
        <v>0</v>
      </c>
      <c r="L426" s="4" t="s">
        <v>2639</v>
      </c>
      <c r="M426" s="4" t="s">
        <v>2640</v>
      </c>
      <c r="N426" s="4"/>
    </row>
    <row r="427" customFormat="false" ht="15" hidden="false" customHeight="false" outlineLevel="0" collapsed="false">
      <c r="A427" s="4" t="s">
        <v>2641</v>
      </c>
      <c r="B427" s="4" t="s">
        <v>539</v>
      </c>
      <c r="C427" s="22" t="n">
        <v>0.995</v>
      </c>
      <c r="D427" s="16" t="s">
        <v>2642</v>
      </c>
      <c r="E427" s="16" t="s">
        <v>2643</v>
      </c>
      <c r="F427" s="6" t="n">
        <v>46224</v>
      </c>
      <c r="G427" s="6" t="n">
        <v>46223</v>
      </c>
      <c r="H427" s="23" t="n">
        <f aca="false">ABS(F427-G427)</f>
        <v>1</v>
      </c>
      <c r="I427" s="7" t="n">
        <v>-59799.67</v>
      </c>
      <c r="J427" s="7" t="n">
        <v>-59799.67</v>
      </c>
      <c r="K427" s="7" t="n">
        <f aca="false">I427-J427</f>
        <v>0</v>
      </c>
      <c r="L427" s="4" t="s">
        <v>2644</v>
      </c>
      <c r="M427" s="4" t="s">
        <v>2645</v>
      </c>
      <c r="N427" s="4"/>
    </row>
    <row r="428" customFormat="false" ht="15" hidden="false" customHeight="false" outlineLevel="0" collapsed="false">
      <c r="A428" s="4" t="s">
        <v>2646</v>
      </c>
      <c r="B428" s="4" t="s">
        <v>539</v>
      </c>
      <c r="C428" s="22" t="n">
        <v>0.995</v>
      </c>
      <c r="D428" s="16" t="s">
        <v>2647</v>
      </c>
      <c r="E428" s="16" t="s">
        <v>2648</v>
      </c>
      <c r="F428" s="6" t="n">
        <v>46224</v>
      </c>
      <c r="G428" s="6" t="n">
        <v>46223</v>
      </c>
      <c r="H428" s="23" t="n">
        <f aca="false">ABS(F428-G428)</f>
        <v>1</v>
      </c>
      <c r="I428" s="7" t="n">
        <v>-6060.2</v>
      </c>
      <c r="J428" s="7" t="n">
        <v>-6060.2</v>
      </c>
      <c r="K428" s="7" t="n">
        <f aca="false">I428-J428</f>
        <v>0</v>
      </c>
      <c r="L428" s="4" t="s">
        <v>2649</v>
      </c>
      <c r="M428" s="4" t="s">
        <v>2650</v>
      </c>
      <c r="N428" s="4"/>
    </row>
    <row r="429" customFormat="false" ht="15" hidden="false" customHeight="false" outlineLevel="0" collapsed="false">
      <c r="A429" s="4" t="s">
        <v>2651</v>
      </c>
      <c r="B429" s="4" t="s">
        <v>539</v>
      </c>
      <c r="C429" s="22" t="n">
        <v>0.995</v>
      </c>
      <c r="D429" s="16" t="s">
        <v>2652</v>
      </c>
      <c r="E429" s="16" t="s">
        <v>2653</v>
      </c>
      <c r="F429" s="6" t="n">
        <v>46225</v>
      </c>
      <c r="G429" s="6" t="n">
        <v>46224</v>
      </c>
      <c r="H429" s="23" t="n">
        <f aca="false">ABS(F429-G429)</f>
        <v>1</v>
      </c>
      <c r="I429" s="7" t="n">
        <v>79584.91</v>
      </c>
      <c r="J429" s="7" t="n">
        <v>79584.91</v>
      </c>
      <c r="K429" s="7" t="n">
        <f aca="false">I429-J429</f>
        <v>0</v>
      </c>
      <c r="L429" s="4" t="s">
        <v>2654</v>
      </c>
      <c r="M429" s="4" t="s">
        <v>2655</v>
      </c>
      <c r="N429" s="4"/>
    </row>
    <row r="430" customFormat="false" ht="15" hidden="false" customHeight="false" outlineLevel="0" collapsed="false">
      <c r="A430" s="4" t="s">
        <v>2656</v>
      </c>
      <c r="B430" s="4" t="s">
        <v>539</v>
      </c>
      <c r="C430" s="22" t="n">
        <v>0.995</v>
      </c>
      <c r="D430" s="16" t="s">
        <v>2657</v>
      </c>
      <c r="E430" s="16" t="s">
        <v>2658</v>
      </c>
      <c r="F430" s="6" t="n">
        <v>46225</v>
      </c>
      <c r="G430" s="6" t="n">
        <v>46224</v>
      </c>
      <c r="H430" s="23" t="n">
        <f aca="false">ABS(F430-G430)</f>
        <v>1</v>
      </c>
      <c r="I430" s="7" t="n">
        <v>11386.04</v>
      </c>
      <c r="J430" s="7" t="n">
        <v>11386.04</v>
      </c>
      <c r="K430" s="7" t="n">
        <f aca="false">I430-J430</f>
        <v>0</v>
      </c>
      <c r="L430" s="4" t="s">
        <v>2659</v>
      </c>
      <c r="M430" s="4" t="s">
        <v>2660</v>
      </c>
      <c r="N430" s="4"/>
    </row>
    <row r="431" customFormat="false" ht="15" hidden="false" customHeight="false" outlineLevel="0" collapsed="false">
      <c r="A431" s="4" t="s">
        <v>2661</v>
      </c>
      <c r="B431" s="4" t="s">
        <v>539</v>
      </c>
      <c r="C431" s="22" t="n">
        <v>0.995</v>
      </c>
      <c r="D431" s="16" t="s">
        <v>2662</v>
      </c>
      <c r="E431" s="16" t="s">
        <v>2663</v>
      </c>
      <c r="F431" s="6" t="n">
        <v>46225</v>
      </c>
      <c r="G431" s="6" t="n">
        <v>46224</v>
      </c>
      <c r="H431" s="23" t="n">
        <f aca="false">ABS(F431-G431)</f>
        <v>1</v>
      </c>
      <c r="I431" s="7" t="n">
        <v>21655.43</v>
      </c>
      <c r="J431" s="7" t="n">
        <v>21655.43</v>
      </c>
      <c r="K431" s="7" t="n">
        <f aca="false">I431-J431</f>
        <v>0</v>
      </c>
      <c r="L431" s="4" t="s">
        <v>2664</v>
      </c>
      <c r="M431" s="4" t="s">
        <v>2665</v>
      </c>
      <c r="N431" s="4"/>
    </row>
    <row r="432" customFormat="false" ht="15" hidden="false" customHeight="false" outlineLevel="0" collapsed="false">
      <c r="A432" s="4" t="s">
        <v>2666</v>
      </c>
      <c r="B432" s="4" t="s">
        <v>539</v>
      </c>
      <c r="C432" s="22" t="n">
        <v>0.995</v>
      </c>
      <c r="D432" s="16" t="s">
        <v>2667</v>
      </c>
      <c r="E432" s="16" t="s">
        <v>2668</v>
      </c>
      <c r="F432" s="6" t="n">
        <v>46225</v>
      </c>
      <c r="G432" s="6" t="n">
        <v>46224</v>
      </c>
      <c r="H432" s="23" t="n">
        <f aca="false">ABS(F432-G432)</f>
        <v>1</v>
      </c>
      <c r="I432" s="7" t="n">
        <v>60221.16</v>
      </c>
      <c r="J432" s="7" t="n">
        <v>60221.16</v>
      </c>
      <c r="K432" s="7" t="n">
        <f aca="false">I432-J432</f>
        <v>0</v>
      </c>
      <c r="L432" s="4" t="s">
        <v>2669</v>
      </c>
      <c r="M432" s="4" t="s">
        <v>2670</v>
      </c>
      <c r="N432" s="4"/>
    </row>
    <row r="433" customFormat="false" ht="15" hidden="false" customHeight="false" outlineLevel="0" collapsed="false">
      <c r="A433" s="4" t="s">
        <v>2671</v>
      </c>
      <c r="B433" s="4" t="s">
        <v>539</v>
      </c>
      <c r="C433" s="22" t="n">
        <v>0.995</v>
      </c>
      <c r="D433" s="16" t="s">
        <v>2672</v>
      </c>
      <c r="E433" s="16" t="s">
        <v>2673</v>
      </c>
      <c r="F433" s="6" t="n">
        <v>46225</v>
      </c>
      <c r="G433" s="6" t="n">
        <v>46224</v>
      </c>
      <c r="H433" s="23" t="n">
        <f aca="false">ABS(F433-G433)</f>
        <v>1</v>
      </c>
      <c r="I433" s="7" t="n">
        <v>44247.6</v>
      </c>
      <c r="J433" s="7" t="n">
        <v>44247.6</v>
      </c>
      <c r="K433" s="7" t="n">
        <f aca="false">I433-J433</f>
        <v>0</v>
      </c>
      <c r="L433" s="4" t="s">
        <v>2674</v>
      </c>
      <c r="M433" s="4" t="s">
        <v>2675</v>
      </c>
      <c r="N433" s="4"/>
    </row>
    <row r="434" customFormat="false" ht="15" hidden="false" customHeight="false" outlineLevel="0" collapsed="false">
      <c r="A434" s="4" t="s">
        <v>2676</v>
      </c>
      <c r="B434" s="4" t="s">
        <v>539</v>
      </c>
      <c r="C434" s="22" t="n">
        <v>0.995</v>
      </c>
      <c r="D434" s="16" t="s">
        <v>2677</v>
      </c>
      <c r="E434" s="16" t="s">
        <v>2678</v>
      </c>
      <c r="F434" s="6" t="n">
        <v>46225</v>
      </c>
      <c r="G434" s="6" t="n">
        <v>46224</v>
      </c>
      <c r="H434" s="23" t="n">
        <f aca="false">ABS(F434-G434)</f>
        <v>1</v>
      </c>
      <c r="I434" s="7" t="n">
        <v>36773.28</v>
      </c>
      <c r="J434" s="7" t="n">
        <v>36773.28</v>
      </c>
      <c r="K434" s="7" t="n">
        <f aca="false">I434-J434</f>
        <v>0</v>
      </c>
      <c r="L434" s="4" t="s">
        <v>2679</v>
      </c>
      <c r="M434" s="4" t="s">
        <v>2680</v>
      </c>
      <c r="N434" s="4"/>
    </row>
    <row r="435" customFormat="false" ht="15" hidden="false" customHeight="false" outlineLevel="0" collapsed="false">
      <c r="A435" s="4" t="s">
        <v>2681</v>
      </c>
      <c r="B435" s="4" t="s">
        <v>539</v>
      </c>
      <c r="C435" s="22" t="n">
        <v>0.995</v>
      </c>
      <c r="D435" s="16" t="s">
        <v>2682</v>
      </c>
      <c r="E435" s="16" t="s">
        <v>2683</v>
      </c>
      <c r="F435" s="6" t="n">
        <v>46226</v>
      </c>
      <c r="G435" s="6" t="n">
        <v>46225</v>
      </c>
      <c r="H435" s="23" t="n">
        <f aca="false">ABS(F435-G435)</f>
        <v>1</v>
      </c>
      <c r="I435" s="7" t="n">
        <v>30282.7</v>
      </c>
      <c r="J435" s="7" t="n">
        <v>30282.7</v>
      </c>
      <c r="K435" s="7" t="n">
        <f aca="false">I435-J435</f>
        <v>0</v>
      </c>
      <c r="L435" s="4" t="s">
        <v>2684</v>
      </c>
      <c r="M435" s="4" t="s">
        <v>2685</v>
      </c>
      <c r="N435" s="4"/>
    </row>
    <row r="436" customFormat="false" ht="15" hidden="false" customHeight="false" outlineLevel="0" collapsed="false">
      <c r="A436" s="4" t="s">
        <v>2686</v>
      </c>
      <c r="B436" s="4" t="s">
        <v>539</v>
      </c>
      <c r="C436" s="22" t="n">
        <v>0.995</v>
      </c>
      <c r="D436" s="16" t="s">
        <v>2687</v>
      </c>
      <c r="E436" s="16" t="s">
        <v>2688</v>
      </c>
      <c r="F436" s="6" t="n">
        <v>46227</v>
      </c>
      <c r="G436" s="6" t="n">
        <v>46226</v>
      </c>
      <c r="H436" s="23" t="n">
        <f aca="false">ABS(F436-G436)</f>
        <v>1</v>
      </c>
      <c r="I436" s="7" t="n">
        <v>49008.15</v>
      </c>
      <c r="J436" s="7" t="n">
        <v>49008.15</v>
      </c>
      <c r="K436" s="7" t="n">
        <f aca="false">I436-J436</f>
        <v>0</v>
      </c>
      <c r="L436" s="4" t="s">
        <v>2689</v>
      </c>
      <c r="M436" s="4" t="s">
        <v>2690</v>
      </c>
      <c r="N436" s="4"/>
    </row>
    <row r="437" customFormat="false" ht="15" hidden="false" customHeight="false" outlineLevel="0" collapsed="false">
      <c r="A437" s="4" t="s">
        <v>2691</v>
      </c>
      <c r="B437" s="4" t="s">
        <v>539</v>
      </c>
      <c r="C437" s="22" t="n">
        <v>0.995</v>
      </c>
      <c r="D437" s="16" t="s">
        <v>2692</v>
      </c>
      <c r="E437" s="16" t="s">
        <v>2693</v>
      </c>
      <c r="F437" s="6" t="n">
        <v>46227</v>
      </c>
      <c r="G437" s="6" t="n">
        <v>46226</v>
      </c>
      <c r="H437" s="23" t="n">
        <f aca="false">ABS(F437-G437)</f>
        <v>1</v>
      </c>
      <c r="I437" s="7" t="n">
        <v>-5619.2</v>
      </c>
      <c r="J437" s="7" t="n">
        <v>-5619.2</v>
      </c>
      <c r="K437" s="7" t="n">
        <f aca="false">I437-J437</f>
        <v>0</v>
      </c>
      <c r="L437" s="4" t="s">
        <v>2694</v>
      </c>
      <c r="M437" s="4" t="s">
        <v>2695</v>
      </c>
      <c r="N437" s="4"/>
    </row>
    <row r="438" customFormat="false" ht="15" hidden="false" customHeight="false" outlineLevel="0" collapsed="false">
      <c r="A438" s="4" t="s">
        <v>2696</v>
      </c>
      <c r="B438" s="4" t="s">
        <v>539</v>
      </c>
      <c r="C438" s="22" t="n">
        <v>0.995</v>
      </c>
      <c r="D438" s="16" t="s">
        <v>2697</v>
      </c>
      <c r="E438" s="16" t="s">
        <v>2698</v>
      </c>
      <c r="F438" s="6" t="n">
        <v>46228</v>
      </c>
      <c r="G438" s="6" t="n">
        <v>46227</v>
      </c>
      <c r="H438" s="23" t="n">
        <f aca="false">ABS(F438-G438)</f>
        <v>1</v>
      </c>
      <c r="I438" s="7" t="n">
        <v>79460.61</v>
      </c>
      <c r="J438" s="7" t="n">
        <v>79460.61</v>
      </c>
      <c r="K438" s="7" t="n">
        <f aca="false">I438-J438</f>
        <v>0</v>
      </c>
      <c r="L438" s="4" t="s">
        <v>2699</v>
      </c>
      <c r="M438" s="4" t="s">
        <v>2700</v>
      </c>
      <c r="N438" s="4"/>
    </row>
    <row r="439" customFormat="false" ht="15" hidden="false" customHeight="false" outlineLevel="0" collapsed="false">
      <c r="A439" s="4" t="s">
        <v>2701</v>
      </c>
      <c r="B439" s="4" t="s">
        <v>539</v>
      </c>
      <c r="C439" s="22" t="n">
        <v>0.995</v>
      </c>
      <c r="D439" s="16" t="s">
        <v>2702</v>
      </c>
      <c r="E439" s="16" t="s">
        <v>2703</v>
      </c>
      <c r="F439" s="6" t="n">
        <v>46228</v>
      </c>
      <c r="G439" s="6" t="n">
        <v>46227</v>
      </c>
      <c r="H439" s="23" t="n">
        <f aca="false">ABS(F439-G439)</f>
        <v>1</v>
      </c>
      <c r="I439" s="7" t="n">
        <v>28016.68</v>
      </c>
      <c r="J439" s="7" t="n">
        <v>28016.68</v>
      </c>
      <c r="K439" s="7" t="n">
        <f aca="false">I439-J439</f>
        <v>0</v>
      </c>
      <c r="L439" s="4" t="s">
        <v>2704</v>
      </c>
      <c r="M439" s="4" t="s">
        <v>2705</v>
      </c>
      <c r="N439" s="4"/>
    </row>
    <row r="440" customFormat="false" ht="15" hidden="false" customHeight="false" outlineLevel="0" collapsed="false">
      <c r="A440" s="4" t="s">
        <v>2706</v>
      </c>
      <c r="B440" s="4" t="s">
        <v>539</v>
      </c>
      <c r="C440" s="22" t="n">
        <v>0.995</v>
      </c>
      <c r="D440" s="16" t="s">
        <v>2707</v>
      </c>
      <c r="E440" s="16" t="s">
        <v>2708</v>
      </c>
      <c r="F440" s="6" t="n">
        <v>46228</v>
      </c>
      <c r="G440" s="6" t="n">
        <v>46227</v>
      </c>
      <c r="H440" s="23" t="n">
        <f aca="false">ABS(F440-G440)</f>
        <v>1</v>
      </c>
      <c r="I440" s="7" t="n">
        <v>48216.54</v>
      </c>
      <c r="J440" s="7" t="n">
        <v>48216.54</v>
      </c>
      <c r="K440" s="7" t="n">
        <f aca="false">I440-J440</f>
        <v>0</v>
      </c>
      <c r="L440" s="4" t="s">
        <v>2709</v>
      </c>
      <c r="M440" s="4" t="s">
        <v>2710</v>
      </c>
      <c r="N440" s="4"/>
    </row>
    <row r="441" customFormat="false" ht="15" hidden="false" customHeight="false" outlineLevel="0" collapsed="false">
      <c r="A441" s="4" t="s">
        <v>2711</v>
      </c>
      <c r="B441" s="4" t="s">
        <v>539</v>
      </c>
      <c r="C441" s="22" t="n">
        <v>0.995</v>
      </c>
      <c r="D441" s="16" t="s">
        <v>2712</v>
      </c>
      <c r="E441" s="16" t="s">
        <v>2713</v>
      </c>
      <c r="F441" s="6" t="n">
        <v>46228</v>
      </c>
      <c r="G441" s="6" t="n">
        <v>46227</v>
      </c>
      <c r="H441" s="23" t="n">
        <f aca="false">ABS(F441-G441)</f>
        <v>1</v>
      </c>
      <c r="I441" s="7" t="n">
        <v>82345.45</v>
      </c>
      <c r="J441" s="7" t="n">
        <v>82345.45</v>
      </c>
      <c r="K441" s="7" t="n">
        <f aca="false">I441-J441</f>
        <v>0</v>
      </c>
      <c r="L441" s="4" t="s">
        <v>2714</v>
      </c>
      <c r="M441" s="4" t="s">
        <v>2715</v>
      </c>
      <c r="N441" s="4"/>
    </row>
    <row r="442" customFormat="false" ht="15" hidden="false" customHeight="false" outlineLevel="0" collapsed="false">
      <c r="A442" s="4" t="s">
        <v>2716</v>
      </c>
      <c r="B442" s="4" t="s">
        <v>539</v>
      </c>
      <c r="C442" s="22" t="n">
        <v>0.995</v>
      </c>
      <c r="D442" s="16" t="s">
        <v>2717</v>
      </c>
      <c r="E442" s="16" t="s">
        <v>2718</v>
      </c>
      <c r="F442" s="6" t="n">
        <v>46229</v>
      </c>
      <c r="G442" s="6" t="n">
        <v>46228</v>
      </c>
      <c r="H442" s="23" t="n">
        <f aca="false">ABS(F442-G442)</f>
        <v>1</v>
      </c>
      <c r="I442" s="7" t="n">
        <v>55550.8</v>
      </c>
      <c r="J442" s="7" t="n">
        <v>55550.8</v>
      </c>
      <c r="K442" s="7" t="n">
        <f aca="false">I442-J442</f>
        <v>0</v>
      </c>
      <c r="L442" s="4" t="s">
        <v>2719</v>
      </c>
      <c r="M442" s="4" t="s">
        <v>2720</v>
      </c>
      <c r="N442" s="4"/>
    </row>
    <row r="443" customFormat="false" ht="15" hidden="false" customHeight="false" outlineLevel="0" collapsed="false">
      <c r="A443" s="4" t="s">
        <v>2721</v>
      </c>
      <c r="B443" s="4" t="s">
        <v>539</v>
      </c>
      <c r="C443" s="22" t="n">
        <v>0.995</v>
      </c>
      <c r="D443" s="16" t="s">
        <v>2722</v>
      </c>
      <c r="E443" s="16" t="s">
        <v>2723</v>
      </c>
      <c r="F443" s="6" t="n">
        <v>46229</v>
      </c>
      <c r="G443" s="6" t="n">
        <v>46228</v>
      </c>
      <c r="H443" s="23" t="n">
        <f aca="false">ABS(F443-G443)</f>
        <v>1</v>
      </c>
      <c r="I443" s="7" t="n">
        <v>86496.28</v>
      </c>
      <c r="J443" s="7" t="n">
        <v>86496.28</v>
      </c>
      <c r="K443" s="7" t="n">
        <f aca="false">I443-J443</f>
        <v>0</v>
      </c>
      <c r="L443" s="4" t="s">
        <v>2724</v>
      </c>
      <c r="M443" s="4" t="s">
        <v>2725</v>
      </c>
      <c r="N443" s="4"/>
    </row>
    <row r="444" customFormat="false" ht="15" hidden="false" customHeight="false" outlineLevel="0" collapsed="false">
      <c r="A444" s="4" t="s">
        <v>2726</v>
      </c>
      <c r="B444" s="4" t="s">
        <v>539</v>
      </c>
      <c r="C444" s="22" t="n">
        <v>0.995</v>
      </c>
      <c r="D444" s="16" t="s">
        <v>2727</v>
      </c>
      <c r="E444" s="16" t="s">
        <v>2728</v>
      </c>
      <c r="F444" s="6" t="n">
        <v>46229</v>
      </c>
      <c r="G444" s="6" t="n">
        <v>46228</v>
      </c>
      <c r="H444" s="23" t="n">
        <f aca="false">ABS(F444-G444)</f>
        <v>1</v>
      </c>
      <c r="I444" s="7" t="n">
        <v>67304.99</v>
      </c>
      <c r="J444" s="7" t="n">
        <v>67304.99</v>
      </c>
      <c r="K444" s="7" t="n">
        <f aca="false">I444-J444</f>
        <v>0</v>
      </c>
      <c r="L444" s="4" t="s">
        <v>2729</v>
      </c>
      <c r="M444" s="4" t="s">
        <v>2730</v>
      </c>
      <c r="N444" s="4"/>
    </row>
    <row r="445" customFormat="false" ht="15" hidden="false" customHeight="false" outlineLevel="0" collapsed="false">
      <c r="A445" s="4" t="s">
        <v>2731</v>
      </c>
      <c r="B445" s="4" t="s">
        <v>539</v>
      </c>
      <c r="C445" s="22" t="n">
        <v>0.995</v>
      </c>
      <c r="D445" s="16" t="s">
        <v>2732</v>
      </c>
      <c r="E445" s="16" t="s">
        <v>2733</v>
      </c>
      <c r="F445" s="6" t="n">
        <v>46230</v>
      </c>
      <c r="G445" s="6" t="n">
        <v>46229</v>
      </c>
      <c r="H445" s="23" t="n">
        <f aca="false">ABS(F445-G445)</f>
        <v>1</v>
      </c>
      <c r="I445" s="7" t="n">
        <v>75877.32</v>
      </c>
      <c r="J445" s="7" t="n">
        <v>75877.32</v>
      </c>
      <c r="K445" s="7" t="n">
        <f aca="false">I445-J445</f>
        <v>0</v>
      </c>
      <c r="L445" s="4" t="s">
        <v>2734</v>
      </c>
      <c r="M445" s="4" t="s">
        <v>2735</v>
      </c>
      <c r="N445" s="4"/>
    </row>
    <row r="446" customFormat="false" ht="15" hidden="false" customHeight="false" outlineLevel="0" collapsed="false">
      <c r="A446" s="4" t="s">
        <v>2736</v>
      </c>
      <c r="B446" s="4" t="s">
        <v>539</v>
      </c>
      <c r="C446" s="22" t="n">
        <v>0.995</v>
      </c>
      <c r="D446" s="16" t="s">
        <v>2737</v>
      </c>
      <c r="E446" s="16" t="s">
        <v>2738</v>
      </c>
      <c r="F446" s="6" t="n">
        <v>46230</v>
      </c>
      <c r="G446" s="6" t="n">
        <v>46229</v>
      </c>
      <c r="H446" s="23" t="n">
        <f aca="false">ABS(F446-G446)</f>
        <v>1</v>
      </c>
      <c r="I446" s="7" t="n">
        <v>59555.08</v>
      </c>
      <c r="J446" s="7" t="n">
        <v>59555.08</v>
      </c>
      <c r="K446" s="7" t="n">
        <f aca="false">I446-J446</f>
        <v>0</v>
      </c>
      <c r="L446" s="4" t="s">
        <v>2739</v>
      </c>
      <c r="M446" s="4" t="s">
        <v>2740</v>
      </c>
      <c r="N446" s="4"/>
    </row>
    <row r="447" customFormat="false" ht="15" hidden="false" customHeight="false" outlineLevel="0" collapsed="false">
      <c r="A447" s="4" t="s">
        <v>2741</v>
      </c>
      <c r="B447" s="4" t="s">
        <v>539</v>
      </c>
      <c r="C447" s="22" t="n">
        <v>0.995</v>
      </c>
      <c r="D447" s="16" t="s">
        <v>2742</v>
      </c>
      <c r="E447" s="16" t="s">
        <v>2743</v>
      </c>
      <c r="F447" s="6" t="n">
        <v>46230</v>
      </c>
      <c r="G447" s="6" t="n">
        <v>46229</v>
      </c>
      <c r="H447" s="23" t="n">
        <f aca="false">ABS(F447-G447)</f>
        <v>1</v>
      </c>
      <c r="I447" s="7" t="n">
        <v>3119.51</v>
      </c>
      <c r="J447" s="7" t="n">
        <v>3119.51</v>
      </c>
      <c r="K447" s="7" t="n">
        <f aca="false">I447-J447</f>
        <v>0</v>
      </c>
      <c r="L447" s="4" t="s">
        <v>2744</v>
      </c>
      <c r="M447" s="4" t="s">
        <v>2745</v>
      </c>
      <c r="N447" s="4"/>
    </row>
    <row r="448" customFormat="false" ht="15" hidden="false" customHeight="false" outlineLevel="0" collapsed="false">
      <c r="A448" s="4" t="s">
        <v>2746</v>
      </c>
      <c r="B448" s="4" t="s">
        <v>539</v>
      </c>
      <c r="C448" s="22" t="n">
        <v>0.995</v>
      </c>
      <c r="D448" s="16" t="s">
        <v>2747</v>
      </c>
      <c r="E448" s="16" t="s">
        <v>2748</v>
      </c>
      <c r="F448" s="6" t="n">
        <v>46230</v>
      </c>
      <c r="G448" s="6" t="n">
        <v>46229</v>
      </c>
      <c r="H448" s="23" t="n">
        <f aca="false">ABS(F448-G448)</f>
        <v>1</v>
      </c>
      <c r="I448" s="7" t="n">
        <v>80169.88</v>
      </c>
      <c r="J448" s="7" t="n">
        <v>80169.88</v>
      </c>
      <c r="K448" s="7" t="n">
        <f aca="false">I448-J448</f>
        <v>0</v>
      </c>
      <c r="L448" s="4" t="s">
        <v>2749</v>
      </c>
      <c r="M448" s="4" t="s">
        <v>2750</v>
      </c>
      <c r="N448" s="4"/>
    </row>
    <row r="449" customFormat="false" ht="15" hidden="false" customHeight="false" outlineLevel="0" collapsed="false">
      <c r="A449" s="4" t="s">
        <v>2751</v>
      </c>
      <c r="B449" s="4" t="s">
        <v>539</v>
      </c>
      <c r="C449" s="22" t="n">
        <v>0.995</v>
      </c>
      <c r="D449" s="16" t="s">
        <v>2752</v>
      </c>
      <c r="E449" s="16" t="s">
        <v>2753</v>
      </c>
      <c r="F449" s="6" t="n">
        <v>46230</v>
      </c>
      <c r="G449" s="6" t="n">
        <v>46229</v>
      </c>
      <c r="H449" s="23" t="n">
        <f aca="false">ABS(F449-G449)</f>
        <v>1</v>
      </c>
      <c r="I449" s="7" t="n">
        <v>-39061.59</v>
      </c>
      <c r="J449" s="7" t="n">
        <v>-39061.59</v>
      </c>
      <c r="K449" s="7" t="n">
        <f aca="false">I449-J449</f>
        <v>0</v>
      </c>
      <c r="L449" s="4" t="s">
        <v>2754</v>
      </c>
      <c r="M449" s="4" t="s">
        <v>2755</v>
      </c>
      <c r="N449" s="4"/>
    </row>
    <row r="450" customFormat="false" ht="15" hidden="false" customHeight="false" outlineLevel="0" collapsed="false">
      <c r="A450" s="4" t="s">
        <v>2756</v>
      </c>
      <c r="B450" s="4" t="s">
        <v>539</v>
      </c>
      <c r="C450" s="22" t="n">
        <v>0.995</v>
      </c>
      <c r="D450" s="16" t="s">
        <v>2757</v>
      </c>
      <c r="E450" s="16" t="s">
        <v>2758</v>
      </c>
      <c r="F450" s="6" t="n">
        <v>46230</v>
      </c>
      <c r="G450" s="6" t="n">
        <v>46229</v>
      </c>
      <c r="H450" s="23" t="n">
        <f aca="false">ABS(F450-G450)</f>
        <v>1</v>
      </c>
      <c r="I450" s="7" t="n">
        <v>-15796.54</v>
      </c>
      <c r="J450" s="7" t="n">
        <v>-15796.54</v>
      </c>
      <c r="K450" s="7" t="n">
        <f aca="false">I450-J450</f>
        <v>0</v>
      </c>
      <c r="L450" s="4" t="s">
        <v>2759</v>
      </c>
      <c r="M450" s="4" t="s">
        <v>2760</v>
      </c>
      <c r="N450" s="4"/>
    </row>
    <row r="451" customFormat="false" ht="15" hidden="false" customHeight="false" outlineLevel="0" collapsed="false">
      <c r="A451" s="4" t="s">
        <v>2761</v>
      </c>
      <c r="B451" s="4" t="s">
        <v>539</v>
      </c>
      <c r="C451" s="22" t="n">
        <v>0.995</v>
      </c>
      <c r="D451" s="16" t="s">
        <v>2762</v>
      </c>
      <c r="E451" s="16" t="s">
        <v>2763</v>
      </c>
      <c r="F451" s="6" t="n">
        <v>46231</v>
      </c>
      <c r="G451" s="6" t="n">
        <v>46230</v>
      </c>
      <c r="H451" s="23" t="n">
        <f aca="false">ABS(F451-G451)</f>
        <v>1</v>
      </c>
      <c r="I451" s="7" t="n">
        <v>9195.98</v>
      </c>
      <c r="J451" s="7" t="n">
        <v>9195.98</v>
      </c>
      <c r="K451" s="7" t="n">
        <f aca="false">I451-J451</f>
        <v>0</v>
      </c>
      <c r="L451" s="4" t="s">
        <v>2764</v>
      </c>
      <c r="M451" s="4" t="s">
        <v>2765</v>
      </c>
      <c r="N451" s="4"/>
    </row>
    <row r="452" customFormat="false" ht="15" hidden="false" customHeight="false" outlineLevel="0" collapsed="false">
      <c r="A452" s="4" t="s">
        <v>2766</v>
      </c>
      <c r="B452" s="4" t="s">
        <v>539</v>
      </c>
      <c r="C452" s="22" t="n">
        <v>0.995</v>
      </c>
      <c r="D452" s="16" t="s">
        <v>2767</v>
      </c>
      <c r="E452" s="16" t="s">
        <v>2768</v>
      </c>
      <c r="F452" s="6" t="n">
        <v>46231</v>
      </c>
      <c r="G452" s="6" t="n">
        <v>46230</v>
      </c>
      <c r="H452" s="23" t="n">
        <f aca="false">ABS(F452-G452)</f>
        <v>1</v>
      </c>
      <c r="I452" s="7" t="n">
        <v>71617.33</v>
      </c>
      <c r="J452" s="7" t="n">
        <v>71617.33</v>
      </c>
      <c r="K452" s="7" t="n">
        <f aca="false">I452-J452</f>
        <v>0</v>
      </c>
      <c r="L452" s="4" t="s">
        <v>2769</v>
      </c>
      <c r="M452" s="4" t="s">
        <v>2770</v>
      </c>
      <c r="N452" s="4"/>
    </row>
    <row r="453" customFormat="false" ht="15" hidden="false" customHeight="false" outlineLevel="0" collapsed="false">
      <c r="A453" s="4" t="s">
        <v>2771</v>
      </c>
      <c r="B453" s="4" t="s">
        <v>539</v>
      </c>
      <c r="C453" s="22" t="n">
        <v>0.995</v>
      </c>
      <c r="D453" s="16" t="s">
        <v>2772</v>
      </c>
      <c r="E453" s="16" t="s">
        <v>2773</v>
      </c>
      <c r="F453" s="6" t="n">
        <v>46231</v>
      </c>
      <c r="G453" s="6" t="n">
        <v>46230</v>
      </c>
      <c r="H453" s="23" t="n">
        <f aca="false">ABS(F453-G453)</f>
        <v>1</v>
      </c>
      <c r="I453" s="7" t="n">
        <v>49448.81</v>
      </c>
      <c r="J453" s="7" t="n">
        <v>49448.81</v>
      </c>
      <c r="K453" s="7" t="n">
        <f aca="false">I453-J453</f>
        <v>0</v>
      </c>
      <c r="L453" s="4" t="s">
        <v>2774</v>
      </c>
      <c r="M453" s="4" t="s">
        <v>2775</v>
      </c>
      <c r="N453" s="4"/>
    </row>
    <row r="454" customFormat="false" ht="15" hidden="false" customHeight="false" outlineLevel="0" collapsed="false">
      <c r="A454" s="4" t="s">
        <v>2776</v>
      </c>
      <c r="B454" s="4" t="s">
        <v>539</v>
      </c>
      <c r="C454" s="22" t="n">
        <v>0.995</v>
      </c>
      <c r="D454" s="16" t="s">
        <v>2777</v>
      </c>
      <c r="E454" s="16" t="s">
        <v>2778</v>
      </c>
      <c r="F454" s="6" t="n">
        <v>46231</v>
      </c>
      <c r="G454" s="6" t="n">
        <v>46230</v>
      </c>
      <c r="H454" s="23" t="n">
        <f aca="false">ABS(F454-G454)</f>
        <v>1</v>
      </c>
      <c r="I454" s="7" t="n">
        <v>53979.55</v>
      </c>
      <c r="J454" s="7" t="n">
        <v>53979.55</v>
      </c>
      <c r="K454" s="7" t="n">
        <f aca="false">I454-J454</f>
        <v>0</v>
      </c>
      <c r="L454" s="4" t="s">
        <v>2779</v>
      </c>
      <c r="M454" s="4" t="s">
        <v>2780</v>
      </c>
      <c r="N454" s="4"/>
    </row>
    <row r="455" customFormat="false" ht="15" hidden="false" customHeight="false" outlineLevel="0" collapsed="false">
      <c r="A455" s="4" t="s">
        <v>2781</v>
      </c>
      <c r="B455" s="4" t="s">
        <v>539</v>
      </c>
      <c r="C455" s="22" t="n">
        <v>0.995</v>
      </c>
      <c r="D455" s="16" t="s">
        <v>2782</v>
      </c>
      <c r="E455" s="16" t="s">
        <v>2783</v>
      </c>
      <c r="F455" s="6" t="n">
        <v>46232</v>
      </c>
      <c r="G455" s="6" t="n">
        <v>46231</v>
      </c>
      <c r="H455" s="23" t="n">
        <f aca="false">ABS(F455-G455)</f>
        <v>1</v>
      </c>
      <c r="I455" s="7" t="n">
        <v>42407.16</v>
      </c>
      <c r="J455" s="7" t="n">
        <v>42407.16</v>
      </c>
      <c r="K455" s="7" t="n">
        <f aca="false">I455-J455</f>
        <v>0</v>
      </c>
      <c r="L455" s="4" t="s">
        <v>2784</v>
      </c>
      <c r="M455" s="4" t="s">
        <v>2785</v>
      </c>
      <c r="N455" s="4"/>
    </row>
    <row r="456" customFormat="false" ht="15" hidden="false" customHeight="false" outlineLevel="0" collapsed="false">
      <c r="A456" s="4" t="s">
        <v>2786</v>
      </c>
      <c r="B456" s="4" t="s">
        <v>539</v>
      </c>
      <c r="C456" s="22" t="n">
        <v>0.995</v>
      </c>
      <c r="D456" s="16" t="s">
        <v>2787</v>
      </c>
      <c r="E456" s="16" t="s">
        <v>2788</v>
      </c>
      <c r="F456" s="6" t="n">
        <v>46232</v>
      </c>
      <c r="G456" s="6" t="n">
        <v>46231</v>
      </c>
      <c r="H456" s="23" t="n">
        <f aca="false">ABS(F456-G456)</f>
        <v>1</v>
      </c>
      <c r="I456" s="7" t="n">
        <v>-37664.84</v>
      </c>
      <c r="J456" s="7" t="n">
        <v>-37664.84</v>
      </c>
      <c r="K456" s="7" t="n">
        <f aca="false">I456-J456</f>
        <v>0</v>
      </c>
      <c r="L456" s="4" t="s">
        <v>2789</v>
      </c>
      <c r="M456" s="4" t="s">
        <v>2790</v>
      </c>
      <c r="N456" s="4"/>
    </row>
    <row r="457" customFormat="false" ht="15" hidden="false" customHeight="false" outlineLevel="0" collapsed="false">
      <c r="A457" s="4" t="s">
        <v>2791</v>
      </c>
      <c r="B457" s="4" t="s">
        <v>539</v>
      </c>
      <c r="C457" s="22" t="n">
        <v>0.995</v>
      </c>
      <c r="D457" s="16" t="s">
        <v>2792</v>
      </c>
      <c r="E457" s="16" t="s">
        <v>2793</v>
      </c>
      <c r="F457" s="6" t="n">
        <v>46232</v>
      </c>
      <c r="G457" s="6" t="n">
        <v>46231</v>
      </c>
      <c r="H457" s="23" t="n">
        <f aca="false">ABS(F457-G457)</f>
        <v>1</v>
      </c>
      <c r="I457" s="7" t="n">
        <v>-21291.77</v>
      </c>
      <c r="J457" s="7" t="n">
        <v>-21291.77</v>
      </c>
      <c r="K457" s="7" t="n">
        <f aca="false">I457-J457</f>
        <v>0</v>
      </c>
      <c r="L457" s="4" t="s">
        <v>2794</v>
      </c>
      <c r="M457" s="4" t="s">
        <v>2795</v>
      </c>
      <c r="N457" s="4"/>
    </row>
    <row r="458" customFormat="false" ht="15" hidden="false" customHeight="false" outlineLevel="0" collapsed="false">
      <c r="A458" s="4" t="s">
        <v>2796</v>
      </c>
      <c r="B458" s="4" t="s">
        <v>539</v>
      </c>
      <c r="C458" s="22" t="n">
        <v>0.995</v>
      </c>
      <c r="D458" s="16" t="s">
        <v>2797</v>
      </c>
      <c r="E458" s="16" t="s">
        <v>2798</v>
      </c>
      <c r="F458" s="6" t="n">
        <v>46233</v>
      </c>
      <c r="G458" s="6" t="n">
        <v>46232</v>
      </c>
      <c r="H458" s="23" t="n">
        <f aca="false">ABS(F458-G458)</f>
        <v>1</v>
      </c>
      <c r="I458" s="7" t="n">
        <v>51491.03</v>
      </c>
      <c r="J458" s="7" t="n">
        <v>51491.03</v>
      </c>
      <c r="K458" s="7" t="n">
        <f aca="false">I458-J458</f>
        <v>0</v>
      </c>
      <c r="L458" s="4" t="s">
        <v>2799</v>
      </c>
      <c r="M458" s="4" t="s">
        <v>2800</v>
      </c>
      <c r="N458" s="4"/>
    </row>
    <row r="459" customFormat="false" ht="15" hidden="false" customHeight="false" outlineLevel="0" collapsed="false">
      <c r="A459" s="4" t="s">
        <v>2801</v>
      </c>
      <c r="B459" s="4" t="s">
        <v>539</v>
      </c>
      <c r="C459" s="22" t="n">
        <v>0.995</v>
      </c>
      <c r="D459" s="16" t="s">
        <v>2802</v>
      </c>
      <c r="E459" s="16" t="s">
        <v>2803</v>
      </c>
      <c r="F459" s="6" t="n">
        <v>46234</v>
      </c>
      <c r="G459" s="6" t="n">
        <v>46233</v>
      </c>
      <c r="H459" s="23" t="n">
        <f aca="false">ABS(F459-G459)</f>
        <v>1</v>
      </c>
      <c r="I459" s="7" t="n">
        <v>72592.61</v>
      </c>
      <c r="J459" s="7" t="n">
        <v>72592.61</v>
      </c>
      <c r="K459" s="7" t="n">
        <f aca="false">I459-J459</f>
        <v>0</v>
      </c>
      <c r="L459" s="4" t="s">
        <v>2804</v>
      </c>
      <c r="M459" s="4" t="s">
        <v>2805</v>
      </c>
      <c r="N459" s="4"/>
    </row>
    <row r="460" customFormat="false" ht="15" hidden="false" customHeight="false" outlineLevel="0" collapsed="false">
      <c r="A460" s="4" t="s">
        <v>2806</v>
      </c>
      <c r="B460" s="4" t="s">
        <v>539</v>
      </c>
      <c r="C460" s="22" t="n">
        <v>0.995</v>
      </c>
      <c r="D460" s="16" t="s">
        <v>2807</v>
      </c>
      <c r="E460" s="16" t="s">
        <v>2808</v>
      </c>
      <c r="F460" s="6" t="n">
        <v>46234</v>
      </c>
      <c r="G460" s="6" t="n">
        <v>46233</v>
      </c>
      <c r="H460" s="23" t="n">
        <f aca="false">ABS(F460-G460)</f>
        <v>1</v>
      </c>
      <c r="I460" s="7" t="n">
        <v>46184.95</v>
      </c>
      <c r="J460" s="7" t="n">
        <v>46184.95</v>
      </c>
      <c r="K460" s="7" t="n">
        <f aca="false">I460-J460</f>
        <v>0</v>
      </c>
      <c r="L460" s="4" t="s">
        <v>2809</v>
      </c>
      <c r="M460" s="4" t="s">
        <v>2810</v>
      </c>
      <c r="N460" s="4"/>
    </row>
    <row r="461" customFormat="false" ht="15" hidden="false" customHeight="false" outlineLevel="0" collapsed="false">
      <c r="A461" s="4" t="s">
        <v>2811</v>
      </c>
      <c r="B461" s="4" t="s">
        <v>539</v>
      </c>
      <c r="C461" s="22" t="n">
        <v>0.995</v>
      </c>
      <c r="D461" s="16" t="s">
        <v>2812</v>
      </c>
      <c r="E461" s="16" t="s">
        <v>2813</v>
      </c>
      <c r="F461" s="6" t="n">
        <v>46234</v>
      </c>
      <c r="G461" s="6" t="n">
        <v>46233</v>
      </c>
      <c r="H461" s="23" t="n">
        <f aca="false">ABS(F461-G461)</f>
        <v>1</v>
      </c>
      <c r="I461" s="7" t="n">
        <v>21439.61</v>
      </c>
      <c r="J461" s="7" t="n">
        <v>21439.61</v>
      </c>
      <c r="K461" s="7" t="n">
        <f aca="false">I461-J461</f>
        <v>0</v>
      </c>
      <c r="L461" s="4" t="s">
        <v>2814</v>
      </c>
      <c r="M461" s="4" t="s">
        <v>2815</v>
      </c>
      <c r="N461" s="4"/>
    </row>
    <row r="462" customFormat="false" ht="15" hidden="false" customHeight="false" outlineLevel="0" collapsed="false">
      <c r="A462" s="4" t="s">
        <v>2816</v>
      </c>
      <c r="B462" s="4" t="s">
        <v>539</v>
      </c>
      <c r="C462" s="22" t="n">
        <v>0.995</v>
      </c>
      <c r="D462" s="16" t="s">
        <v>2817</v>
      </c>
      <c r="E462" s="16" t="s">
        <v>2818</v>
      </c>
      <c r="F462" s="6" t="n">
        <v>46234</v>
      </c>
      <c r="G462" s="6" t="n">
        <v>46233</v>
      </c>
      <c r="H462" s="23" t="n">
        <f aca="false">ABS(F462-G462)</f>
        <v>1</v>
      </c>
      <c r="I462" s="7" t="n">
        <v>34259.67</v>
      </c>
      <c r="J462" s="7" t="n">
        <v>34259.67</v>
      </c>
      <c r="K462" s="7" t="n">
        <f aca="false">I462-J462</f>
        <v>0</v>
      </c>
      <c r="L462" s="4" t="s">
        <v>2819</v>
      </c>
      <c r="M462" s="4" t="s">
        <v>2820</v>
      </c>
      <c r="N462" s="4"/>
    </row>
    <row r="463" customFormat="false" ht="15" hidden="false" customHeight="false" outlineLevel="0" collapsed="false">
      <c r="A463" s="4" t="s">
        <v>2821</v>
      </c>
      <c r="B463" s="4" t="s">
        <v>539</v>
      </c>
      <c r="C463" s="22" t="n">
        <v>0.995</v>
      </c>
      <c r="D463" s="16" t="s">
        <v>2822</v>
      </c>
      <c r="E463" s="16" t="s">
        <v>2823</v>
      </c>
      <c r="F463" s="6" t="n">
        <v>46234</v>
      </c>
      <c r="G463" s="6" t="n">
        <v>46233</v>
      </c>
      <c r="H463" s="23" t="n">
        <f aca="false">ABS(F463-G463)</f>
        <v>1</v>
      </c>
      <c r="I463" s="7" t="n">
        <v>-8942.32</v>
      </c>
      <c r="J463" s="7" t="n">
        <v>-8942.32</v>
      </c>
      <c r="K463" s="7" t="n">
        <f aca="false">I463-J463</f>
        <v>0</v>
      </c>
      <c r="L463" s="4" t="s">
        <v>2824</v>
      </c>
      <c r="M463" s="4" t="s">
        <v>2825</v>
      </c>
      <c r="N463" s="4"/>
    </row>
    <row r="464" customFormat="false" ht="15" hidden="false" customHeight="false" outlineLevel="0" collapsed="false">
      <c r="A464" s="4" t="s">
        <v>2826</v>
      </c>
      <c r="B464" s="4" t="s">
        <v>539</v>
      </c>
      <c r="C464" s="22" t="n">
        <v>0.995</v>
      </c>
      <c r="D464" s="16" t="s">
        <v>2827</v>
      </c>
      <c r="E464" s="16" t="s">
        <v>2828</v>
      </c>
      <c r="F464" s="6" t="n">
        <v>46235</v>
      </c>
      <c r="G464" s="6" t="n">
        <v>46234</v>
      </c>
      <c r="H464" s="23" t="n">
        <f aca="false">ABS(F464-G464)</f>
        <v>1</v>
      </c>
      <c r="I464" s="7" t="n">
        <v>11380.68</v>
      </c>
      <c r="J464" s="7" t="n">
        <v>11380.68</v>
      </c>
      <c r="K464" s="7" t="n">
        <f aca="false">I464-J464</f>
        <v>0</v>
      </c>
      <c r="L464" s="4" t="s">
        <v>2829</v>
      </c>
      <c r="M464" s="4" t="s">
        <v>2830</v>
      </c>
      <c r="N464" s="4"/>
    </row>
    <row r="465" customFormat="false" ht="15" hidden="false" customHeight="false" outlineLevel="0" collapsed="false">
      <c r="A465" s="4" t="s">
        <v>2831</v>
      </c>
      <c r="B465" s="4" t="s">
        <v>539</v>
      </c>
      <c r="C465" s="22" t="n">
        <v>0.995</v>
      </c>
      <c r="D465" s="16" t="s">
        <v>2832</v>
      </c>
      <c r="E465" s="16" t="s">
        <v>2833</v>
      </c>
      <c r="F465" s="6" t="n">
        <v>46235</v>
      </c>
      <c r="G465" s="6" t="n">
        <v>46234</v>
      </c>
      <c r="H465" s="23" t="n">
        <f aca="false">ABS(F465-G465)</f>
        <v>1</v>
      </c>
      <c r="I465" s="7" t="n">
        <v>59659.69</v>
      </c>
      <c r="J465" s="7" t="n">
        <v>59659.69</v>
      </c>
      <c r="K465" s="7" t="n">
        <f aca="false">I465-J465</f>
        <v>0</v>
      </c>
      <c r="L465" s="4" t="s">
        <v>2834</v>
      </c>
      <c r="M465" s="4" t="s">
        <v>2835</v>
      </c>
      <c r="N465" s="4"/>
    </row>
    <row r="466" customFormat="false" ht="15" hidden="false" customHeight="false" outlineLevel="0" collapsed="false">
      <c r="A466" s="4" t="s">
        <v>2836</v>
      </c>
      <c r="B466" s="4" t="s">
        <v>539</v>
      </c>
      <c r="C466" s="22" t="n">
        <v>0.995</v>
      </c>
      <c r="D466" s="16" t="s">
        <v>2837</v>
      </c>
      <c r="E466" s="16" t="s">
        <v>2838</v>
      </c>
      <c r="F466" s="6" t="n">
        <v>46235</v>
      </c>
      <c r="G466" s="6" t="n">
        <v>46234</v>
      </c>
      <c r="H466" s="23" t="n">
        <f aca="false">ABS(F466-G466)</f>
        <v>1</v>
      </c>
      <c r="I466" s="7" t="n">
        <v>35444.07</v>
      </c>
      <c r="J466" s="7" t="n">
        <v>35444.07</v>
      </c>
      <c r="K466" s="7" t="n">
        <f aca="false">I466-J466</f>
        <v>0</v>
      </c>
      <c r="L466" s="4" t="s">
        <v>2839</v>
      </c>
      <c r="M466" s="4" t="s">
        <v>2840</v>
      </c>
      <c r="N466" s="4"/>
    </row>
    <row r="467" customFormat="false" ht="15" hidden="false" customHeight="false" outlineLevel="0" collapsed="false">
      <c r="A467" s="4" t="s">
        <v>2841</v>
      </c>
      <c r="B467" s="4" t="s">
        <v>539</v>
      </c>
      <c r="C467" s="22" t="n">
        <v>0.995</v>
      </c>
      <c r="D467" s="16" t="s">
        <v>2842</v>
      </c>
      <c r="E467" s="16" t="s">
        <v>2843</v>
      </c>
      <c r="F467" s="6" t="n">
        <v>46235</v>
      </c>
      <c r="G467" s="6" t="n">
        <v>46234</v>
      </c>
      <c r="H467" s="23" t="n">
        <f aca="false">ABS(F467-G467)</f>
        <v>1</v>
      </c>
      <c r="I467" s="7" t="n">
        <v>-26876.87</v>
      </c>
      <c r="J467" s="7" t="n">
        <v>-26876.87</v>
      </c>
      <c r="K467" s="7" t="n">
        <f aca="false">I467-J467</f>
        <v>0</v>
      </c>
      <c r="L467" s="4" t="s">
        <v>2844</v>
      </c>
      <c r="M467" s="4" t="s">
        <v>2845</v>
      </c>
      <c r="N467" s="4"/>
    </row>
    <row r="468" customFormat="false" ht="15" hidden="false" customHeight="false" outlineLevel="0" collapsed="false">
      <c r="A468" s="4" t="s">
        <v>2846</v>
      </c>
      <c r="B468" s="4" t="s">
        <v>539</v>
      </c>
      <c r="C468" s="22" t="n">
        <v>0.995</v>
      </c>
      <c r="D468" s="16" t="s">
        <v>2847</v>
      </c>
      <c r="E468" s="16" t="s">
        <v>2848</v>
      </c>
      <c r="F468" s="6" t="n">
        <v>46235</v>
      </c>
      <c r="G468" s="6" t="n">
        <v>46234</v>
      </c>
      <c r="H468" s="23" t="n">
        <f aca="false">ABS(F468-G468)</f>
        <v>1</v>
      </c>
      <c r="I468" s="7" t="n">
        <v>-42701.22</v>
      </c>
      <c r="J468" s="7" t="n">
        <v>-42701.22</v>
      </c>
      <c r="K468" s="7" t="n">
        <f aca="false">I468-J468</f>
        <v>0</v>
      </c>
      <c r="L468" s="4" t="s">
        <v>2849</v>
      </c>
      <c r="M468" s="4" t="s">
        <v>2850</v>
      </c>
      <c r="N468" s="4"/>
    </row>
    <row r="469" customFormat="false" ht="15" hidden="false" customHeight="false" outlineLevel="0" collapsed="false">
      <c r="A469" s="4" t="s">
        <v>2851</v>
      </c>
      <c r="B469" s="4" t="s">
        <v>539</v>
      </c>
      <c r="C469" s="22" t="n">
        <v>0.995</v>
      </c>
      <c r="D469" s="16" t="s">
        <v>2852</v>
      </c>
      <c r="E469" s="16" t="s">
        <v>2853</v>
      </c>
      <c r="F469" s="6" t="n">
        <v>46236</v>
      </c>
      <c r="G469" s="6" t="n">
        <v>46235</v>
      </c>
      <c r="H469" s="23" t="n">
        <f aca="false">ABS(F469-G469)</f>
        <v>1</v>
      </c>
      <c r="I469" s="7" t="n">
        <v>14899.3</v>
      </c>
      <c r="J469" s="7" t="n">
        <v>14899.3</v>
      </c>
      <c r="K469" s="7" t="n">
        <f aca="false">I469-J469</f>
        <v>0</v>
      </c>
      <c r="L469" s="4" t="s">
        <v>2854</v>
      </c>
      <c r="M469" s="4" t="s">
        <v>2855</v>
      </c>
      <c r="N469" s="4"/>
    </row>
    <row r="470" customFormat="false" ht="15" hidden="false" customHeight="false" outlineLevel="0" collapsed="false">
      <c r="A470" s="4" t="s">
        <v>2856</v>
      </c>
      <c r="B470" s="4" t="s">
        <v>539</v>
      </c>
      <c r="C470" s="22" t="n">
        <v>0.995</v>
      </c>
      <c r="D470" s="16" t="s">
        <v>2857</v>
      </c>
      <c r="E470" s="16" t="s">
        <v>2858</v>
      </c>
      <c r="F470" s="6" t="n">
        <v>46236</v>
      </c>
      <c r="G470" s="6" t="n">
        <v>46235</v>
      </c>
      <c r="H470" s="23" t="n">
        <f aca="false">ABS(F470-G470)</f>
        <v>1</v>
      </c>
      <c r="I470" s="7" t="n">
        <v>28937.86</v>
      </c>
      <c r="J470" s="7" t="n">
        <v>28937.86</v>
      </c>
      <c r="K470" s="7" t="n">
        <f aca="false">I470-J470</f>
        <v>0</v>
      </c>
      <c r="L470" s="4" t="s">
        <v>2859</v>
      </c>
      <c r="M470" s="4" t="s">
        <v>2860</v>
      </c>
      <c r="N470" s="4"/>
    </row>
    <row r="471" customFormat="false" ht="15" hidden="false" customHeight="false" outlineLevel="0" collapsed="false">
      <c r="A471" s="4" t="s">
        <v>2861</v>
      </c>
      <c r="B471" s="4" t="s">
        <v>539</v>
      </c>
      <c r="C471" s="22" t="n">
        <v>0.995</v>
      </c>
      <c r="D471" s="16" t="s">
        <v>2862</v>
      </c>
      <c r="E471" s="16" t="s">
        <v>2863</v>
      </c>
      <c r="F471" s="6" t="n">
        <v>46236</v>
      </c>
      <c r="G471" s="6" t="n">
        <v>46235</v>
      </c>
      <c r="H471" s="23" t="n">
        <f aca="false">ABS(F471-G471)</f>
        <v>1</v>
      </c>
      <c r="I471" s="7" t="n">
        <v>72265.48</v>
      </c>
      <c r="J471" s="7" t="n">
        <v>72265.48</v>
      </c>
      <c r="K471" s="7" t="n">
        <f aca="false">I471-J471</f>
        <v>0</v>
      </c>
      <c r="L471" s="4" t="s">
        <v>2864</v>
      </c>
      <c r="M471" s="4" t="s">
        <v>2865</v>
      </c>
      <c r="N471" s="4"/>
    </row>
    <row r="472" customFormat="false" ht="15" hidden="false" customHeight="false" outlineLevel="0" collapsed="false">
      <c r="A472" s="4" t="s">
        <v>2866</v>
      </c>
      <c r="B472" s="4" t="s">
        <v>539</v>
      </c>
      <c r="C472" s="22" t="n">
        <v>0.995</v>
      </c>
      <c r="D472" s="16" t="s">
        <v>2867</v>
      </c>
      <c r="E472" s="16" t="s">
        <v>2868</v>
      </c>
      <c r="F472" s="6" t="n">
        <v>46236</v>
      </c>
      <c r="G472" s="6" t="n">
        <v>46235</v>
      </c>
      <c r="H472" s="23" t="n">
        <f aca="false">ABS(F472-G472)</f>
        <v>1</v>
      </c>
      <c r="I472" s="7" t="n">
        <v>31355.47</v>
      </c>
      <c r="J472" s="7" t="n">
        <v>31355.47</v>
      </c>
      <c r="K472" s="7" t="n">
        <f aca="false">I472-J472</f>
        <v>0</v>
      </c>
      <c r="L472" s="4" t="s">
        <v>2869</v>
      </c>
      <c r="M472" s="4" t="s">
        <v>2870</v>
      </c>
      <c r="N472" s="4"/>
    </row>
    <row r="473" customFormat="false" ht="15" hidden="false" customHeight="false" outlineLevel="0" collapsed="false">
      <c r="A473" s="4" t="s">
        <v>2871</v>
      </c>
      <c r="B473" s="4" t="s">
        <v>539</v>
      </c>
      <c r="C473" s="22" t="n">
        <v>0.995</v>
      </c>
      <c r="D473" s="16" t="s">
        <v>2872</v>
      </c>
      <c r="E473" s="16" t="s">
        <v>2873</v>
      </c>
      <c r="F473" s="6" t="n">
        <v>46236</v>
      </c>
      <c r="G473" s="6" t="n">
        <v>46235</v>
      </c>
      <c r="H473" s="23" t="n">
        <f aca="false">ABS(F473-G473)</f>
        <v>1</v>
      </c>
      <c r="I473" s="7" t="n">
        <v>67438.79</v>
      </c>
      <c r="J473" s="7" t="n">
        <v>67438.79</v>
      </c>
      <c r="K473" s="7" t="n">
        <f aca="false">I473-J473</f>
        <v>0</v>
      </c>
      <c r="L473" s="4" t="s">
        <v>2874</v>
      </c>
      <c r="M473" s="4" t="s">
        <v>2875</v>
      </c>
      <c r="N473" s="4"/>
    </row>
    <row r="474" customFormat="false" ht="15" hidden="false" customHeight="false" outlineLevel="0" collapsed="false">
      <c r="A474" s="4" t="s">
        <v>2876</v>
      </c>
      <c r="B474" s="4" t="s">
        <v>539</v>
      </c>
      <c r="C474" s="22" t="n">
        <v>0.995</v>
      </c>
      <c r="D474" s="16" t="s">
        <v>2877</v>
      </c>
      <c r="E474" s="16" t="s">
        <v>2878</v>
      </c>
      <c r="F474" s="6" t="n">
        <v>46236</v>
      </c>
      <c r="G474" s="6" t="n">
        <v>46235</v>
      </c>
      <c r="H474" s="23" t="n">
        <f aca="false">ABS(F474-G474)</f>
        <v>1</v>
      </c>
      <c r="I474" s="7" t="n">
        <v>88958.64</v>
      </c>
      <c r="J474" s="7" t="n">
        <v>88958.64</v>
      </c>
      <c r="K474" s="7" t="n">
        <f aca="false">I474-J474</f>
        <v>0</v>
      </c>
      <c r="L474" s="4" t="s">
        <v>2879</v>
      </c>
      <c r="M474" s="4" t="s">
        <v>2880</v>
      </c>
      <c r="N474" s="4"/>
    </row>
    <row r="475" customFormat="false" ht="15" hidden="false" customHeight="false" outlineLevel="0" collapsed="false">
      <c r="A475" s="4" t="s">
        <v>2881</v>
      </c>
      <c r="B475" s="4" t="s">
        <v>539</v>
      </c>
      <c r="C475" s="22" t="n">
        <v>0.995</v>
      </c>
      <c r="D475" s="16" t="s">
        <v>2882</v>
      </c>
      <c r="E475" s="16" t="s">
        <v>2883</v>
      </c>
      <c r="F475" s="6" t="n">
        <v>46236</v>
      </c>
      <c r="G475" s="6" t="n">
        <v>46235</v>
      </c>
      <c r="H475" s="23" t="n">
        <f aca="false">ABS(F475-G475)</f>
        <v>1</v>
      </c>
      <c r="I475" s="7" t="n">
        <v>-30472.13</v>
      </c>
      <c r="J475" s="7" t="n">
        <v>-30472.13</v>
      </c>
      <c r="K475" s="7" t="n">
        <f aca="false">I475-J475</f>
        <v>0</v>
      </c>
      <c r="L475" s="4" t="s">
        <v>2884</v>
      </c>
      <c r="M475" s="4" t="s">
        <v>2885</v>
      </c>
      <c r="N475" s="4"/>
    </row>
    <row r="476" customFormat="false" ht="15" hidden="false" customHeight="false" outlineLevel="0" collapsed="false">
      <c r="A476" s="4" t="s">
        <v>2886</v>
      </c>
      <c r="B476" s="4" t="s">
        <v>539</v>
      </c>
      <c r="C476" s="22" t="n">
        <v>0.995</v>
      </c>
      <c r="D476" s="16" t="s">
        <v>2887</v>
      </c>
      <c r="E476" s="16" t="s">
        <v>2888</v>
      </c>
      <c r="F476" s="6" t="n">
        <v>46237</v>
      </c>
      <c r="G476" s="6" t="n">
        <v>46236</v>
      </c>
      <c r="H476" s="23" t="n">
        <f aca="false">ABS(F476-G476)</f>
        <v>1</v>
      </c>
      <c r="I476" s="7" t="n">
        <v>60541.24</v>
      </c>
      <c r="J476" s="7" t="n">
        <v>60541.24</v>
      </c>
      <c r="K476" s="7" t="n">
        <f aca="false">I476-J476</f>
        <v>0</v>
      </c>
      <c r="L476" s="4" t="s">
        <v>2889</v>
      </c>
      <c r="M476" s="4" t="s">
        <v>2890</v>
      </c>
      <c r="N476" s="4"/>
    </row>
    <row r="477" customFormat="false" ht="15" hidden="false" customHeight="false" outlineLevel="0" collapsed="false">
      <c r="A477" s="4" t="s">
        <v>2891</v>
      </c>
      <c r="B477" s="4" t="s">
        <v>539</v>
      </c>
      <c r="C477" s="22" t="n">
        <v>0.995</v>
      </c>
      <c r="D477" s="16" t="s">
        <v>2892</v>
      </c>
      <c r="E477" s="16" t="s">
        <v>2893</v>
      </c>
      <c r="F477" s="6" t="n">
        <v>46237</v>
      </c>
      <c r="G477" s="6" t="n">
        <v>46236</v>
      </c>
      <c r="H477" s="23" t="n">
        <f aca="false">ABS(F477-G477)</f>
        <v>1</v>
      </c>
      <c r="I477" s="7" t="n">
        <v>16563.11</v>
      </c>
      <c r="J477" s="7" t="n">
        <v>16563.11</v>
      </c>
      <c r="K477" s="7" t="n">
        <f aca="false">I477-J477</f>
        <v>0</v>
      </c>
      <c r="L477" s="4" t="s">
        <v>2894</v>
      </c>
      <c r="M477" s="4" t="s">
        <v>2895</v>
      </c>
      <c r="N477" s="4"/>
    </row>
    <row r="478" customFormat="false" ht="15" hidden="false" customHeight="false" outlineLevel="0" collapsed="false">
      <c r="A478" s="4" t="s">
        <v>2896</v>
      </c>
      <c r="B478" s="4" t="s">
        <v>539</v>
      </c>
      <c r="C478" s="22" t="n">
        <v>0.995</v>
      </c>
      <c r="D478" s="16" t="s">
        <v>2897</v>
      </c>
      <c r="E478" s="16" t="s">
        <v>2898</v>
      </c>
      <c r="F478" s="6" t="n">
        <v>46237</v>
      </c>
      <c r="G478" s="6" t="n">
        <v>46236</v>
      </c>
      <c r="H478" s="23" t="n">
        <f aca="false">ABS(F478-G478)</f>
        <v>1</v>
      </c>
      <c r="I478" s="7" t="n">
        <v>38559.36</v>
      </c>
      <c r="J478" s="7" t="n">
        <v>38559.36</v>
      </c>
      <c r="K478" s="7" t="n">
        <f aca="false">I478-J478</f>
        <v>0</v>
      </c>
      <c r="L478" s="4" t="s">
        <v>2899</v>
      </c>
      <c r="M478" s="4" t="s">
        <v>2900</v>
      </c>
      <c r="N478" s="4"/>
    </row>
    <row r="479" customFormat="false" ht="15" hidden="false" customHeight="false" outlineLevel="0" collapsed="false">
      <c r="A479" s="4" t="s">
        <v>2901</v>
      </c>
      <c r="B479" s="4" t="s">
        <v>539</v>
      </c>
      <c r="C479" s="22" t="n">
        <v>0.995</v>
      </c>
      <c r="D479" s="16" t="s">
        <v>2902</v>
      </c>
      <c r="E479" s="16" t="s">
        <v>2903</v>
      </c>
      <c r="F479" s="6" t="n">
        <v>46237</v>
      </c>
      <c r="G479" s="6" t="n">
        <v>46236</v>
      </c>
      <c r="H479" s="23" t="n">
        <f aca="false">ABS(F479-G479)</f>
        <v>1</v>
      </c>
      <c r="I479" s="7" t="n">
        <v>-55222.9</v>
      </c>
      <c r="J479" s="7" t="n">
        <v>-55222.9</v>
      </c>
      <c r="K479" s="7" t="n">
        <f aca="false">I479-J479</f>
        <v>0</v>
      </c>
      <c r="L479" s="4" t="s">
        <v>2904</v>
      </c>
      <c r="M479" s="4" t="s">
        <v>2905</v>
      </c>
      <c r="N479" s="4"/>
    </row>
    <row r="480" customFormat="false" ht="15" hidden="false" customHeight="false" outlineLevel="0" collapsed="false">
      <c r="A480" s="4" t="s">
        <v>2906</v>
      </c>
      <c r="B480" s="4" t="s">
        <v>539</v>
      </c>
      <c r="C480" s="22" t="n">
        <v>0.995</v>
      </c>
      <c r="D480" s="16" t="s">
        <v>2907</v>
      </c>
      <c r="E480" s="16" t="s">
        <v>2908</v>
      </c>
      <c r="F480" s="6" t="n">
        <v>46237</v>
      </c>
      <c r="G480" s="6" t="n">
        <v>46236</v>
      </c>
      <c r="H480" s="23" t="n">
        <f aca="false">ABS(F480-G480)</f>
        <v>1</v>
      </c>
      <c r="I480" s="7" t="n">
        <v>-55057.04</v>
      </c>
      <c r="J480" s="7" t="n">
        <v>-55057.04</v>
      </c>
      <c r="K480" s="7" t="n">
        <f aca="false">I480-J480</f>
        <v>0</v>
      </c>
      <c r="L480" s="4" t="s">
        <v>2909</v>
      </c>
      <c r="M480" s="4" t="s">
        <v>2910</v>
      </c>
      <c r="N480" s="4"/>
    </row>
    <row r="481" customFormat="false" ht="15" hidden="false" customHeight="false" outlineLevel="0" collapsed="false">
      <c r="A481" s="4" t="s">
        <v>2911</v>
      </c>
      <c r="B481" s="4" t="s">
        <v>539</v>
      </c>
      <c r="C481" s="22" t="n">
        <v>0.995</v>
      </c>
      <c r="D481" s="16" t="s">
        <v>2912</v>
      </c>
      <c r="E481" s="16" t="s">
        <v>2913</v>
      </c>
      <c r="F481" s="6" t="n">
        <v>46238</v>
      </c>
      <c r="G481" s="6" t="n">
        <v>46237</v>
      </c>
      <c r="H481" s="23" t="n">
        <f aca="false">ABS(F481-G481)</f>
        <v>1</v>
      </c>
      <c r="I481" s="7" t="n">
        <v>78419.51</v>
      </c>
      <c r="J481" s="7" t="n">
        <v>78419.51</v>
      </c>
      <c r="K481" s="7" t="n">
        <f aca="false">I481-J481</f>
        <v>0</v>
      </c>
      <c r="L481" s="4" t="s">
        <v>2914</v>
      </c>
      <c r="M481" s="4" t="s">
        <v>2915</v>
      </c>
      <c r="N481" s="4"/>
    </row>
    <row r="482" customFormat="false" ht="15" hidden="false" customHeight="false" outlineLevel="0" collapsed="false">
      <c r="A482" s="4" t="s">
        <v>2916</v>
      </c>
      <c r="B482" s="4" t="s">
        <v>539</v>
      </c>
      <c r="C482" s="22" t="n">
        <v>0.995</v>
      </c>
      <c r="D482" s="16" t="s">
        <v>2917</v>
      </c>
      <c r="E482" s="16" t="s">
        <v>2918</v>
      </c>
      <c r="F482" s="6" t="n">
        <v>46238</v>
      </c>
      <c r="G482" s="6" t="n">
        <v>46237</v>
      </c>
      <c r="H482" s="23" t="n">
        <f aca="false">ABS(F482-G482)</f>
        <v>1</v>
      </c>
      <c r="I482" s="7" t="n">
        <v>92819.25</v>
      </c>
      <c r="J482" s="7" t="n">
        <v>92819.25</v>
      </c>
      <c r="K482" s="7" t="n">
        <f aca="false">I482-J482</f>
        <v>0</v>
      </c>
      <c r="L482" s="4" t="s">
        <v>2919</v>
      </c>
      <c r="M482" s="4" t="s">
        <v>2920</v>
      </c>
      <c r="N482" s="4"/>
    </row>
    <row r="483" customFormat="false" ht="15" hidden="false" customHeight="false" outlineLevel="0" collapsed="false">
      <c r="A483" s="4" t="s">
        <v>2921</v>
      </c>
      <c r="B483" s="4" t="s">
        <v>539</v>
      </c>
      <c r="C483" s="22" t="n">
        <v>0.995</v>
      </c>
      <c r="D483" s="16" t="s">
        <v>2922</v>
      </c>
      <c r="E483" s="16" t="s">
        <v>2923</v>
      </c>
      <c r="F483" s="6" t="n">
        <v>46238</v>
      </c>
      <c r="G483" s="6" t="n">
        <v>46237</v>
      </c>
      <c r="H483" s="23" t="n">
        <f aca="false">ABS(F483-G483)</f>
        <v>1</v>
      </c>
      <c r="I483" s="7" t="n">
        <v>-14542.2</v>
      </c>
      <c r="J483" s="7" t="n">
        <v>-14542.2</v>
      </c>
      <c r="K483" s="7" t="n">
        <f aca="false">I483-J483</f>
        <v>0</v>
      </c>
      <c r="L483" s="4" t="s">
        <v>2924</v>
      </c>
      <c r="M483" s="4" t="s">
        <v>2925</v>
      </c>
      <c r="N483" s="4"/>
    </row>
    <row r="484" customFormat="false" ht="15" hidden="false" customHeight="false" outlineLevel="0" collapsed="false">
      <c r="A484" s="4" t="s">
        <v>2926</v>
      </c>
      <c r="B484" s="4" t="s">
        <v>539</v>
      </c>
      <c r="C484" s="22" t="n">
        <v>0.995</v>
      </c>
      <c r="D484" s="16" t="s">
        <v>2927</v>
      </c>
      <c r="E484" s="16" t="s">
        <v>2928</v>
      </c>
      <c r="F484" s="6" t="n">
        <v>46238</v>
      </c>
      <c r="G484" s="6" t="n">
        <v>46237</v>
      </c>
      <c r="H484" s="23" t="n">
        <f aca="false">ABS(F484-G484)</f>
        <v>1</v>
      </c>
      <c r="I484" s="7" t="n">
        <v>-7069.82</v>
      </c>
      <c r="J484" s="7" t="n">
        <v>-7069.82</v>
      </c>
      <c r="K484" s="7" t="n">
        <f aca="false">I484-J484</f>
        <v>0</v>
      </c>
      <c r="L484" s="4" t="s">
        <v>2929</v>
      </c>
      <c r="M484" s="4" t="s">
        <v>2930</v>
      </c>
      <c r="N484" s="4"/>
    </row>
    <row r="485" customFormat="false" ht="15" hidden="false" customHeight="false" outlineLevel="0" collapsed="false">
      <c r="A485" s="4" t="s">
        <v>2931</v>
      </c>
      <c r="B485" s="4" t="s">
        <v>539</v>
      </c>
      <c r="C485" s="22" t="n">
        <v>0.995</v>
      </c>
      <c r="D485" s="16" t="s">
        <v>2932</v>
      </c>
      <c r="E485" s="16" t="s">
        <v>2933</v>
      </c>
      <c r="F485" s="6" t="n">
        <v>46239</v>
      </c>
      <c r="G485" s="6" t="n">
        <v>46238</v>
      </c>
      <c r="H485" s="23" t="n">
        <f aca="false">ABS(F485-G485)</f>
        <v>1</v>
      </c>
      <c r="I485" s="7" t="n">
        <v>11610.83</v>
      </c>
      <c r="J485" s="7" t="n">
        <v>11610.83</v>
      </c>
      <c r="K485" s="7" t="n">
        <f aca="false">I485-J485</f>
        <v>0</v>
      </c>
      <c r="L485" s="4" t="s">
        <v>2934</v>
      </c>
      <c r="M485" s="4" t="s">
        <v>2935</v>
      </c>
      <c r="N485" s="4"/>
    </row>
    <row r="486" customFormat="false" ht="15" hidden="false" customHeight="false" outlineLevel="0" collapsed="false">
      <c r="A486" s="4" t="s">
        <v>2936</v>
      </c>
      <c r="B486" s="4" t="s">
        <v>539</v>
      </c>
      <c r="C486" s="22" t="n">
        <v>0.995</v>
      </c>
      <c r="D486" s="16" t="s">
        <v>2937</v>
      </c>
      <c r="E486" s="16" t="s">
        <v>2938</v>
      </c>
      <c r="F486" s="6" t="n">
        <v>46239</v>
      </c>
      <c r="G486" s="6" t="n">
        <v>46238</v>
      </c>
      <c r="H486" s="23" t="n">
        <f aca="false">ABS(F486-G486)</f>
        <v>1</v>
      </c>
      <c r="I486" s="7" t="n">
        <v>20052.39</v>
      </c>
      <c r="J486" s="7" t="n">
        <v>20052.39</v>
      </c>
      <c r="K486" s="7" t="n">
        <f aca="false">I486-J486</f>
        <v>0</v>
      </c>
      <c r="L486" s="4" t="s">
        <v>2939</v>
      </c>
      <c r="M486" s="4" t="s">
        <v>2940</v>
      </c>
      <c r="N486" s="4"/>
    </row>
    <row r="487" customFormat="false" ht="15" hidden="false" customHeight="false" outlineLevel="0" collapsed="false">
      <c r="A487" s="4" t="s">
        <v>2941</v>
      </c>
      <c r="B487" s="4" t="s">
        <v>539</v>
      </c>
      <c r="C487" s="22" t="n">
        <v>0.995</v>
      </c>
      <c r="D487" s="16" t="s">
        <v>2942</v>
      </c>
      <c r="E487" s="16" t="s">
        <v>2943</v>
      </c>
      <c r="F487" s="6" t="n">
        <v>46239</v>
      </c>
      <c r="G487" s="6" t="n">
        <v>46238</v>
      </c>
      <c r="H487" s="23" t="n">
        <f aca="false">ABS(F487-G487)</f>
        <v>1</v>
      </c>
      <c r="I487" s="7" t="n">
        <v>16700.12</v>
      </c>
      <c r="J487" s="7" t="n">
        <v>16700.12</v>
      </c>
      <c r="K487" s="7" t="n">
        <f aca="false">I487-J487</f>
        <v>0</v>
      </c>
      <c r="L487" s="4" t="s">
        <v>2944</v>
      </c>
      <c r="M487" s="4" t="s">
        <v>2945</v>
      </c>
      <c r="N487" s="4"/>
    </row>
    <row r="488" customFormat="false" ht="15" hidden="false" customHeight="false" outlineLevel="0" collapsed="false">
      <c r="A488" s="4" t="s">
        <v>2946</v>
      </c>
      <c r="B488" s="4" t="s">
        <v>539</v>
      </c>
      <c r="C488" s="22" t="n">
        <v>0.995</v>
      </c>
      <c r="D488" s="16" t="s">
        <v>2947</v>
      </c>
      <c r="E488" s="16" t="s">
        <v>2948</v>
      </c>
      <c r="F488" s="6" t="n">
        <v>46239</v>
      </c>
      <c r="G488" s="6" t="n">
        <v>46238</v>
      </c>
      <c r="H488" s="23" t="n">
        <f aca="false">ABS(F488-G488)</f>
        <v>1</v>
      </c>
      <c r="I488" s="7" t="n">
        <v>-28903.59</v>
      </c>
      <c r="J488" s="7" t="n">
        <v>-28903.59</v>
      </c>
      <c r="K488" s="7" t="n">
        <f aca="false">I488-J488</f>
        <v>0</v>
      </c>
      <c r="L488" s="4" t="s">
        <v>2949</v>
      </c>
      <c r="M488" s="4" t="s">
        <v>2950</v>
      </c>
      <c r="N488" s="4"/>
    </row>
    <row r="489" customFormat="false" ht="15" hidden="false" customHeight="false" outlineLevel="0" collapsed="false">
      <c r="A489" s="4" t="s">
        <v>2951</v>
      </c>
      <c r="B489" s="4" t="s">
        <v>539</v>
      </c>
      <c r="C489" s="22" t="n">
        <v>0.995</v>
      </c>
      <c r="D489" s="16" t="s">
        <v>2952</v>
      </c>
      <c r="E489" s="16" t="s">
        <v>2953</v>
      </c>
      <c r="F489" s="6" t="n">
        <v>46240</v>
      </c>
      <c r="G489" s="6" t="n">
        <v>46239</v>
      </c>
      <c r="H489" s="23" t="n">
        <f aca="false">ABS(F489-G489)</f>
        <v>1</v>
      </c>
      <c r="I489" s="7" t="n">
        <v>77100.16</v>
      </c>
      <c r="J489" s="7" t="n">
        <v>77100.16</v>
      </c>
      <c r="K489" s="7" t="n">
        <f aca="false">I489-J489</f>
        <v>0</v>
      </c>
      <c r="L489" s="4" t="s">
        <v>2954</v>
      </c>
      <c r="M489" s="4" t="s">
        <v>2955</v>
      </c>
      <c r="N489" s="4"/>
    </row>
    <row r="490" customFormat="false" ht="15" hidden="false" customHeight="false" outlineLevel="0" collapsed="false">
      <c r="A490" s="4" t="s">
        <v>2956</v>
      </c>
      <c r="B490" s="4" t="s">
        <v>539</v>
      </c>
      <c r="C490" s="22" t="n">
        <v>0.995</v>
      </c>
      <c r="D490" s="16" t="s">
        <v>2957</v>
      </c>
      <c r="E490" s="16" t="s">
        <v>2958</v>
      </c>
      <c r="F490" s="6" t="n">
        <v>46240</v>
      </c>
      <c r="G490" s="6" t="n">
        <v>46239</v>
      </c>
      <c r="H490" s="23" t="n">
        <f aca="false">ABS(F490-G490)</f>
        <v>1</v>
      </c>
      <c r="I490" s="7" t="n">
        <v>27066.92</v>
      </c>
      <c r="J490" s="7" t="n">
        <v>27066.92</v>
      </c>
      <c r="K490" s="7" t="n">
        <f aca="false">I490-J490</f>
        <v>0</v>
      </c>
      <c r="L490" s="4" t="s">
        <v>2959</v>
      </c>
      <c r="M490" s="4" t="s">
        <v>2960</v>
      </c>
      <c r="N490" s="4"/>
    </row>
    <row r="491" customFormat="false" ht="15" hidden="false" customHeight="false" outlineLevel="0" collapsed="false">
      <c r="A491" s="4" t="s">
        <v>2961</v>
      </c>
      <c r="B491" s="4" t="s">
        <v>539</v>
      </c>
      <c r="C491" s="22" t="n">
        <v>0.995</v>
      </c>
      <c r="D491" s="16" t="s">
        <v>2962</v>
      </c>
      <c r="E491" s="16" t="s">
        <v>2963</v>
      </c>
      <c r="F491" s="6" t="n">
        <v>46241</v>
      </c>
      <c r="G491" s="6" t="n">
        <v>46240</v>
      </c>
      <c r="H491" s="23" t="n">
        <f aca="false">ABS(F491-G491)</f>
        <v>1</v>
      </c>
      <c r="I491" s="7" t="n">
        <v>78617.08</v>
      </c>
      <c r="J491" s="7" t="n">
        <v>78617.08</v>
      </c>
      <c r="K491" s="7" t="n">
        <f aca="false">I491-J491</f>
        <v>0</v>
      </c>
      <c r="L491" s="4" t="s">
        <v>2964</v>
      </c>
      <c r="M491" s="4" t="s">
        <v>2965</v>
      </c>
      <c r="N491" s="4"/>
    </row>
    <row r="492" customFormat="false" ht="15" hidden="false" customHeight="false" outlineLevel="0" collapsed="false">
      <c r="A492" s="4" t="s">
        <v>2966</v>
      </c>
      <c r="B492" s="4" t="s">
        <v>539</v>
      </c>
      <c r="C492" s="22" t="n">
        <v>0.995</v>
      </c>
      <c r="D492" s="16" t="s">
        <v>2967</v>
      </c>
      <c r="E492" s="16" t="s">
        <v>2968</v>
      </c>
      <c r="F492" s="6" t="n">
        <v>46241</v>
      </c>
      <c r="G492" s="6" t="n">
        <v>46240</v>
      </c>
      <c r="H492" s="23" t="n">
        <f aca="false">ABS(F492-G492)</f>
        <v>1</v>
      </c>
      <c r="I492" s="7" t="n">
        <v>15748.67</v>
      </c>
      <c r="J492" s="7" t="n">
        <v>15748.67</v>
      </c>
      <c r="K492" s="7" t="n">
        <f aca="false">I492-J492</f>
        <v>0</v>
      </c>
      <c r="L492" s="4" t="s">
        <v>2969</v>
      </c>
      <c r="M492" s="4" t="s">
        <v>2970</v>
      </c>
      <c r="N492" s="4"/>
    </row>
    <row r="493" customFormat="false" ht="15" hidden="false" customHeight="false" outlineLevel="0" collapsed="false">
      <c r="A493" s="4" t="s">
        <v>2971</v>
      </c>
      <c r="B493" s="4" t="s">
        <v>539</v>
      </c>
      <c r="C493" s="22" t="n">
        <v>0.995</v>
      </c>
      <c r="D493" s="16" t="s">
        <v>2972</v>
      </c>
      <c r="E493" s="16" t="s">
        <v>2973</v>
      </c>
      <c r="F493" s="6" t="n">
        <v>46241</v>
      </c>
      <c r="G493" s="6" t="n">
        <v>46240</v>
      </c>
      <c r="H493" s="23" t="n">
        <f aca="false">ABS(F493-G493)</f>
        <v>1</v>
      </c>
      <c r="I493" s="7" t="n">
        <v>40700.58</v>
      </c>
      <c r="J493" s="7" t="n">
        <v>40700.58</v>
      </c>
      <c r="K493" s="7" t="n">
        <f aca="false">I493-J493</f>
        <v>0</v>
      </c>
      <c r="L493" s="4" t="s">
        <v>2974</v>
      </c>
      <c r="M493" s="4" t="s">
        <v>2975</v>
      </c>
      <c r="N493" s="4"/>
    </row>
    <row r="494" customFormat="false" ht="15" hidden="false" customHeight="false" outlineLevel="0" collapsed="false">
      <c r="A494" s="4" t="s">
        <v>2976</v>
      </c>
      <c r="B494" s="4" t="s">
        <v>539</v>
      </c>
      <c r="C494" s="22" t="n">
        <v>0.995</v>
      </c>
      <c r="D494" s="16" t="s">
        <v>2977</v>
      </c>
      <c r="E494" s="16" t="s">
        <v>2978</v>
      </c>
      <c r="F494" s="6" t="n">
        <v>46241</v>
      </c>
      <c r="G494" s="6" t="n">
        <v>46240</v>
      </c>
      <c r="H494" s="23" t="n">
        <f aca="false">ABS(F494-G494)</f>
        <v>1</v>
      </c>
      <c r="I494" s="7" t="n">
        <v>61101.36</v>
      </c>
      <c r="J494" s="7" t="n">
        <v>61101.36</v>
      </c>
      <c r="K494" s="7" t="n">
        <f aca="false">I494-J494</f>
        <v>0</v>
      </c>
      <c r="L494" s="4" t="s">
        <v>2979</v>
      </c>
      <c r="M494" s="4" t="s">
        <v>2980</v>
      </c>
      <c r="N494" s="4"/>
    </row>
    <row r="495" customFormat="false" ht="15" hidden="false" customHeight="false" outlineLevel="0" collapsed="false">
      <c r="A495" s="4" t="s">
        <v>2981</v>
      </c>
      <c r="B495" s="4" t="s">
        <v>539</v>
      </c>
      <c r="C495" s="22" t="n">
        <v>0.995</v>
      </c>
      <c r="D495" s="16" t="s">
        <v>2982</v>
      </c>
      <c r="E495" s="16" t="s">
        <v>2983</v>
      </c>
      <c r="F495" s="6" t="n">
        <v>46242</v>
      </c>
      <c r="G495" s="6" t="n">
        <v>46241</v>
      </c>
      <c r="H495" s="23" t="n">
        <f aca="false">ABS(F495-G495)</f>
        <v>1</v>
      </c>
      <c r="I495" s="7" t="n">
        <v>85944.12</v>
      </c>
      <c r="J495" s="7" t="n">
        <v>85944.12</v>
      </c>
      <c r="K495" s="7" t="n">
        <f aca="false">I495-J495</f>
        <v>0</v>
      </c>
      <c r="L495" s="4" t="s">
        <v>2984</v>
      </c>
      <c r="M495" s="4" t="s">
        <v>2985</v>
      </c>
      <c r="N495" s="4"/>
    </row>
    <row r="496" customFormat="false" ht="15" hidden="false" customHeight="false" outlineLevel="0" collapsed="false">
      <c r="A496" s="4" t="s">
        <v>2986</v>
      </c>
      <c r="B496" s="4" t="s">
        <v>539</v>
      </c>
      <c r="C496" s="22" t="n">
        <v>0.995</v>
      </c>
      <c r="D496" s="16" t="s">
        <v>2987</v>
      </c>
      <c r="E496" s="16" t="s">
        <v>2988</v>
      </c>
      <c r="F496" s="6" t="n">
        <v>46242</v>
      </c>
      <c r="G496" s="6" t="n">
        <v>46241</v>
      </c>
      <c r="H496" s="23" t="n">
        <f aca="false">ABS(F496-G496)</f>
        <v>1</v>
      </c>
      <c r="I496" s="7" t="n">
        <v>11481.33</v>
      </c>
      <c r="J496" s="7" t="n">
        <v>11481.33</v>
      </c>
      <c r="K496" s="7" t="n">
        <f aca="false">I496-J496</f>
        <v>0</v>
      </c>
      <c r="L496" s="4" t="s">
        <v>2989</v>
      </c>
      <c r="M496" s="4" t="s">
        <v>2990</v>
      </c>
      <c r="N496" s="4"/>
    </row>
    <row r="497" customFormat="false" ht="15" hidden="false" customHeight="false" outlineLevel="0" collapsed="false">
      <c r="A497" s="4" t="s">
        <v>2991</v>
      </c>
      <c r="B497" s="4" t="s">
        <v>539</v>
      </c>
      <c r="C497" s="22" t="n">
        <v>0.995</v>
      </c>
      <c r="D497" s="16" t="s">
        <v>2992</v>
      </c>
      <c r="E497" s="16" t="s">
        <v>2993</v>
      </c>
      <c r="F497" s="6" t="n">
        <v>46242</v>
      </c>
      <c r="G497" s="6" t="n">
        <v>46241</v>
      </c>
      <c r="H497" s="23" t="n">
        <f aca="false">ABS(F497-G497)</f>
        <v>1</v>
      </c>
      <c r="I497" s="7" t="n">
        <v>15085.98</v>
      </c>
      <c r="J497" s="7" t="n">
        <v>15085.98</v>
      </c>
      <c r="K497" s="7" t="n">
        <f aca="false">I497-J497</f>
        <v>0</v>
      </c>
      <c r="L497" s="4" t="s">
        <v>2994</v>
      </c>
      <c r="M497" s="4" t="s">
        <v>2995</v>
      </c>
      <c r="N497" s="4"/>
    </row>
    <row r="498" customFormat="false" ht="15" hidden="false" customHeight="false" outlineLevel="0" collapsed="false">
      <c r="A498" s="4" t="s">
        <v>2996</v>
      </c>
      <c r="B498" s="4" t="s">
        <v>539</v>
      </c>
      <c r="C498" s="22" t="n">
        <v>0.995</v>
      </c>
      <c r="D498" s="16" t="s">
        <v>2997</v>
      </c>
      <c r="E498" s="16" t="s">
        <v>2998</v>
      </c>
      <c r="F498" s="6" t="n">
        <v>46243</v>
      </c>
      <c r="G498" s="6" t="n">
        <v>46242</v>
      </c>
      <c r="H498" s="23" t="n">
        <f aca="false">ABS(F498-G498)</f>
        <v>1</v>
      </c>
      <c r="I498" s="7" t="n">
        <v>34616.98</v>
      </c>
      <c r="J498" s="7" t="n">
        <v>34616.98</v>
      </c>
      <c r="K498" s="7" t="n">
        <f aca="false">I498-J498</f>
        <v>0</v>
      </c>
      <c r="L498" s="4" t="s">
        <v>2999</v>
      </c>
      <c r="M498" s="4" t="s">
        <v>3000</v>
      </c>
      <c r="N498" s="4"/>
    </row>
    <row r="499" customFormat="false" ht="15" hidden="false" customHeight="false" outlineLevel="0" collapsed="false">
      <c r="A499" s="4" t="s">
        <v>3001</v>
      </c>
      <c r="B499" s="4" t="s">
        <v>539</v>
      </c>
      <c r="C499" s="22" t="n">
        <v>0.995</v>
      </c>
      <c r="D499" s="16" t="s">
        <v>3002</v>
      </c>
      <c r="E499" s="16" t="s">
        <v>3003</v>
      </c>
      <c r="F499" s="6" t="n">
        <v>46243</v>
      </c>
      <c r="G499" s="6" t="n">
        <v>46242</v>
      </c>
      <c r="H499" s="23" t="n">
        <f aca="false">ABS(F499-G499)</f>
        <v>1</v>
      </c>
      <c r="I499" s="7" t="n">
        <v>76129.68</v>
      </c>
      <c r="J499" s="7" t="n">
        <v>76129.68</v>
      </c>
      <c r="K499" s="7" t="n">
        <f aca="false">I499-J499</f>
        <v>0</v>
      </c>
      <c r="L499" s="4" t="s">
        <v>3004</v>
      </c>
      <c r="M499" s="4" t="s">
        <v>3005</v>
      </c>
      <c r="N499" s="4"/>
    </row>
    <row r="500" customFormat="false" ht="15" hidden="false" customHeight="false" outlineLevel="0" collapsed="false">
      <c r="A500" s="4" t="s">
        <v>3006</v>
      </c>
      <c r="B500" s="4" t="s">
        <v>539</v>
      </c>
      <c r="C500" s="22" t="n">
        <v>0.995</v>
      </c>
      <c r="D500" s="16" t="s">
        <v>3007</v>
      </c>
      <c r="E500" s="16" t="s">
        <v>3008</v>
      </c>
      <c r="F500" s="6" t="n">
        <v>46243</v>
      </c>
      <c r="G500" s="6" t="n">
        <v>46242</v>
      </c>
      <c r="H500" s="23" t="n">
        <f aca="false">ABS(F500-G500)</f>
        <v>1</v>
      </c>
      <c r="I500" s="7" t="n">
        <v>13051.78</v>
      </c>
      <c r="J500" s="7" t="n">
        <v>13051.78</v>
      </c>
      <c r="K500" s="7" t="n">
        <f aca="false">I500-J500</f>
        <v>0</v>
      </c>
      <c r="L500" s="4" t="s">
        <v>3009</v>
      </c>
      <c r="M500" s="4" t="s">
        <v>3010</v>
      </c>
      <c r="N500" s="4"/>
    </row>
    <row r="501" customFormat="false" ht="15" hidden="false" customHeight="false" outlineLevel="0" collapsed="false">
      <c r="A501" s="4" t="s">
        <v>3011</v>
      </c>
      <c r="B501" s="4" t="s">
        <v>539</v>
      </c>
      <c r="C501" s="22" t="n">
        <v>0.995</v>
      </c>
      <c r="D501" s="16" t="s">
        <v>3012</v>
      </c>
      <c r="E501" s="16" t="s">
        <v>3013</v>
      </c>
      <c r="F501" s="6" t="n">
        <v>46243</v>
      </c>
      <c r="G501" s="6" t="n">
        <v>46242</v>
      </c>
      <c r="H501" s="23" t="n">
        <f aca="false">ABS(F501-G501)</f>
        <v>1</v>
      </c>
      <c r="I501" s="7" t="n">
        <v>-12286.22</v>
      </c>
      <c r="J501" s="7" t="n">
        <v>-12286.22</v>
      </c>
      <c r="K501" s="7" t="n">
        <f aca="false">I501-J501</f>
        <v>0</v>
      </c>
      <c r="L501" s="4" t="s">
        <v>3014</v>
      </c>
      <c r="M501" s="4" t="s">
        <v>3015</v>
      </c>
      <c r="N501" s="4"/>
    </row>
    <row r="502" customFormat="false" ht="15" hidden="false" customHeight="false" outlineLevel="0" collapsed="false">
      <c r="A502" s="4" t="s">
        <v>3016</v>
      </c>
      <c r="B502" s="4" t="s">
        <v>539</v>
      </c>
      <c r="C502" s="22" t="n">
        <v>0.995</v>
      </c>
      <c r="D502" s="16" t="s">
        <v>3017</v>
      </c>
      <c r="E502" s="16" t="s">
        <v>3018</v>
      </c>
      <c r="F502" s="6" t="n">
        <v>46243</v>
      </c>
      <c r="G502" s="6" t="n">
        <v>46242</v>
      </c>
      <c r="H502" s="23" t="n">
        <f aca="false">ABS(F502-G502)</f>
        <v>1</v>
      </c>
      <c r="I502" s="7" t="n">
        <v>-3543.37</v>
      </c>
      <c r="J502" s="7" t="n">
        <v>-3543.37</v>
      </c>
      <c r="K502" s="7" t="n">
        <f aca="false">I502-J502</f>
        <v>0</v>
      </c>
      <c r="L502" s="4" t="s">
        <v>3019</v>
      </c>
      <c r="M502" s="4" t="s">
        <v>3020</v>
      </c>
      <c r="N502" s="4"/>
    </row>
    <row r="503" customFormat="false" ht="15" hidden="false" customHeight="false" outlineLevel="0" collapsed="false">
      <c r="A503" s="4" t="s">
        <v>3021</v>
      </c>
      <c r="B503" s="4" t="s">
        <v>539</v>
      </c>
      <c r="C503" s="22" t="n">
        <v>0.995</v>
      </c>
      <c r="D503" s="16" t="s">
        <v>3022</v>
      </c>
      <c r="E503" s="16" t="s">
        <v>3023</v>
      </c>
      <c r="F503" s="6" t="n">
        <v>46245</v>
      </c>
      <c r="G503" s="6" t="n">
        <v>46244</v>
      </c>
      <c r="H503" s="23" t="n">
        <f aca="false">ABS(F503-G503)</f>
        <v>1</v>
      </c>
      <c r="I503" s="7" t="n">
        <v>83543.96</v>
      </c>
      <c r="J503" s="7" t="n">
        <v>83543.96</v>
      </c>
      <c r="K503" s="7" t="n">
        <f aca="false">I503-J503</f>
        <v>0</v>
      </c>
      <c r="L503" s="4" t="s">
        <v>3024</v>
      </c>
      <c r="M503" s="4" t="s">
        <v>3025</v>
      </c>
      <c r="N503" s="4"/>
    </row>
    <row r="504" customFormat="false" ht="15" hidden="false" customHeight="false" outlineLevel="0" collapsed="false">
      <c r="A504" s="4" t="s">
        <v>3026</v>
      </c>
      <c r="B504" s="4" t="s">
        <v>539</v>
      </c>
      <c r="C504" s="22" t="n">
        <v>0.995</v>
      </c>
      <c r="D504" s="16" t="s">
        <v>3027</v>
      </c>
      <c r="E504" s="16" t="s">
        <v>3028</v>
      </c>
      <c r="F504" s="6" t="n">
        <v>46245</v>
      </c>
      <c r="G504" s="6" t="n">
        <v>46244</v>
      </c>
      <c r="H504" s="23" t="n">
        <f aca="false">ABS(F504-G504)</f>
        <v>1</v>
      </c>
      <c r="I504" s="7" t="n">
        <v>68930.49</v>
      </c>
      <c r="J504" s="7" t="n">
        <v>68930.49</v>
      </c>
      <c r="K504" s="7" t="n">
        <f aca="false">I504-J504</f>
        <v>0</v>
      </c>
      <c r="L504" s="4" t="s">
        <v>3029</v>
      </c>
      <c r="M504" s="4" t="s">
        <v>3030</v>
      </c>
      <c r="N504" s="4"/>
    </row>
    <row r="505" customFormat="false" ht="15" hidden="false" customHeight="false" outlineLevel="0" collapsed="false">
      <c r="A505" s="4" t="s">
        <v>3031</v>
      </c>
      <c r="B505" s="4" t="s">
        <v>539</v>
      </c>
      <c r="C505" s="22" t="n">
        <v>0.995</v>
      </c>
      <c r="D505" s="16" t="s">
        <v>3032</v>
      </c>
      <c r="E505" s="16" t="s">
        <v>3033</v>
      </c>
      <c r="F505" s="6" t="n">
        <v>46245</v>
      </c>
      <c r="G505" s="6" t="n">
        <v>46244</v>
      </c>
      <c r="H505" s="23" t="n">
        <f aca="false">ABS(F505-G505)</f>
        <v>1</v>
      </c>
      <c r="I505" s="7" t="n">
        <v>33157.58</v>
      </c>
      <c r="J505" s="7" t="n">
        <v>33157.58</v>
      </c>
      <c r="K505" s="7" t="n">
        <f aca="false">I505-J505</f>
        <v>0</v>
      </c>
      <c r="L505" s="4" t="s">
        <v>3034</v>
      </c>
      <c r="M505" s="4" t="s">
        <v>3035</v>
      </c>
      <c r="N505" s="4"/>
    </row>
    <row r="506" customFormat="false" ht="15" hidden="false" customHeight="false" outlineLevel="0" collapsed="false">
      <c r="A506" s="4" t="s">
        <v>3036</v>
      </c>
      <c r="B506" s="4" t="s">
        <v>539</v>
      </c>
      <c r="C506" s="22" t="n">
        <v>0.995</v>
      </c>
      <c r="D506" s="16" t="s">
        <v>3037</v>
      </c>
      <c r="E506" s="16" t="s">
        <v>3038</v>
      </c>
      <c r="F506" s="6" t="n">
        <v>46245</v>
      </c>
      <c r="G506" s="6" t="n">
        <v>46244</v>
      </c>
      <c r="H506" s="23" t="n">
        <f aca="false">ABS(F506-G506)</f>
        <v>1</v>
      </c>
      <c r="I506" s="7" t="n">
        <v>-7115.65</v>
      </c>
      <c r="J506" s="7" t="n">
        <v>-7115.65</v>
      </c>
      <c r="K506" s="7" t="n">
        <f aca="false">I506-J506</f>
        <v>0</v>
      </c>
      <c r="L506" s="4" t="s">
        <v>3039</v>
      </c>
      <c r="M506" s="4" t="s">
        <v>3040</v>
      </c>
      <c r="N506" s="4"/>
    </row>
    <row r="507" customFormat="false" ht="15" hidden="false" customHeight="false" outlineLevel="0" collapsed="false">
      <c r="A507" s="4" t="s">
        <v>3041</v>
      </c>
      <c r="B507" s="4" t="s">
        <v>539</v>
      </c>
      <c r="C507" s="22" t="n">
        <v>0.995</v>
      </c>
      <c r="D507" s="16" t="s">
        <v>3042</v>
      </c>
      <c r="E507" s="16" t="s">
        <v>3043</v>
      </c>
      <c r="F507" s="6" t="n">
        <v>46246</v>
      </c>
      <c r="G507" s="6" t="n">
        <v>46245</v>
      </c>
      <c r="H507" s="23" t="n">
        <f aca="false">ABS(F507-G507)</f>
        <v>1</v>
      </c>
      <c r="I507" s="7" t="n">
        <v>28594.23</v>
      </c>
      <c r="J507" s="7" t="n">
        <v>28594.23</v>
      </c>
      <c r="K507" s="7" t="n">
        <f aca="false">I507-J507</f>
        <v>0</v>
      </c>
      <c r="L507" s="4" t="s">
        <v>3044</v>
      </c>
      <c r="M507" s="4" t="s">
        <v>3045</v>
      </c>
      <c r="N507" s="4"/>
    </row>
    <row r="508" customFormat="false" ht="15" hidden="false" customHeight="false" outlineLevel="0" collapsed="false">
      <c r="A508" s="4" t="s">
        <v>3046</v>
      </c>
      <c r="B508" s="4" t="s">
        <v>539</v>
      </c>
      <c r="C508" s="22" t="n">
        <v>0.995</v>
      </c>
      <c r="D508" s="16" t="s">
        <v>3047</v>
      </c>
      <c r="E508" s="16" t="s">
        <v>3048</v>
      </c>
      <c r="F508" s="6" t="n">
        <v>46246</v>
      </c>
      <c r="G508" s="6" t="n">
        <v>46245</v>
      </c>
      <c r="H508" s="23" t="n">
        <f aca="false">ABS(F508-G508)</f>
        <v>1</v>
      </c>
      <c r="I508" s="7" t="n">
        <v>12698.63</v>
      </c>
      <c r="J508" s="7" t="n">
        <v>12698.63</v>
      </c>
      <c r="K508" s="7" t="n">
        <f aca="false">I508-J508</f>
        <v>0</v>
      </c>
      <c r="L508" s="4" t="s">
        <v>3049</v>
      </c>
      <c r="M508" s="4" t="s">
        <v>3050</v>
      </c>
      <c r="N508" s="4"/>
    </row>
    <row r="509" customFormat="false" ht="15" hidden="false" customHeight="false" outlineLevel="0" collapsed="false">
      <c r="A509" s="4" t="s">
        <v>3051</v>
      </c>
      <c r="B509" s="4" t="s">
        <v>539</v>
      </c>
      <c r="C509" s="22" t="n">
        <v>0.995</v>
      </c>
      <c r="D509" s="16" t="s">
        <v>3052</v>
      </c>
      <c r="E509" s="16" t="s">
        <v>3053</v>
      </c>
      <c r="F509" s="6" t="n">
        <v>46246</v>
      </c>
      <c r="G509" s="6" t="n">
        <v>46245</v>
      </c>
      <c r="H509" s="23" t="n">
        <f aca="false">ABS(F509-G509)</f>
        <v>1</v>
      </c>
      <c r="I509" s="7" t="n">
        <v>25514.8</v>
      </c>
      <c r="J509" s="7" t="n">
        <v>25514.8</v>
      </c>
      <c r="K509" s="7" t="n">
        <f aca="false">I509-J509</f>
        <v>0</v>
      </c>
      <c r="L509" s="4" t="s">
        <v>3054</v>
      </c>
      <c r="M509" s="4" t="s">
        <v>3055</v>
      </c>
      <c r="N509" s="4"/>
    </row>
    <row r="510" customFormat="false" ht="15" hidden="false" customHeight="false" outlineLevel="0" collapsed="false">
      <c r="A510" s="4" t="s">
        <v>3056</v>
      </c>
      <c r="B510" s="4" t="s">
        <v>539</v>
      </c>
      <c r="C510" s="22" t="n">
        <v>0.995</v>
      </c>
      <c r="D510" s="16" t="s">
        <v>3057</v>
      </c>
      <c r="E510" s="16" t="s">
        <v>3058</v>
      </c>
      <c r="F510" s="6" t="n">
        <v>46246</v>
      </c>
      <c r="G510" s="6" t="n">
        <v>46245</v>
      </c>
      <c r="H510" s="23" t="n">
        <f aca="false">ABS(F510-G510)</f>
        <v>1</v>
      </c>
      <c r="I510" s="7" t="n">
        <v>54927.06</v>
      </c>
      <c r="J510" s="7" t="n">
        <v>54927.06</v>
      </c>
      <c r="K510" s="7" t="n">
        <f aca="false">I510-J510</f>
        <v>0</v>
      </c>
      <c r="L510" s="4" t="s">
        <v>3059</v>
      </c>
      <c r="M510" s="4" t="s">
        <v>3060</v>
      </c>
      <c r="N510" s="4"/>
    </row>
    <row r="511" customFormat="false" ht="15" hidden="false" customHeight="false" outlineLevel="0" collapsed="false">
      <c r="A511" s="4" t="s">
        <v>3061</v>
      </c>
      <c r="B511" s="4" t="s">
        <v>539</v>
      </c>
      <c r="C511" s="22" t="n">
        <v>0.995</v>
      </c>
      <c r="D511" s="16" t="s">
        <v>3062</v>
      </c>
      <c r="E511" s="16" t="s">
        <v>3063</v>
      </c>
      <c r="F511" s="6" t="n">
        <v>46247</v>
      </c>
      <c r="G511" s="6" t="n">
        <v>46246</v>
      </c>
      <c r="H511" s="23" t="n">
        <f aca="false">ABS(F511-G511)</f>
        <v>1</v>
      </c>
      <c r="I511" s="7" t="n">
        <v>25114.69</v>
      </c>
      <c r="J511" s="7" t="n">
        <v>25114.69</v>
      </c>
      <c r="K511" s="7" t="n">
        <f aca="false">I511-J511</f>
        <v>0</v>
      </c>
      <c r="L511" s="4" t="s">
        <v>3064</v>
      </c>
      <c r="M511" s="4" t="s">
        <v>3065</v>
      </c>
      <c r="N511" s="4"/>
    </row>
    <row r="512" customFormat="false" ht="15" hidden="false" customHeight="false" outlineLevel="0" collapsed="false">
      <c r="A512" s="4" t="s">
        <v>3066</v>
      </c>
      <c r="B512" s="4" t="s">
        <v>539</v>
      </c>
      <c r="C512" s="22" t="n">
        <v>0.995</v>
      </c>
      <c r="D512" s="16" t="s">
        <v>3067</v>
      </c>
      <c r="E512" s="16" t="s">
        <v>3068</v>
      </c>
      <c r="F512" s="6" t="n">
        <v>46247</v>
      </c>
      <c r="G512" s="6" t="n">
        <v>46246</v>
      </c>
      <c r="H512" s="23" t="n">
        <f aca="false">ABS(F512-G512)</f>
        <v>1</v>
      </c>
      <c r="I512" s="7" t="n">
        <v>-37031.07</v>
      </c>
      <c r="J512" s="7" t="n">
        <v>-37031.07</v>
      </c>
      <c r="K512" s="7" t="n">
        <f aca="false">I512-J512</f>
        <v>0</v>
      </c>
      <c r="L512" s="4" t="s">
        <v>3069</v>
      </c>
      <c r="M512" s="4" t="s">
        <v>3070</v>
      </c>
      <c r="N512" s="4"/>
    </row>
    <row r="513" customFormat="false" ht="15" hidden="false" customHeight="false" outlineLevel="0" collapsed="false">
      <c r="A513" s="4" t="s">
        <v>3071</v>
      </c>
      <c r="B513" s="4" t="s">
        <v>539</v>
      </c>
      <c r="C513" s="22" t="n">
        <v>0.995</v>
      </c>
      <c r="D513" s="16" t="s">
        <v>3072</v>
      </c>
      <c r="E513" s="16" t="s">
        <v>3073</v>
      </c>
      <c r="F513" s="6" t="n">
        <v>46247</v>
      </c>
      <c r="G513" s="6" t="n">
        <v>46246</v>
      </c>
      <c r="H513" s="23" t="n">
        <f aca="false">ABS(F513-G513)</f>
        <v>1</v>
      </c>
      <c r="I513" s="7" t="n">
        <v>-9158.71</v>
      </c>
      <c r="J513" s="7" t="n">
        <v>-9158.71</v>
      </c>
      <c r="K513" s="7" t="n">
        <f aca="false">I513-J513</f>
        <v>0</v>
      </c>
      <c r="L513" s="4" t="s">
        <v>3074</v>
      </c>
      <c r="M513" s="4" t="s">
        <v>3075</v>
      </c>
      <c r="N513" s="4"/>
    </row>
    <row r="514" customFormat="false" ht="15" hidden="false" customHeight="false" outlineLevel="0" collapsed="false">
      <c r="A514" s="4" t="s">
        <v>3076</v>
      </c>
      <c r="B514" s="4" t="s">
        <v>539</v>
      </c>
      <c r="C514" s="22" t="n">
        <v>0.995</v>
      </c>
      <c r="D514" s="16" t="s">
        <v>3077</v>
      </c>
      <c r="E514" s="16" t="s">
        <v>3078</v>
      </c>
      <c r="F514" s="6" t="n">
        <v>46248</v>
      </c>
      <c r="G514" s="6" t="n">
        <v>46247</v>
      </c>
      <c r="H514" s="23" t="n">
        <f aca="false">ABS(F514-G514)</f>
        <v>1</v>
      </c>
      <c r="I514" s="7" t="n">
        <v>51318.08</v>
      </c>
      <c r="J514" s="7" t="n">
        <v>51318.08</v>
      </c>
      <c r="K514" s="7" t="n">
        <f aca="false">I514-J514</f>
        <v>0</v>
      </c>
      <c r="L514" s="4" t="s">
        <v>3079</v>
      </c>
      <c r="M514" s="4" t="s">
        <v>3080</v>
      </c>
      <c r="N514" s="4"/>
    </row>
    <row r="515" customFormat="false" ht="15" hidden="false" customHeight="false" outlineLevel="0" collapsed="false">
      <c r="A515" s="4" t="s">
        <v>3081</v>
      </c>
      <c r="B515" s="4" t="s">
        <v>539</v>
      </c>
      <c r="C515" s="22" t="n">
        <v>0.995</v>
      </c>
      <c r="D515" s="16" t="s">
        <v>3082</v>
      </c>
      <c r="E515" s="16" t="s">
        <v>3083</v>
      </c>
      <c r="F515" s="6" t="n">
        <v>46248</v>
      </c>
      <c r="G515" s="6" t="n">
        <v>46247</v>
      </c>
      <c r="H515" s="23" t="n">
        <f aca="false">ABS(F515-G515)</f>
        <v>1</v>
      </c>
      <c r="I515" s="7" t="n">
        <v>6136.96</v>
      </c>
      <c r="J515" s="7" t="n">
        <v>6136.96</v>
      </c>
      <c r="K515" s="7" t="n">
        <f aca="false">I515-J515</f>
        <v>0</v>
      </c>
      <c r="L515" s="4" t="s">
        <v>3084</v>
      </c>
      <c r="M515" s="4" t="s">
        <v>3085</v>
      </c>
      <c r="N515" s="4"/>
    </row>
    <row r="516" customFormat="false" ht="15" hidden="false" customHeight="false" outlineLevel="0" collapsed="false">
      <c r="A516" s="4" t="s">
        <v>3086</v>
      </c>
      <c r="B516" s="4" t="s">
        <v>539</v>
      </c>
      <c r="C516" s="22" t="n">
        <v>0.995</v>
      </c>
      <c r="D516" s="16" t="s">
        <v>3087</v>
      </c>
      <c r="E516" s="16" t="s">
        <v>3088</v>
      </c>
      <c r="F516" s="6" t="n">
        <v>46248</v>
      </c>
      <c r="G516" s="6" t="n">
        <v>46247</v>
      </c>
      <c r="H516" s="23" t="n">
        <f aca="false">ABS(F516-G516)</f>
        <v>1</v>
      </c>
      <c r="I516" s="7" t="n">
        <v>63630.17</v>
      </c>
      <c r="J516" s="7" t="n">
        <v>63630.17</v>
      </c>
      <c r="K516" s="7" t="n">
        <f aca="false">I516-J516</f>
        <v>0</v>
      </c>
      <c r="L516" s="4" t="s">
        <v>3089</v>
      </c>
      <c r="M516" s="4" t="s">
        <v>3090</v>
      </c>
      <c r="N516" s="4"/>
    </row>
    <row r="517" customFormat="false" ht="15" hidden="false" customHeight="false" outlineLevel="0" collapsed="false">
      <c r="A517" s="4" t="s">
        <v>3091</v>
      </c>
      <c r="B517" s="4" t="s">
        <v>539</v>
      </c>
      <c r="C517" s="22" t="n">
        <v>0.995</v>
      </c>
      <c r="D517" s="16" t="s">
        <v>3092</v>
      </c>
      <c r="E517" s="16" t="s">
        <v>3093</v>
      </c>
      <c r="F517" s="6" t="n">
        <v>46248</v>
      </c>
      <c r="G517" s="6" t="n">
        <v>46247</v>
      </c>
      <c r="H517" s="23" t="n">
        <f aca="false">ABS(F517-G517)</f>
        <v>1</v>
      </c>
      <c r="I517" s="7" t="n">
        <v>-1321.14</v>
      </c>
      <c r="J517" s="7" t="n">
        <v>-1321.14</v>
      </c>
      <c r="K517" s="7" t="n">
        <f aca="false">I517-J517</f>
        <v>0</v>
      </c>
      <c r="L517" s="4" t="s">
        <v>3094</v>
      </c>
      <c r="M517" s="4" t="s">
        <v>3095</v>
      </c>
      <c r="N517" s="4"/>
    </row>
    <row r="518" customFormat="false" ht="15" hidden="false" customHeight="false" outlineLevel="0" collapsed="false">
      <c r="A518" s="4" t="s">
        <v>3096</v>
      </c>
      <c r="B518" s="4" t="s">
        <v>539</v>
      </c>
      <c r="C518" s="22" t="n">
        <v>0.995</v>
      </c>
      <c r="D518" s="16" t="s">
        <v>3097</v>
      </c>
      <c r="E518" s="16" t="s">
        <v>3098</v>
      </c>
      <c r="F518" s="6" t="n">
        <v>46248</v>
      </c>
      <c r="G518" s="6" t="n">
        <v>46247</v>
      </c>
      <c r="H518" s="23" t="n">
        <f aca="false">ABS(F518-G518)</f>
        <v>1</v>
      </c>
      <c r="I518" s="7" t="n">
        <v>-22260.83</v>
      </c>
      <c r="J518" s="7" t="n">
        <v>-22260.83</v>
      </c>
      <c r="K518" s="7" t="n">
        <f aca="false">I518-J518</f>
        <v>0</v>
      </c>
      <c r="L518" s="4" t="s">
        <v>3099</v>
      </c>
      <c r="M518" s="4" t="s">
        <v>3100</v>
      </c>
      <c r="N518" s="4"/>
    </row>
    <row r="519" customFormat="false" ht="15" hidden="false" customHeight="false" outlineLevel="0" collapsed="false">
      <c r="A519" s="4" t="s">
        <v>3101</v>
      </c>
      <c r="B519" s="4" t="s">
        <v>539</v>
      </c>
      <c r="C519" s="22" t="n">
        <v>0.995</v>
      </c>
      <c r="D519" s="16" t="s">
        <v>3102</v>
      </c>
      <c r="E519" s="16" t="s">
        <v>3103</v>
      </c>
      <c r="F519" s="6" t="n">
        <v>46249</v>
      </c>
      <c r="G519" s="6" t="n">
        <v>46248</v>
      </c>
      <c r="H519" s="23" t="n">
        <f aca="false">ABS(F519-G519)</f>
        <v>1</v>
      </c>
      <c r="I519" s="7" t="n">
        <v>44144.95</v>
      </c>
      <c r="J519" s="7" t="n">
        <v>44144.95</v>
      </c>
      <c r="K519" s="7" t="n">
        <f aca="false">I519-J519</f>
        <v>0</v>
      </c>
      <c r="L519" s="4" t="s">
        <v>3104</v>
      </c>
      <c r="M519" s="4" t="s">
        <v>3105</v>
      </c>
      <c r="N519" s="4"/>
    </row>
    <row r="520" customFormat="false" ht="15" hidden="false" customHeight="false" outlineLevel="0" collapsed="false">
      <c r="A520" s="4" t="s">
        <v>3106</v>
      </c>
      <c r="B520" s="4" t="s">
        <v>539</v>
      </c>
      <c r="C520" s="22" t="n">
        <v>0.995</v>
      </c>
      <c r="D520" s="16" t="s">
        <v>3107</v>
      </c>
      <c r="E520" s="16" t="s">
        <v>3108</v>
      </c>
      <c r="F520" s="6" t="n">
        <v>46249</v>
      </c>
      <c r="G520" s="6" t="n">
        <v>46248</v>
      </c>
      <c r="H520" s="23" t="n">
        <f aca="false">ABS(F520-G520)</f>
        <v>1</v>
      </c>
      <c r="I520" s="7" t="n">
        <v>15945.06</v>
      </c>
      <c r="J520" s="7" t="n">
        <v>15945.06</v>
      </c>
      <c r="K520" s="7" t="n">
        <f aca="false">I520-J520</f>
        <v>0</v>
      </c>
      <c r="L520" s="4" t="s">
        <v>3109</v>
      </c>
      <c r="M520" s="4" t="s">
        <v>3110</v>
      </c>
      <c r="N520" s="4"/>
    </row>
    <row r="521" customFormat="false" ht="15" hidden="false" customHeight="false" outlineLevel="0" collapsed="false">
      <c r="A521" s="4" t="s">
        <v>3111</v>
      </c>
      <c r="B521" s="4" t="s">
        <v>539</v>
      </c>
      <c r="C521" s="22" t="n">
        <v>0.995</v>
      </c>
      <c r="D521" s="16" t="s">
        <v>3112</v>
      </c>
      <c r="E521" s="16" t="s">
        <v>3113</v>
      </c>
      <c r="F521" s="6" t="n">
        <v>46249</v>
      </c>
      <c r="G521" s="6" t="n">
        <v>46248</v>
      </c>
      <c r="H521" s="23" t="n">
        <f aca="false">ABS(F521-G521)</f>
        <v>1</v>
      </c>
      <c r="I521" s="7" t="n">
        <v>57943.54</v>
      </c>
      <c r="J521" s="7" t="n">
        <v>57943.54</v>
      </c>
      <c r="K521" s="7" t="n">
        <f aca="false">I521-J521</f>
        <v>0</v>
      </c>
      <c r="L521" s="4" t="s">
        <v>3114</v>
      </c>
      <c r="M521" s="4" t="s">
        <v>3115</v>
      </c>
      <c r="N521" s="4"/>
    </row>
    <row r="522" customFormat="false" ht="15" hidden="false" customHeight="false" outlineLevel="0" collapsed="false">
      <c r="A522" s="4" t="s">
        <v>3116</v>
      </c>
      <c r="B522" s="4" t="s">
        <v>539</v>
      </c>
      <c r="C522" s="22" t="n">
        <v>0.995</v>
      </c>
      <c r="D522" s="16" t="s">
        <v>3117</v>
      </c>
      <c r="E522" s="16" t="s">
        <v>3118</v>
      </c>
      <c r="F522" s="6" t="n">
        <v>46250</v>
      </c>
      <c r="G522" s="6" t="n">
        <v>46249</v>
      </c>
      <c r="H522" s="23" t="n">
        <f aca="false">ABS(F522-G522)</f>
        <v>1</v>
      </c>
      <c r="I522" s="7" t="n">
        <v>22081.02</v>
      </c>
      <c r="J522" s="7" t="n">
        <v>22081.02</v>
      </c>
      <c r="K522" s="7" t="n">
        <f aca="false">I522-J522</f>
        <v>0</v>
      </c>
      <c r="L522" s="4" t="s">
        <v>3119</v>
      </c>
      <c r="M522" s="4" t="s">
        <v>3120</v>
      </c>
      <c r="N522" s="4"/>
    </row>
    <row r="523" customFormat="false" ht="15" hidden="false" customHeight="false" outlineLevel="0" collapsed="false">
      <c r="A523" s="4" t="s">
        <v>3121</v>
      </c>
      <c r="B523" s="4" t="s">
        <v>539</v>
      </c>
      <c r="C523" s="22" t="n">
        <v>0.995</v>
      </c>
      <c r="D523" s="16" t="s">
        <v>3122</v>
      </c>
      <c r="E523" s="16" t="s">
        <v>3123</v>
      </c>
      <c r="F523" s="6" t="n">
        <v>46250</v>
      </c>
      <c r="G523" s="6" t="n">
        <v>46249</v>
      </c>
      <c r="H523" s="23" t="n">
        <f aca="false">ABS(F523-G523)</f>
        <v>1</v>
      </c>
      <c r="I523" s="7" t="n">
        <v>-7325.3</v>
      </c>
      <c r="J523" s="7" t="n">
        <v>-7325.3</v>
      </c>
      <c r="K523" s="7" t="n">
        <f aca="false">I523-J523</f>
        <v>0</v>
      </c>
      <c r="L523" s="4" t="s">
        <v>3124</v>
      </c>
      <c r="M523" s="4" t="s">
        <v>3125</v>
      </c>
      <c r="N523" s="4"/>
    </row>
    <row r="524" customFormat="false" ht="15" hidden="false" customHeight="false" outlineLevel="0" collapsed="false">
      <c r="A524" s="4" t="s">
        <v>3126</v>
      </c>
      <c r="B524" s="4" t="s">
        <v>539</v>
      </c>
      <c r="C524" s="22" t="n">
        <v>0.995</v>
      </c>
      <c r="D524" s="16" t="s">
        <v>3127</v>
      </c>
      <c r="E524" s="16" t="s">
        <v>3128</v>
      </c>
      <c r="F524" s="6" t="n">
        <v>46251</v>
      </c>
      <c r="G524" s="6" t="n">
        <v>46250</v>
      </c>
      <c r="H524" s="23" t="n">
        <f aca="false">ABS(F524-G524)</f>
        <v>1</v>
      </c>
      <c r="I524" s="7" t="n">
        <v>21509.65</v>
      </c>
      <c r="J524" s="7" t="n">
        <v>21509.65</v>
      </c>
      <c r="K524" s="7" t="n">
        <f aca="false">I524-J524</f>
        <v>0</v>
      </c>
      <c r="L524" s="4" t="s">
        <v>3129</v>
      </c>
      <c r="M524" s="4" t="s">
        <v>3130</v>
      </c>
      <c r="N524" s="4"/>
    </row>
    <row r="525" customFormat="false" ht="15" hidden="false" customHeight="false" outlineLevel="0" collapsed="false">
      <c r="A525" s="4" t="s">
        <v>3131</v>
      </c>
      <c r="B525" s="4" t="s">
        <v>539</v>
      </c>
      <c r="C525" s="22" t="n">
        <v>0.995</v>
      </c>
      <c r="D525" s="16" t="s">
        <v>3132</v>
      </c>
      <c r="E525" s="16" t="s">
        <v>3133</v>
      </c>
      <c r="F525" s="6" t="n">
        <v>46251</v>
      </c>
      <c r="G525" s="6" t="n">
        <v>46250</v>
      </c>
      <c r="H525" s="23" t="n">
        <f aca="false">ABS(F525-G525)</f>
        <v>1</v>
      </c>
      <c r="I525" s="7" t="n">
        <v>-39493.98</v>
      </c>
      <c r="J525" s="7" t="n">
        <v>-39493.98</v>
      </c>
      <c r="K525" s="7" t="n">
        <f aca="false">I525-J525</f>
        <v>0</v>
      </c>
      <c r="L525" s="4" t="s">
        <v>3134</v>
      </c>
      <c r="M525" s="4" t="s">
        <v>3135</v>
      </c>
      <c r="N525" s="4"/>
    </row>
    <row r="526" customFormat="false" ht="15" hidden="false" customHeight="false" outlineLevel="0" collapsed="false">
      <c r="A526" s="4" t="s">
        <v>3136</v>
      </c>
      <c r="B526" s="4" t="s">
        <v>539</v>
      </c>
      <c r="C526" s="22" t="n">
        <v>0.995</v>
      </c>
      <c r="D526" s="16" t="s">
        <v>3137</v>
      </c>
      <c r="E526" s="16" t="s">
        <v>3138</v>
      </c>
      <c r="F526" s="6" t="n">
        <v>46252</v>
      </c>
      <c r="G526" s="6" t="n">
        <v>46251</v>
      </c>
      <c r="H526" s="23" t="n">
        <f aca="false">ABS(F526-G526)</f>
        <v>1</v>
      </c>
      <c r="I526" s="7" t="n">
        <v>20466.11</v>
      </c>
      <c r="J526" s="7" t="n">
        <v>20466.11</v>
      </c>
      <c r="K526" s="7" t="n">
        <f aca="false">I526-J526</f>
        <v>0</v>
      </c>
      <c r="L526" s="4" t="s">
        <v>3139</v>
      </c>
      <c r="M526" s="4" t="s">
        <v>3140</v>
      </c>
      <c r="N526" s="4"/>
    </row>
    <row r="527" customFormat="false" ht="15" hidden="false" customHeight="false" outlineLevel="0" collapsed="false">
      <c r="A527" s="4" t="s">
        <v>3141</v>
      </c>
      <c r="B527" s="4" t="s">
        <v>539</v>
      </c>
      <c r="C527" s="22" t="n">
        <v>0.995</v>
      </c>
      <c r="D527" s="16" t="s">
        <v>3142</v>
      </c>
      <c r="E527" s="16" t="s">
        <v>3143</v>
      </c>
      <c r="F527" s="6" t="n">
        <v>46252</v>
      </c>
      <c r="G527" s="6" t="n">
        <v>46251</v>
      </c>
      <c r="H527" s="23" t="n">
        <f aca="false">ABS(F527-G527)</f>
        <v>1</v>
      </c>
      <c r="I527" s="7" t="n">
        <v>69734.71</v>
      </c>
      <c r="J527" s="7" t="n">
        <v>69734.71</v>
      </c>
      <c r="K527" s="7" t="n">
        <f aca="false">I527-J527</f>
        <v>0</v>
      </c>
      <c r="L527" s="4" t="s">
        <v>3144</v>
      </c>
      <c r="M527" s="4" t="s">
        <v>3145</v>
      </c>
      <c r="N527" s="4"/>
    </row>
    <row r="528" customFormat="false" ht="15" hidden="false" customHeight="false" outlineLevel="0" collapsed="false">
      <c r="A528" s="4" t="s">
        <v>3146</v>
      </c>
      <c r="B528" s="4" t="s">
        <v>539</v>
      </c>
      <c r="C528" s="22" t="n">
        <v>0.995</v>
      </c>
      <c r="D528" s="16" t="s">
        <v>3147</v>
      </c>
      <c r="E528" s="16" t="s">
        <v>3148</v>
      </c>
      <c r="F528" s="6" t="n">
        <v>46252</v>
      </c>
      <c r="G528" s="6" t="n">
        <v>46251</v>
      </c>
      <c r="H528" s="23" t="n">
        <f aca="false">ABS(F528-G528)</f>
        <v>1</v>
      </c>
      <c r="I528" s="7" t="n">
        <v>80332.06</v>
      </c>
      <c r="J528" s="7" t="n">
        <v>80332.06</v>
      </c>
      <c r="K528" s="7" t="n">
        <f aca="false">I528-J528</f>
        <v>0</v>
      </c>
      <c r="L528" s="4" t="s">
        <v>3149</v>
      </c>
      <c r="M528" s="4" t="s">
        <v>3150</v>
      </c>
      <c r="N528" s="4"/>
    </row>
    <row r="529" customFormat="false" ht="15" hidden="false" customHeight="false" outlineLevel="0" collapsed="false">
      <c r="A529" s="4" t="s">
        <v>3151</v>
      </c>
      <c r="B529" s="4" t="s">
        <v>539</v>
      </c>
      <c r="C529" s="22" t="n">
        <v>0.995</v>
      </c>
      <c r="D529" s="16" t="s">
        <v>3152</v>
      </c>
      <c r="E529" s="16" t="s">
        <v>3153</v>
      </c>
      <c r="F529" s="6" t="n">
        <v>46253</v>
      </c>
      <c r="G529" s="6" t="n">
        <v>46252</v>
      </c>
      <c r="H529" s="23" t="n">
        <f aca="false">ABS(F529-G529)</f>
        <v>1</v>
      </c>
      <c r="I529" s="7" t="n">
        <v>-37199.31</v>
      </c>
      <c r="J529" s="7" t="n">
        <v>-37199.31</v>
      </c>
      <c r="K529" s="7" t="n">
        <f aca="false">I529-J529</f>
        <v>0</v>
      </c>
      <c r="L529" s="4" t="s">
        <v>3154</v>
      </c>
      <c r="M529" s="4" t="s">
        <v>3155</v>
      </c>
      <c r="N529" s="4"/>
    </row>
    <row r="530" customFormat="false" ht="15" hidden="false" customHeight="false" outlineLevel="0" collapsed="false">
      <c r="A530" s="4" t="s">
        <v>3156</v>
      </c>
      <c r="B530" s="4" t="s">
        <v>539</v>
      </c>
      <c r="C530" s="22" t="n">
        <v>0.995</v>
      </c>
      <c r="D530" s="16" t="s">
        <v>3157</v>
      </c>
      <c r="E530" s="16" t="s">
        <v>3158</v>
      </c>
      <c r="F530" s="6" t="n">
        <v>46253</v>
      </c>
      <c r="G530" s="6" t="n">
        <v>46252</v>
      </c>
      <c r="H530" s="23" t="n">
        <f aca="false">ABS(F530-G530)</f>
        <v>1</v>
      </c>
      <c r="I530" s="7" t="n">
        <v>-36849.01</v>
      </c>
      <c r="J530" s="7" t="n">
        <v>-36849.01</v>
      </c>
      <c r="K530" s="7" t="n">
        <f aca="false">I530-J530</f>
        <v>0</v>
      </c>
      <c r="L530" s="4" t="s">
        <v>3159</v>
      </c>
      <c r="M530" s="4" t="s">
        <v>3160</v>
      </c>
      <c r="N530" s="4"/>
    </row>
    <row r="531" customFormat="false" ht="15" hidden="false" customHeight="false" outlineLevel="0" collapsed="false">
      <c r="A531" s="4" t="s">
        <v>3161</v>
      </c>
      <c r="B531" s="4" t="s">
        <v>539</v>
      </c>
      <c r="C531" s="22" t="n">
        <v>0.995</v>
      </c>
      <c r="D531" s="16" t="s">
        <v>3162</v>
      </c>
      <c r="E531" s="16" t="s">
        <v>3163</v>
      </c>
      <c r="F531" s="6" t="n">
        <v>46254</v>
      </c>
      <c r="G531" s="6" t="n">
        <v>46253</v>
      </c>
      <c r="H531" s="23" t="n">
        <f aca="false">ABS(F531-G531)</f>
        <v>1</v>
      </c>
      <c r="I531" s="7" t="n">
        <v>56625.97</v>
      </c>
      <c r="J531" s="7" t="n">
        <v>56625.97</v>
      </c>
      <c r="K531" s="7" t="n">
        <f aca="false">I531-J531</f>
        <v>0</v>
      </c>
      <c r="L531" s="4" t="s">
        <v>3164</v>
      </c>
      <c r="M531" s="4" t="s">
        <v>3165</v>
      </c>
      <c r="N531" s="4"/>
    </row>
    <row r="532" customFormat="false" ht="15" hidden="false" customHeight="false" outlineLevel="0" collapsed="false">
      <c r="A532" s="4" t="s">
        <v>3166</v>
      </c>
      <c r="B532" s="4" t="s">
        <v>539</v>
      </c>
      <c r="C532" s="22" t="n">
        <v>0.995</v>
      </c>
      <c r="D532" s="16" t="s">
        <v>3167</v>
      </c>
      <c r="E532" s="16" t="s">
        <v>3168</v>
      </c>
      <c r="F532" s="6" t="n">
        <v>46254</v>
      </c>
      <c r="G532" s="6" t="n">
        <v>46253</v>
      </c>
      <c r="H532" s="23" t="n">
        <f aca="false">ABS(F532-G532)</f>
        <v>1</v>
      </c>
      <c r="I532" s="7" t="n">
        <v>9172.9</v>
      </c>
      <c r="J532" s="7" t="n">
        <v>9172.9</v>
      </c>
      <c r="K532" s="7" t="n">
        <f aca="false">I532-J532</f>
        <v>0</v>
      </c>
      <c r="L532" s="4" t="s">
        <v>3169</v>
      </c>
      <c r="M532" s="4" t="s">
        <v>3170</v>
      </c>
      <c r="N532" s="4"/>
    </row>
    <row r="533" customFormat="false" ht="15" hidden="false" customHeight="false" outlineLevel="0" collapsed="false">
      <c r="A533" s="4" t="s">
        <v>3171</v>
      </c>
      <c r="B533" s="4" t="s">
        <v>539</v>
      </c>
      <c r="C533" s="22" t="n">
        <v>0.995</v>
      </c>
      <c r="D533" s="16" t="s">
        <v>3172</v>
      </c>
      <c r="E533" s="16" t="s">
        <v>3173</v>
      </c>
      <c r="F533" s="6" t="n">
        <v>46255</v>
      </c>
      <c r="G533" s="6" t="n">
        <v>46254</v>
      </c>
      <c r="H533" s="23" t="n">
        <f aca="false">ABS(F533-G533)</f>
        <v>1</v>
      </c>
      <c r="I533" s="7" t="n">
        <v>92392.47</v>
      </c>
      <c r="J533" s="7" t="n">
        <v>92392.47</v>
      </c>
      <c r="K533" s="7" t="n">
        <f aca="false">I533-J533</f>
        <v>0</v>
      </c>
      <c r="L533" s="4" t="s">
        <v>3174</v>
      </c>
      <c r="M533" s="4" t="s">
        <v>3175</v>
      </c>
      <c r="N533" s="4"/>
    </row>
    <row r="534" customFormat="false" ht="15" hidden="false" customHeight="false" outlineLevel="0" collapsed="false">
      <c r="A534" s="4" t="s">
        <v>3176</v>
      </c>
      <c r="B534" s="4" t="s">
        <v>539</v>
      </c>
      <c r="C534" s="22" t="n">
        <v>0.995</v>
      </c>
      <c r="D534" s="16" t="s">
        <v>3177</v>
      </c>
      <c r="E534" s="16" t="s">
        <v>3178</v>
      </c>
      <c r="F534" s="6" t="n">
        <v>46255</v>
      </c>
      <c r="G534" s="6" t="n">
        <v>46254</v>
      </c>
      <c r="H534" s="23" t="n">
        <f aca="false">ABS(F534-G534)</f>
        <v>1</v>
      </c>
      <c r="I534" s="7" t="n">
        <v>60939.41</v>
      </c>
      <c r="J534" s="7" t="n">
        <v>60939.41</v>
      </c>
      <c r="K534" s="7" t="n">
        <f aca="false">I534-J534</f>
        <v>0</v>
      </c>
      <c r="L534" s="4" t="s">
        <v>3179</v>
      </c>
      <c r="M534" s="4" t="s">
        <v>3180</v>
      </c>
      <c r="N534" s="4"/>
    </row>
    <row r="535" customFormat="false" ht="15" hidden="false" customHeight="false" outlineLevel="0" collapsed="false">
      <c r="A535" s="4" t="s">
        <v>3181</v>
      </c>
      <c r="B535" s="4" t="s">
        <v>539</v>
      </c>
      <c r="C535" s="22" t="n">
        <v>0.995</v>
      </c>
      <c r="D535" s="16" t="s">
        <v>3182</v>
      </c>
      <c r="E535" s="16" t="s">
        <v>3183</v>
      </c>
      <c r="F535" s="6" t="n">
        <v>46255</v>
      </c>
      <c r="G535" s="6" t="n">
        <v>46254</v>
      </c>
      <c r="H535" s="23" t="n">
        <f aca="false">ABS(F535-G535)</f>
        <v>1</v>
      </c>
      <c r="I535" s="7" t="n">
        <v>-2146.28</v>
      </c>
      <c r="J535" s="7" t="n">
        <v>-2146.28</v>
      </c>
      <c r="K535" s="7" t="n">
        <f aca="false">I535-J535</f>
        <v>0</v>
      </c>
      <c r="L535" s="4" t="s">
        <v>3184</v>
      </c>
      <c r="M535" s="4" t="s">
        <v>3185</v>
      </c>
      <c r="N535" s="4"/>
    </row>
    <row r="536" customFormat="false" ht="15" hidden="false" customHeight="false" outlineLevel="0" collapsed="false">
      <c r="A536" s="4" t="s">
        <v>3186</v>
      </c>
      <c r="B536" s="4" t="s">
        <v>539</v>
      </c>
      <c r="C536" s="22" t="n">
        <v>0.995</v>
      </c>
      <c r="D536" s="16" t="s">
        <v>3187</v>
      </c>
      <c r="E536" s="16" t="s">
        <v>3188</v>
      </c>
      <c r="F536" s="6" t="n">
        <v>46256</v>
      </c>
      <c r="G536" s="6" t="n">
        <v>46255</v>
      </c>
      <c r="H536" s="23" t="n">
        <f aca="false">ABS(F536-G536)</f>
        <v>1</v>
      </c>
      <c r="I536" s="7" t="n">
        <v>25857.74</v>
      </c>
      <c r="J536" s="7" t="n">
        <v>25857.74</v>
      </c>
      <c r="K536" s="7" t="n">
        <f aca="false">I536-J536</f>
        <v>0</v>
      </c>
      <c r="L536" s="4" t="s">
        <v>3189</v>
      </c>
      <c r="M536" s="4" t="s">
        <v>3190</v>
      </c>
      <c r="N536" s="4"/>
    </row>
    <row r="537" customFormat="false" ht="15" hidden="false" customHeight="false" outlineLevel="0" collapsed="false">
      <c r="A537" s="4" t="s">
        <v>3191</v>
      </c>
      <c r="B537" s="4" t="s">
        <v>539</v>
      </c>
      <c r="C537" s="22" t="n">
        <v>0.995</v>
      </c>
      <c r="D537" s="16" t="s">
        <v>3192</v>
      </c>
      <c r="E537" s="16" t="s">
        <v>3193</v>
      </c>
      <c r="F537" s="6" t="n">
        <v>46256</v>
      </c>
      <c r="G537" s="6" t="n">
        <v>46255</v>
      </c>
      <c r="H537" s="23" t="n">
        <f aca="false">ABS(F537-G537)</f>
        <v>1</v>
      </c>
      <c r="I537" s="7" t="n">
        <v>74958.36</v>
      </c>
      <c r="J537" s="7" t="n">
        <v>74958.36</v>
      </c>
      <c r="K537" s="7" t="n">
        <f aca="false">I537-J537</f>
        <v>0</v>
      </c>
      <c r="L537" s="4" t="s">
        <v>3194</v>
      </c>
      <c r="M537" s="4" t="s">
        <v>3195</v>
      </c>
      <c r="N537" s="4"/>
    </row>
    <row r="538" customFormat="false" ht="15" hidden="false" customHeight="false" outlineLevel="0" collapsed="false">
      <c r="A538" s="4" t="s">
        <v>3196</v>
      </c>
      <c r="B538" s="4" t="s">
        <v>539</v>
      </c>
      <c r="C538" s="22" t="n">
        <v>0.995</v>
      </c>
      <c r="D538" s="16" t="s">
        <v>3197</v>
      </c>
      <c r="E538" s="16" t="s">
        <v>3198</v>
      </c>
      <c r="F538" s="6" t="n">
        <v>46256</v>
      </c>
      <c r="G538" s="6" t="n">
        <v>46255</v>
      </c>
      <c r="H538" s="23" t="n">
        <f aca="false">ABS(F538-G538)</f>
        <v>1</v>
      </c>
      <c r="I538" s="7" t="n">
        <v>35716.77</v>
      </c>
      <c r="J538" s="7" t="n">
        <v>35716.77</v>
      </c>
      <c r="K538" s="7" t="n">
        <f aca="false">I538-J538</f>
        <v>0</v>
      </c>
      <c r="L538" s="4" t="s">
        <v>3199</v>
      </c>
      <c r="M538" s="4" t="s">
        <v>3200</v>
      </c>
      <c r="N538" s="4"/>
    </row>
    <row r="539" customFormat="false" ht="15" hidden="false" customHeight="false" outlineLevel="0" collapsed="false">
      <c r="A539" s="4" t="s">
        <v>3201</v>
      </c>
      <c r="B539" s="4" t="s">
        <v>539</v>
      </c>
      <c r="C539" s="22" t="n">
        <v>0.995</v>
      </c>
      <c r="D539" s="16" t="s">
        <v>3202</v>
      </c>
      <c r="E539" s="16" t="s">
        <v>3203</v>
      </c>
      <c r="F539" s="6" t="n">
        <v>46256</v>
      </c>
      <c r="G539" s="6" t="n">
        <v>46255</v>
      </c>
      <c r="H539" s="23" t="n">
        <f aca="false">ABS(F539-G539)</f>
        <v>1</v>
      </c>
      <c r="I539" s="7" t="n">
        <v>-50449.41</v>
      </c>
      <c r="J539" s="7" t="n">
        <v>-50449.41</v>
      </c>
      <c r="K539" s="7" t="n">
        <f aca="false">I539-J539</f>
        <v>0</v>
      </c>
      <c r="L539" s="4" t="s">
        <v>3204</v>
      </c>
      <c r="M539" s="4" t="s">
        <v>3205</v>
      </c>
      <c r="N539" s="4"/>
    </row>
    <row r="540" customFormat="false" ht="15" hidden="false" customHeight="false" outlineLevel="0" collapsed="false">
      <c r="A540" s="4" t="s">
        <v>3206</v>
      </c>
      <c r="B540" s="4" t="s">
        <v>539</v>
      </c>
      <c r="C540" s="22" t="n">
        <v>0.995</v>
      </c>
      <c r="D540" s="16" t="s">
        <v>3207</v>
      </c>
      <c r="E540" s="16" t="s">
        <v>3208</v>
      </c>
      <c r="F540" s="6" t="n">
        <v>46257</v>
      </c>
      <c r="G540" s="6" t="n">
        <v>46256</v>
      </c>
      <c r="H540" s="23" t="n">
        <f aca="false">ABS(F540-G540)</f>
        <v>1</v>
      </c>
      <c r="I540" s="7" t="n">
        <v>7551.8</v>
      </c>
      <c r="J540" s="7" t="n">
        <v>7551.8</v>
      </c>
      <c r="K540" s="7" t="n">
        <f aca="false">I540-J540</f>
        <v>0</v>
      </c>
      <c r="L540" s="4" t="s">
        <v>3209</v>
      </c>
      <c r="M540" s="4" t="s">
        <v>3210</v>
      </c>
      <c r="N540" s="4"/>
    </row>
    <row r="541" customFormat="false" ht="15" hidden="false" customHeight="false" outlineLevel="0" collapsed="false">
      <c r="A541" s="4" t="s">
        <v>3211</v>
      </c>
      <c r="B541" s="4" t="s">
        <v>539</v>
      </c>
      <c r="C541" s="22" t="n">
        <v>0.995</v>
      </c>
      <c r="D541" s="16" t="s">
        <v>3212</v>
      </c>
      <c r="E541" s="16" t="s">
        <v>3213</v>
      </c>
      <c r="F541" s="6" t="n">
        <v>46257</v>
      </c>
      <c r="G541" s="6" t="n">
        <v>46256</v>
      </c>
      <c r="H541" s="23" t="n">
        <f aca="false">ABS(F541-G541)</f>
        <v>1</v>
      </c>
      <c r="I541" s="7" t="n">
        <v>78332.65</v>
      </c>
      <c r="J541" s="7" t="n">
        <v>78332.65</v>
      </c>
      <c r="K541" s="7" t="n">
        <f aca="false">I541-J541</f>
        <v>0</v>
      </c>
      <c r="L541" s="4" t="s">
        <v>3214</v>
      </c>
      <c r="M541" s="4" t="s">
        <v>3215</v>
      </c>
      <c r="N541" s="4"/>
    </row>
    <row r="542" customFormat="false" ht="15" hidden="false" customHeight="false" outlineLevel="0" collapsed="false">
      <c r="A542" s="4" t="s">
        <v>3216</v>
      </c>
      <c r="B542" s="4" t="s">
        <v>539</v>
      </c>
      <c r="C542" s="22" t="n">
        <v>0.995</v>
      </c>
      <c r="D542" s="16" t="s">
        <v>3217</v>
      </c>
      <c r="E542" s="16" t="s">
        <v>3218</v>
      </c>
      <c r="F542" s="6" t="n">
        <v>46257</v>
      </c>
      <c r="G542" s="6" t="n">
        <v>46256</v>
      </c>
      <c r="H542" s="23" t="n">
        <f aca="false">ABS(F542-G542)</f>
        <v>1</v>
      </c>
      <c r="I542" s="7" t="n">
        <v>61769.28</v>
      </c>
      <c r="J542" s="7" t="n">
        <v>61769.28</v>
      </c>
      <c r="K542" s="7" t="n">
        <f aca="false">I542-J542</f>
        <v>0</v>
      </c>
      <c r="L542" s="4" t="s">
        <v>3219</v>
      </c>
      <c r="M542" s="4" t="s">
        <v>3220</v>
      </c>
      <c r="N542" s="4"/>
    </row>
    <row r="543" customFormat="false" ht="15" hidden="false" customHeight="false" outlineLevel="0" collapsed="false">
      <c r="A543" s="4" t="s">
        <v>3221</v>
      </c>
      <c r="B543" s="4" t="s">
        <v>539</v>
      </c>
      <c r="C543" s="22" t="n">
        <v>0.995</v>
      </c>
      <c r="D543" s="16" t="s">
        <v>3222</v>
      </c>
      <c r="E543" s="16" t="s">
        <v>3223</v>
      </c>
      <c r="F543" s="6" t="n">
        <v>46257</v>
      </c>
      <c r="G543" s="6" t="n">
        <v>46256</v>
      </c>
      <c r="H543" s="23" t="n">
        <f aca="false">ABS(F543-G543)</f>
        <v>1</v>
      </c>
      <c r="I543" s="7" t="n">
        <v>-53641.9</v>
      </c>
      <c r="J543" s="7" t="n">
        <v>-53641.9</v>
      </c>
      <c r="K543" s="7" t="n">
        <f aca="false">I543-J543</f>
        <v>0</v>
      </c>
      <c r="L543" s="4" t="s">
        <v>3224</v>
      </c>
      <c r="M543" s="4" t="s">
        <v>3225</v>
      </c>
      <c r="N543" s="4"/>
    </row>
    <row r="544" customFormat="false" ht="15" hidden="false" customHeight="false" outlineLevel="0" collapsed="false">
      <c r="A544" s="4" t="s">
        <v>3226</v>
      </c>
      <c r="B544" s="4" t="s">
        <v>539</v>
      </c>
      <c r="C544" s="22" t="n">
        <v>0.995</v>
      </c>
      <c r="D544" s="16" t="s">
        <v>3227</v>
      </c>
      <c r="E544" s="16" t="s">
        <v>3228</v>
      </c>
      <c r="F544" s="6" t="n">
        <v>46258</v>
      </c>
      <c r="G544" s="6" t="n">
        <v>46257</v>
      </c>
      <c r="H544" s="23" t="n">
        <f aca="false">ABS(F544-G544)</f>
        <v>1</v>
      </c>
      <c r="I544" s="7" t="n">
        <v>28614.74</v>
      </c>
      <c r="J544" s="7" t="n">
        <v>28614.74</v>
      </c>
      <c r="K544" s="7" t="n">
        <f aca="false">I544-J544</f>
        <v>0</v>
      </c>
      <c r="L544" s="4" t="s">
        <v>3229</v>
      </c>
      <c r="M544" s="4" t="s">
        <v>3230</v>
      </c>
      <c r="N544" s="4"/>
    </row>
    <row r="545" customFormat="false" ht="15" hidden="false" customHeight="false" outlineLevel="0" collapsed="false">
      <c r="A545" s="4" t="s">
        <v>3231</v>
      </c>
      <c r="B545" s="4" t="s">
        <v>539</v>
      </c>
      <c r="C545" s="22" t="n">
        <v>0.995</v>
      </c>
      <c r="D545" s="16" t="s">
        <v>3232</v>
      </c>
      <c r="E545" s="16" t="s">
        <v>3233</v>
      </c>
      <c r="F545" s="6" t="n">
        <v>46258</v>
      </c>
      <c r="G545" s="6" t="n">
        <v>46257</v>
      </c>
      <c r="H545" s="23" t="n">
        <f aca="false">ABS(F545-G545)</f>
        <v>1</v>
      </c>
      <c r="I545" s="7" t="n">
        <v>18090.36</v>
      </c>
      <c r="J545" s="7" t="n">
        <v>18090.36</v>
      </c>
      <c r="K545" s="7" t="n">
        <f aca="false">I545-J545</f>
        <v>0</v>
      </c>
      <c r="L545" s="4" t="s">
        <v>3234</v>
      </c>
      <c r="M545" s="4" t="s">
        <v>3235</v>
      </c>
      <c r="N545" s="4"/>
    </row>
    <row r="546" customFormat="false" ht="15" hidden="false" customHeight="false" outlineLevel="0" collapsed="false">
      <c r="A546" s="4" t="s">
        <v>3236</v>
      </c>
      <c r="B546" s="4" t="s">
        <v>539</v>
      </c>
      <c r="C546" s="22" t="n">
        <v>0.995</v>
      </c>
      <c r="D546" s="16" t="s">
        <v>3237</v>
      </c>
      <c r="E546" s="16" t="s">
        <v>3238</v>
      </c>
      <c r="F546" s="6" t="n">
        <v>46258</v>
      </c>
      <c r="G546" s="6" t="n">
        <v>46257</v>
      </c>
      <c r="H546" s="23" t="n">
        <f aca="false">ABS(F546-G546)</f>
        <v>1</v>
      </c>
      <c r="I546" s="7" t="n">
        <v>23744.02</v>
      </c>
      <c r="J546" s="7" t="n">
        <v>23744.02</v>
      </c>
      <c r="K546" s="7" t="n">
        <f aca="false">I546-J546</f>
        <v>0</v>
      </c>
      <c r="L546" s="4" t="s">
        <v>3239</v>
      </c>
      <c r="M546" s="4" t="s">
        <v>3240</v>
      </c>
      <c r="N546" s="4"/>
    </row>
    <row r="547" customFormat="false" ht="15" hidden="false" customHeight="false" outlineLevel="0" collapsed="false">
      <c r="A547" s="4" t="s">
        <v>3241</v>
      </c>
      <c r="B547" s="4" t="s">
        <v>539</v>
      </c>
      <c r="C547" s="22" t="n">
        <v>0.995</v>
      </c>
      <c r="D547" s="16" t="s">
        <v>3242</v>
      </c>
      <c r="E547" s="16" t="s">
        <v>3243</v>
      </c>
      <c r="F547" s="6" t="n">
        <v>46259</v>
      </c>
      <c r="G547" s="6" t="n">
        <v>46258</v>
      </c>
      <c r="H547" s="23" t="n">
        <f aca="false">ABS(F547-G547)</f>
        <v>1</v>
      </c>
      <c r="I547" s="7" t="n">
        <v>23961.33</v>
      </c>
      <c r="J547" s="7" t="n">
        <v>23961.33</v>
      </c>
      <c r="K547" s="7" t="n">
        <f aca="false">I547-J547</f>
        <v>0</v>
      </c>
      <c r="L547" s="4" t="s">
        <v>3244</v>
      </c>
      <c r="M547" s="4" t="s">
        <v>3245</v>
      </c>
      <c r="N547" s="4"/>
    </row>
    <row r="548" customFormat="false" ht="15" hidden="false" customHeight="false" outlineLevel="0" collapsed="false">
      <c r="A548" s="4" t="s">
        <v>3246</v>
      </c>
      <c r="B548" s="4" t="s">
        <v>539</v>
      </c>
      <c r="C548" s="22" t="n">
        <v>0.995</v>
      </c>
      <c r="D548" s="16" t="s">
        <v>3247</v>
      </c>
      <c r="E548" s="16" t="s">
        <v>3248</v>
      </c>
      <c r="F548" s="6" t="n">
        <v>46259</v>
      </c>
      <c r="G548" s="6" t="n">
        <v>46258</v>
      </c>
      <c r="H548" s="23" t="n">
        <f aca="false">ABS(F548-G548)</f>
        <v>1</v>
      </c>
      <c r="I548" s="7" t="n">
        <v>-47321.7</v>
      </c>
      <c r="J548" s="7" t="n">
        <v>-47321.7</v>
      </c>
      <c r="K548" s="7" t="n">
        <f aca="false">I548-J548</f>
        <v>0</v>
      </c>
      <c r="L548" s="4" t="s">
        <v>3249</v>
      </c>
      <c r="M548" s="4" t="s">
        <v>3250</v>
      </c>
      <c r="N548" s="4"/>
    </row>
    <row r="549" customFormat="false" ht="15" hidden="false" customHeight="false" outlineLevel="0" collapsed="false">
      <c r="A549" s="4" t="s">
        <v>3251</v>
      </c>
      <c r="B549" s="4" t="s">
        <v>539</v>
      </c>
      <c r="C549" s="22" t="n">
        <v>0.995</v>
      </c>
      <c r="D549" s="16" t="s">
        <v>3252</v>
      </c>
      <c r="E549" s="16" t="s">
        <v>3253</v>
      </c>
      <c r="F549" s="6" t="n">
        <v>46260</v>
      </c>
      <c r="G549" s="6" t="n">
        <v>46259</v>
      </c>
      <c r="H549" s="23" t="n">
        <f aca="false">ABS(F549-G549)</f>
        <v>1</v>
      </c>
      <c r="I549" s="7" t="n">
        <v>92304.42</v>
      </c>
      <c r="J549" s="7" t="n">
        <v>92304.42</v>
      </c>
      <c r="K549" s="7" t="n">
        <f aca="false">I549-J549</f>
        <v>0</v>
      </c>
      <c r="L549" s="4" t="s">
        <v>3254</v>
      </c>
      <c r="M549" s="4" t="s">
        <v>3255</v>
      </c>
      <c r="N549" s="4"/>
    </row>
    <row r="550" customFormat="false" ht="15" hidden="false" customHeight="false" outlineLevel="0" collapsed="false">
      <c r="A550" s="4" t="s">
        <v>3256</v>
      </c>
      <c r="B550" s="4" t="s">
        <v>539</v>
      </c>
      <c r="C550" s="22" t="n">
        <v>0.995</v>
      </c>
      <c r="D550" s="16" t="s">
        <v>3257</v>
      </c>
      <c r="E550" s="16" t="s">
        <v>3258</v>
      </c>
      <c r="F550" s="6" t="n">
        <v>46261</v>
      </c>
      <c r="G550" s="6" t="n">
        <v>46260</v>
      </c>
      <c r="H550" s="23" t="n">
        <f aca="false">ABS(F550-G550)</f>
        <v>1</v>
      </c>
      <c r="I550" s="7" t="n">
        <v>18598.65</v>
      </c>
      <c r="J550" s="7" t="n">
        <v>18598.65</v>
      </c>
      <c r="K550" s="7" t="n">
        <f aca="false">I550-J550</f>
        <v>0</v>
      </c>
      <c r="L550" s="4" t="s">
        <v>3259</v>
      </c>
      <c r="M550" s="4" t="s">
        <v>3260</v>
      </c>
      <c r="N550" s="4"/>
    </row>
    <row r="551" customFormat="false" ht="15" hidden="false" customHeight="false" outlineLevel="0" collapsed="false">
      <c r="A551" s="4" t="s">
        <v>3261</v>
      </c>
      <c r="B551" s="4" t="s">
        <v>539</v>
      </c>
      <c r="C551" s="22" t="n">
        <v>0.995</v>
      </c>
      <c r="D551" s="16" t="s">
        <v>3262</v>
      </c>
      <c r="E551" s="16" t="s">
        <v>3263</v>
      </c>
      <c r="F551" s="6" t="n">
        <v>46261</v>
      </c>
      <c r="G551" s="6" t="n">
        <v>46260</v>
      </c>
      <c r="H551" s="23" t="n">
        <f aca="false">ABS(F551-G551)</f>
        <v>1</v>
      </c>
      <c r="I551" s="7" t="n">
        <v>90285.92</v>
      </c>
      <c r="J551" s="7" t="n">
        <v>90285.92</v>
      </c>
      <c r="K551" s="7" t="n">
        <f aca="false">I551-J551</f>
        <v>0</v>
      </c>
      <c r="L551" s="4" t="s">
        <v>3264</v>
      </c>
      <c r="M551" s="4" t="s">
        <v>3265</v>
      </c>
      <c r="N551" s="4"/>
    </row>
    <row r="552" customFormat="false" ht="15" hidden="false" customHeight="false" outlineLevel="0" collapsed="false">
      <c r="A552" s="4" t="s">
        <v>3266</v>
      </c>
      <c r="B552" s="4" t="s">
        <v>539</v>
      </c>
      <c r="C552" s="22" t="n">
        <v>0.995</v>
      </c>
      <c r="D552" s="16" t="s">
        <v>3267</v>
      </c>
      <c r="E552" s="16" t="s">
        <v>3268</v>
      </c>
      <c r="F552" s="6" t="n">
        <v>46261</v>
      </c>
      <c r="G552" s="6" t="n">
        <v>46260</v>
      </c>
      <c r="H552" s="23" t="n">
        <f aca="false">ABS(F552-G552)</f>
        <v>1</v>
      </c>
      <c r="I552" s="7" t="n">
        <v>-31165.2</v>
      </c>
      <c r="J552" s="7" t="n">
        <v>-31165.2</v>
      </c>
      <c r="K552" s="7" t="n">
        <f aca="false">I552-J552</f>
        <v>0</v>
      </c>
      <c r="L552" s="4" t="s">
        <v>3269</v>
      </c>
      <c r="M552" s="4" t="s">
        <v>3270</v>
      </c>
      <c r="N552" s="4"/>
    </row>
    <row r="553" customFormat="false" ht="15" hidden="false" customHeight="false" outlineLevel="0" collapsed="false">
      <c r="A553" s="4" t="s">
        <v>3271</v>
      </c>
      <c r="B553" s="4" t="s">
        <v>539</v>
      </c>
      <c r="C553" s="22" t="n">
        <v>0.995</v>
      </c>
      <c r="D553" s="16" t="s">
        <v>3272</v>
      </c>
      <c r="E553" s="16" t="s">
        <v>3273</v>
      </c>
      <c r="F553" s="6" t="n">
        <v>46261</v>
      </c>
      <c r="G553" s="6" t="n">
        <v>46260</v>
      </c>
      <c r="H553" s="23" t="n">
        <f aca="false">ABS(F553-G553)</f>
        <v>1</v>
      </c>
      <c r="I553" s="7" t="n">
        <v>-4871.65</v>
      </c>
      <c r="J553" s="7" t="n">
        <v>-4871.65</v>
      </c>
      <c r="K553" s="7" t="n">
        <f aca="false">I553-J553</f>
        <v>0</v>
      </c>
      <c r="L553" s="4" t="s">
        <v>3274</v>
      </c>
      <c r="M553" s="4" t="s">
        <v>3275</v>
      </c>
      <c r="N553" s="4"/>
    </row>
    <row r="554" customFormat="false" ht="15" hidden="false" customHeight="false" outlineLevel="0" collapsed="false">
      <c r="A554" s="4" t="s">
        <v>3276</v>
      </c>
      <c r="B554" s="4" t="s">
        <v>539</v>
      </c>
      <c r="C554" s="22" t="n">
        <v>0.995</v>
      </c>
      <c r="D554" s="16" t="s">
        <v>3277</v>
      </c>
      <c r="E554" s="16" t="s">
        <v>3278</v>
      </c>
      <c r="F554" s="6" t="n">
        <v>46261</v>
      </c>
      <c r="G554" s="6" t="n">
        <v>46260</v>
      </c>
      <c r="H554" s="23" t="n">
        <f aca="false">ABS(F554-G554)</f>
        <v>1</v>
      </c>
      <c r="I554" s="7" t="n">
        <v>-21941.68</v>
      </c>
      <c r="J554" s="7" t="n">
        <v>-21941.68</v>
      </c>
      <c r="K554" s="7" t="n">
        <f aca="false">I554-J554</f>
        <v>0</v>
      </c>
      <c r="L554" s="4" t="s">
        <v>3279</v>
      </c>
      <c r="M554" s="4" t="s">
        <v>3280</v>
      </c>
      <c r="N554" s="4"/>
    </row>
    <row r="555" customFormat="false" ht="15" hidden="false" customHeight="false" outlineLevel="0" collapsed="false">
      <c r="A555" s="4" t="s">
        <v>3281</v>
      </c>
      <c r="B555" s="4" t="s">
        <v>539</v>
      </c>
      <c r="C555" s="22" t="n">
        <v>0.995</v>
      </c>
      <c r="D555" s="16" t="s">
        <v>3282</v>
      </c>
      <c r="E555" s="16" t="s">
        <v>3283</v>
      </c>
      <c r="F555" s="6" t="n">
        <v>46262</v>
      </c>
      <c r="G555" s="6" t="n">
        <v>46261</v>
      </c>
      <c r="H555" s="23" t="n">
        <f aca="false">ABS(F555-G555)</f>
        <v>1</v>
      </c>
      <c r="I555" s="7" t="n">
        <v>90396.28</v>
      </c>
      <c r="J555" s="7" t="n">
        <v>90396.28</v>
      </c>
      <c r="K555" s="7" t="n">
        <f aca="false">I555-J555</f>
        <v>0</v>
      </c>
      <c r="L555" s="4" t="s">
        <v>3284</v>
      </c>
      <c r="M555" s="4" t="s">
        <v>3285</v>
      </c>
      <c r="N555" s="4"/>
    </row>
    <row r="556" customFormat="false" ht="15" hidden="false" customHeight="false" outlineLevel="0" collapsed="false">
      <c r="A556" s="4" t="s">
        <v>3286</v>
      </c>
      <c r="B556" s="4" t="s">
        <v>539</v>
      </c>
      <c r="C556" s="22" t="n">
        <v>0.995</v>
      </c>
      <c r="D556" s="16" t="s">
        <v>3287</v>
      </c>
      <c r="E556" s="16" t="s">
        <v>3288</v>
      </c>
      <c r="F556" s="6" t="n">
        <v>46262</v>
      </c>
      <c r="G556" s="6" t="n">
        <v>46261</v>
      </c>
      <c r="H556" s="23" t="n">
        <f aca="false">ABS(F556-G556)</f>
        <v>1</v>
      </c>
      <c r="I556" s="7" t="n">
        <v>33620.75</v>
      </c>
      <c r="J556" s="7" t="n">
        <v>33620.75</v>
      </c>
      <c r="K556" s="7" t="n">
        <f aca="false">I556-J556</f>
        <v>0</v>
      </c>
      <c r="L556" s="4" t="s">
        <v>3289</v>
      </c>
      <c r="M556" s="4" t="s">
        <v>3290</v>
      </c>
      <c r="N556" s="4"/>
    </row>
    <row r="557" customFormat="false" ht="15" hidden="false" customHeight="false" outlineLevel="0" collapsed="false">
      <c r="A557" s="4" t="s">
        <v>3291</v>
      </c>
      <c r="B557" s="4" t="s">
        <v>539</v>
      </c>
      <c r="C557" s="22" t="n">
        <v>0.995</v>
      </c>
      <c r="D557" s="16" t="s">
        <v>3292</v>
      </c>
      <c r="E557" s="16" t="s">
        <v>3293</v>
      </c>
      <c r="F557" s="6" t="n">
        <v>46262</v>
      </c>
      <c r="G557" s="6" t="n">
        <v>46261</v>
      </c>
      <c r="H557" s="23" t="n">
        <f aca="false">ABS(F557-G557)</f>
        <v>1</v>
      </c>
      <c r="I557" s="7" t="n">
        <v>-3337.81</v>
      </c>
      <c r="J557" s="7" t="n">
        <v>-3337.81</v>
      </c>
      <c r="K557" s="7" t="n">
        <f aca="false">I557-J557</f>
        <v>0</v>
      </c>
      <c r="L557" s="4" t="s">
        <v>3294</v>
      </c>
      <c r="M557" s="4" t="s">
        <v>3295</v>
      </c>
      <c r="N557" s="4"/>
    </row>
    <row r="558" customFormat="false" ht="15" hidden="false" customHeight="false" outlineLevel="0" collapsed="false">
      <c r="A558" s="4" t="s">
        <v>3296</v>
      </c>
      <c r="B558" s="4" t="s">
        <v>539</v>
      </c>
      <c r="C558" s="22" t="n">
        <v>0.995</v>
      </c>
      <c r="D558" s="16" t="s">
        <v>3297</v>
      </c>
      <c r="E558" s="16" t="s">
        <v>3298</v>
      </c>
      <c r="F558" s="6" t="n">
        <v>46263</v>
      </c>
      <c r="G558" s="6" t="n">
        <v>46262</v>
      </c>
      <c r="H558" s="23" t="n">
        <f aca="false">ABS(F558-G558)</f>
        <v>1</v>
      </c>
      <c r="I558" s="7" t="n">
        <v>45835.37</v>
      </c>
      <c r="J558" s="7" t="n">
        <v>45835.37</v>
      </c>
      <c r="K558" s="7" t="n">
        <f aca="false">I558-J558</f>
        <v>0</v>
      </c>
      <c r="L558" s="4" t="s">
        <v>3299</v>
      </c>
      <c r="M558" s="4" t="s">
        <v>3300</v>
      </c>
      <c r="N558" s="4"/>
    </row>
    <row r="559" customFormat="false" ht="15" hidden="false" customHeight="false" outlineLevel="0" collapsed="false">
      <c r="A559" s="4" t="s">
        <v>3301</v>
      </c>
      <c r="B559" s="4" t="s">
        <v>539</v>
      </c>
      <c r="C559" s="22" t="n">
        <v>0.995</v>
      </c>
      <c r="D559" s="16" t="s">
        <v>3302</v>
      </c>
      <c r="E559" s="16" t="s">
        <v>3303</v>
      </c>
      <c r="F559" s="6" t="n">
        <v>46263</v>
      </c>
      <c r="G559" s="6" t="n">
        <v>46262</v>
      </c>
      <c r="H559" s="23" t="n">
        <f aca="false">ABS(F559-G559)</f>
        <v>1</v>
      </c>
      <c r="I559" s="7" t="n">
        <v>54278.98</v>
      </c>
      <c r="J559" s="7" t="n">
        <v>54278.98</v>
      </c>
      <c r="K559" s="7" t="n">
        <f aca="false">I559-J559</f>
        <v>0</v>
      </c>
      <c r="L559" s="4" t="s">
        <v>3304</v>
      </c>
      <c r="M559" s="4" t="s">
        <v>3305</v>
      </c>
      <c r="N559" s="4"/>
    </row>
    <row r="560" customFormat="false" ht="15" hidden="false" customHeight="false" outlineLevel="0" collapsed="false">
      <c r="A560" s="4" t="s">
        <v>3306</v>
      </c>
      <c r="B560" s="4" t="s">
        <v>539</v>
      </c>
      <c r="C560" s="22" t="n">
        <v>0.995</v>
      </c>
      <c r="D560" s="16" t="s">
        <v>3307</v>
      </c>
      <c r="E560" s="16" t="s">
        <v>3308</v>
      </c>
      <c r="F560" s="6" t="n">
        <v>46263</v>
      </c>
      <c r="G560" s="6" t="n">
        <v>46262</v>
      </c>
      <c r="H560" s="23" t="n">
        <f aca="false">ABS(F560-G560)</f>
        <v>1</v>
      </c>
      <c r="I560" s="7" t="n">
        <v>81355.05</v>
      </c>
      <c r="J560" s="7" t="n">
        <v>81355.05</v>
      </c>
      <c r="K560" s="7" t="n">
        <f aca="false">I560-J560</f>
        <v>0</v>
      </c>
      <c r="L560" s="4" t="s">
        <v>3309</v>
      </c>
      <c r="M560" s="4" t="s">
        <v>3310</v>
      </c>
      <c r="N560" s="4"/>
    </row>
    <row r="561" customFormat="false" ht="15" hidden="false" customHeight="false" outlineLevel="0" collapsed="false">
      <c r="A561" s="4" t="s">
        <v>3311</v>
      </c>
      <c r="B561" s="4" t="s">
        <v>539</v>
      </c>
      <c r="C561" s="22" t="n">
        <v>0.995</v>
      </c>
      <c r="D561" s="16" t="s">
        <v>3312</v>
      </c>
      <c r="E561" s="16" t="s">
        <v>3313</v>
      </c>
      <c r="F561" s="6" t="n">
        <v>46264</v>
      </c>
      <c r="G561" s="6" t="n">
        <v>46263</v>
      </c>
      <c r="H561" s="23" t="n">
        <f aca="false">ABS(F561-G561)</f>
        <v>1</v>
      </c>
      <c r="I561" s="7" t="n">
        <v>34924.48</v>
      </c>
      <c r="J561" s="7" t="n">
        <v>34924.48</v>
      </c>
      <c r="K561" s="7" t="n">
        <f aca="false">I561-J561</f>
        <v>0</v>
      </c>
      <c r="L561" s="4" t="s">
        <v>3314</v>
      </c>
      <c r="M561" s="4" t="s">
        <v>3315</v>
      </c>
      <c r="N561" s="4"/>
    </row>
    <row r="562" customFormat="false" ht="15" hidden="false" customHeight="false" outlineLevel="0" collapsed="false">
      <c r="A562" s="4" t="s">
        <v>3316</v>
      </c>
      <c r="B562" s="4" t="s">
        <v>539</v>
      </c>
      <c r="C562" s="22" t="n">
        <v>0.995</v>
      </c>
      <c r="D562" s="16" t="s">
        <v>3317</v>
      </c>
      <c r="E562" s="16" t="s">
        <v>3318</v>
      </c>
      <c r="F562" s="6" t="n">
        <v>46264</v>
      </c>
      <c r="G562" s="6" t="n">
        <v>46263</v>
      </c>
      <c r="H562" s="23" t="n">
        <f aca="false">ABS(F562-G562)</f>
        <v>1</v>
      </c>
      <c r="I562" s="7" t="n">
        <v>-2003.18</v>
      </c>
      <c r="J562" s="7" t="n">
        <v>-2003.18</v>
      </c>
      <c r="K562" s="7" t="n">
        <f aca="false">I562-J562</f>
        <v>0</v>
      </c>
      <c r="L562" s="4" t="s">
        <v>3319</v>
      </c>
      <c r="M562" s="4" t="s">
        <v>3320</v>
      </c>
      <c r="N562" s="4"/>
    </row>
    <row r="563" customFormat="false" ht="15" hidden="false" customHeight="false" outlineLevel="0" collapsed="false">
      <c r="A563" s="4" t="s">
        <v>3321</v>
      </c>
      <c r="B563" s="4" t="s">
        <v>539</v>
      </c>
      <c r="C563" s="22" t="n">
        <v>0.995</v>
      </c>
      <c r="D563" s="16" t="s">
        <v>3322</v>
      </c>
      <c r="E563" s="16" t="s">
        <v>3323</v>
      </c>
      <c r="F563" s="6" t="n">
        <v>46265</v>
      </c>
      <c r="G563" s="6" t="n">
        <v>46264</v>
      </c>
      <c r="H563" s="23" t="n">
        <f aca="false">ABS(F563-G563)</f>
        <v>1</v>
      </c>
      <c r="I563" s="7" t="n">
        <v>24515.7</v>
      </c>
      <c r="J563" s="7" t="n">
        <v>24515.7</v>
      </c>
      <c r="K563" s="7" t="n">
        <f aca="false">I563-J563</f>
        <v>0</v>
      </c>
      <c r="L563" s="4" t="s">
        <v>3324</v>
      </c>
      <c r="M563" s="4" t="s">
        <v>3325</v>
      </c>
      <c r="N563" s="4"/>
    </row>
    <row r="564" customFormat="false" ht="15" hidden="false" customHeight="false" outlineLevel="0" collapsed="false">
      <c r="A564" s="4" t="s">
        <v>3326</v>
      </c>
      <c r="B564" s="4" t="s">
        <v>539</v>
      </c>
      <c r="C564" s="22" t="n">
        <v>0.995</v>
      </c>
      <c r="D564" s="16" t="s">
        <v>3327</v>
      </c>
      <c r="E564" s="16" t="s">
        <v>3328</v>
      </c>
      <c r="F564" s="6" t="n">
        <v>46265</v>
      </c>
      <c r="G564" s="6" t="n">
        <v>46264</v>
      </c>
      <c r="H564" s="23" t="n">
        <f aca="false">ABS(F564-G564)</f>
        <v>1</v>
      </c>
      <c r="I564" s="7" t="n">
        <v>71381.66</v>
      </c>
      <c r="J564" s="7" t="n">
        <v>71381.66</v>
      </c>
      <c r="K564" s="7" t="n">
        <f aca="false">I564-J564</f>
        <v>0</v>
      </c>
      <c r="L564" s="4" t="s">
        <v>3329</v>
      </c>
      <c r="M564" s="4" t="s">
        <v>3330</v>
      </c>
      <c r="N564" s="4"/>
    </row>
    <row r="565" customFormat="false" ht="15" hidden="false" customHeight="false" outlineLevel="0" collapsed="false">
      <c r="A565" s="4" t="s">
        <v>3331</v>
      </c>
      <c r="B565" s="4" t="s">
        <v>539</v>
      </c>
      <c r="C565" s="22" t="n">
        <v>0.995</v>
      </c>
      <c r="D565" s="16" t="s">
        <v>3332</v>
      </c>
      <c r="E565" s="16" t="s">
        <v>3333</v>
      </c>
      <c r="F565" s="6" t="n">
        <v>46265</v>
      </c>
      <c r="G565" s="6" t="n">
        <v>46264</v>
      </c>
      <c r="H565" s="23" t="n">
        <f aca="false">ABS(F565-G565)</f>
        <v>1</v>
      </c>
      <c r="I565" s="7" t="n">
        <v>-36197.97</v>
      </c>
      <c r="J565" s="7" t="n">
        <v>-36197.97</v>
      </c>
      <c r="K565" s="7" t="n">
        <f aca="false">I565-J565</f>
        <v>0</v>
      </c>
      <c r="L565" s="4" t="s">
        <v>3334</v>
      </c>
      <c r="M565" s="4" t="s">
        <v>3335</v>
      </c>
      <c r="N565" s="4"/>
    </row>
    <row r="566" customFormat="false" ht="15" hidden="false" customHeight="false" outlineLevel="0" collapsed="false">
      <c r="A566" s="4" t="s">
        <v>3336</v>
      </c>
      <c r="B566" s="4" t="s">
        <v>539</v>
      </c>
      <c r="C566" s="22" t="n">
        <v>0.995</v>
      </c>
      <c r="D566" s="16" t="s">
        <v>3337</v>
      </c>
      <c r="E566" s="16" t="s">
        <v>3338</v>
      </c>
      <c r="F566" s="6" t="n">
        <v>46266</v>
      </c>
      <c r="G566" s="6" t="n">
        <v>46265</v>
      </c>
      <c r="H566" s="23" t="n">
        <f aca="false">ABS(F566-G566)</f>
        <v>1</v>
      </c>
      <c r="I566" s="7" t="n">
        <v>39259.04</v>
      </c>
      <c r="J566" s="7" t="n">
        <v>39259.04</v>
      </c>
      <c r="K566" s="7" t="n">
        <f aca="false">I566-J566</f>
        <v>0</v>
      </c>
      <c r="L566" s="4" t="s">
        <v>3339</v>
      </c>
      <c r="M566" s="4" t="s">
        <v>3340</v>
      </c>
      <c r="N566" s="4"/>
    </row>
    <row r="567" customFormat="false" ht="15" hidden="false" customHeight="false" outlineLevel="0" collapsed="false">
      <c r="A567" s="4" t="s">
        <v>3341</v>
      </c>
      <c r="B567" s="4" t="s">
        <v>539</v>
      </c>
      <c r="C567" s="22" t="n">
        <v>0.995</v>
      </c>
      <c r="D567" s="16" t="s">
        <v>3342</v>
      </c>
      <c r="E567" s="16" t="s">
        <v>3343</v>
      </c>
      <c r="F567" s="6" t="n">
        <v>46266</v>
      </c>
      <c r="G567" s="6" t="n">
        <v>46265</v>
      </c>
      <c r="H567" s="23" t="n">
        <f aca="false">ABS(F567-G567)</f>
        <v>1</v>
      </c>
      <c r="I567" s="7" t="n">
        <v>38195.56</v>
      </c>
      <c r="J567" s="7" t="n">
        <v>38195.56</v>
      </c>
      <c r="K567" s="7" t="n">
        <f aca="false">I567-J567</f>
        <v>0</v>
      </c>
      <c r="L567" s="4" t="s">
        <v>3344</v>
      </c>
      <c r="M567" s="4" t="s">
        <v>3345</v>
      </c>
      <c r="N567" s="4"/>
    </row>
    <row r="568" customFormat="false" ht="15" hidden="false" customHeight="false" outlineLevel="0" collapsed="false">
      <c r="A568" s="4" t="s">
        <v>3346</v>
      </c>
      <c r="B568" s="4" t="s">
        <v>539</v>
      </c>
      <c r="C568" s="22" t="n">
        <v>0.995</v>
      </c>
      <c r="D568" s="16" t="s">
        <v>3347</v>
      </c>
      <c r="E568" s="16" t="s">
        <v>3348</v>
      </c>
      <c r="F568" s="6" t="n">
        <v>46266</v>
      </c>
      <c r="G568" s="6" t="n">
        <v>46265</v>
      </c>
      <c r="H568" s="23" t="n">
        <f aca="false">ABS(F568-G568)</f>
        <v>1</v>
      </c>
      <c r="I568" s="7" t="n">
        <v>89762.97</v>
      </c>
      <c r="J568" s="7" t="n">
        <v>89762.97</v>
      </c>
      <c r="K568" s="7" t="n">
        <f aca="false">I568-J568</f>
        <v>0</v>
      </c>
      <c r="L568" s="4" t="s">
        <v>3349</v>
      </c>
      <c r="M568" s="4" t="s">
        <v>3350</v>
      </c>
      <c r="N568" s="4"/>
    </row>
    <row r="569" customFormat="false" ht="15" hidden="false" customHeight="false" outlineLevel="0" collapsed="false">
      <c r="A569" s="4" t="s">
        <v>3351</v>
      </c>
      <c r="B569" s="4" t="s">
        <v>539</v>
      </c>
      <c r="C569" s="22" t="n">
        <v>0.995</v>
      </c>
      <c r="D569" s="16" t="s">
        <v>3352</v>
      </c>
      <c r="E569" s="16" t="s">
        <v>3353</v>
      </c>
      <c r="F569" s="6" t="n">
        <v>46266</v>
      </c>
      <c r="G569" s="6" t="n">
        <v>46265</v>
      </c>
      <c r="H569" s="23" t="n">
        <f aca="false">ABS(F569-G569)</f>
        <v>1</v>
      </c>
      <c r="I569" s="7" t="n">
        <v>30767.47</v>
      </c>
      <c r="J569" s="7" t="n">
        <v>30767.47</v>
      </c>
      <c r="K569" s="7" t="n">
        <f aca="false">I569-J569</f>
        <v>0</v>
      </c>
      <c r="L569" s="4" t="s">
        <v>3354</v>
      </c>
      <c r="M569" s="4" t="s">
        <v>3355</v>
      </c>
      <c r="N569" s="4"/>
    </row>
    <row r="570" customFormat="false" ht="15" hidden="false" customHeight="false" outlineLevel="0" collapsed="false">
      <c r="A570" s="4" t="s">
        <v>3356</v>
      </c>
      <c r="B570" s="4" t="s">
        <v>539</v>
      </c>
      <c r="C570" s="22" t="n">
        <v>0.995</v>
      </c>
      <c r="D570" s="16" t="s">
        <v>3357</v>
      </c>
      <c r="E570" s="16" t="s">
        <v>3358</v>
      </c>
      <c r="F570" s="6" t="n">
        <v>46266</v>
      </c>
      <c r="G570" s="6" t="n">
        <v>46265</v>
      </c>
      <c r="H570" s="23" t="n">
        <f aca="false">ABS(F570-G570)</f>
        <v>1</v>
      </c>
      <c r="I570" s="7" t="n">
        <v>54262.68</v>
      </c>
      <c r="J570" s="7" t="n">
        <v>54262.68</v>
      </c>
      <c r="K570" s="7" t="n">
        <f aca="false">I570-J570</f>
        <v>0</v>
      </c>
      <c r="L570" s="4" t="s">
        <v>3359</v>
      </c>
      <c r="M570" s="4" t="s">
        <v>3360</v>
      </c>
      <c r="N570" s="4"/>
    </row>
    <row r="571" customFormat="false" ht="15" hidden="false" customHeight="false" outlineLevel="0" collapsed="false">
      <c r="A571" s="4" t="s">
        <v>3361</v>
      </c>
      <c r="B571" s="4" t="s">
        <v>539</v>
      </c>
      <c r="C571" s="22" t="n">
        <v>0.995</v>
      </c>
      <c r="D571" s="16" t="s">
        <v>3362</v>
      </c>
      <c r="E571" s="16" t="s">
        <v>3363</v>
      </c>
      <c r="F571" s="6" t="n">
        <v>46266</v>
      </c>
      <c r="G571" s="6" t="n">
        <v>46265</v>
      </c>
      <c r="H571" s="23" t="n">
        <f aca="false">ABS(F571-G571)</f>
        <v>1</v>
      </c>
      <c r="I571" s="7" t="n">
        <v>14421.21</v>
      </c>
      <c r="J571" s="7" t="n">
        <v>14421.21</v>
      </c>
      <c r="K571" s="7" t="n">
        <f aca="false">I571-J571</f>
        <v>0</v>
      </c>
      <c r="L571" s="4" t="s">
        <v>3364</v>
      </c>
      <c r="M571" s="4" t="s">
        <v>3365</v>
      </c>
      <c r="N571" s="4"/>
    </row>
    <row r="572" customFormat="false" ht="15" hidden="false" customHeight="false" outlineLevel="0" collapsed="false">
      <c r="A572" s="4" t="s">
        <v>3366</v>
      </c>
      <c r="B572" s="4" t="s">
        <v>539</v>
      </c>
      <c r="C572" s="22" t="n">
        <v>0.995</v>
      </c>
      <c r="D572" s="16" t="s">
        <v>3367</v>
      </c>
      <c r="E572" s="16" t="s">
        <v>3368</v>
      </c>
      <c r="F572" s="6" t="n">
        <v>46266</v>
      </c>
      <c r="G572" s="6" t="n">
        <v>46265</v>
      </c>
      <c r="H572" s="23" t="n">
        <f aca="false">ABS(F572-G572)</f>
        <v>1</v>
      </c>
      <c r="I572" s="7" t="n">
        <v>30940.52</v>
      </c>
      <c r="J572" s="7" t="n">
        <v>30940.52</v>
      </c>
      <c r="K572" s="7" t="n">
        <f aca="false">I572-J572</f>
        <v>0</v>
      </c>
      <c r="L572" s="4" t="s">
        <v>3369</v>
      </c>
      <c r="M572" s="4" t="s">
        <v>3370</v>
      </c>
      <c r="N572" s="4"/>
    </row>
    <row r="573" customFormat="false" ht="15" hidden="false" customHeight="false" outlineLevel="0" collapsed="false">
      <c r="A573" s="4" t="s">
        <v>3371</v>
      </c>
      <c r="B573" s="4" t="s">
        <v>539</v>
      </c>
      <c r="C573" s="22" t="n">
        <v>0.995</v>
      </c>
      <c r="D573" s="16" t="s">
        <v>3372</v>
      </c>
      <c r="E573" s="16" t="s">
        <v>3373</v>
      </c>
      <c r="F573" s="6" t="n">
        <v>46267</v>
      </c>
      <c r="G573" s="6" t="n">
        <v>46266</v>
      </c>
      <c r="H573" s="23" t="n">
        <f aca="false">ABS(F573-G573)</f>
        <v>1</v>
      </c>
      <c r="I573" s="7" t="n">
        <v>14301.49</v>
      </c>
      <c r="J573" s="7" t="n">
        <v>14301.49</v>
      </c>
      <c r="K573" s="7" t="n">
        <f aca="false">I573-J573</f>
        <v>0</v>
      </c>
      <c r="L573" s="4" t="s">
        <v>3374</v>
      </c>
      <c r="M573" s="4" t="s">
        <v>3375</v>
      </c>
      <c r="N573" s="4"/>
    </row>
    <row r="574" customFormat="false" ht="15" hidden="false" customHeight="false" outlineLevel="0" collapsed="false">
      <c r="A574" s="4" t="s">
        <v>3376</v>
      </c>
      <c r="B574" s="4" t="s">
        <v>539</v>
      </c>
      <c r="C574" s="22" t="n">
        <v>0.995</v>
      </c>
      <c r="D574" s="16" t="s">
        <v>3377</v>
      </c>
      <c r="E574" s="16" t="s">
        <v>3378</v>
      </c>
      <c r="F574" s="6" t="n">
        <v>46267</v>
      </c>
      <c r="G574" s="6" t="n">
        <v>46266</v>
      </c>
      <c r="H574" s="23" t="n">
        <f aca="false">ABS(F574-G574)</f>
        <v>1</v>
      </c>
      <c r="I574" s="7" t="n">
        <v>3322.74</v>
      </c>
      <c r="J574" s="7" t="n">
        <v>3322.74</v>
      </c>
      <c r="K574" s="7" t="n">
        <f aca="false">I574-J574</f>
        <v>0</v>
      </c>
      <c r="L574" s="4" t="s">
        <v>3379</v>
      </c>
      <c r="M574" s="4" t="s">
        <v>3380</v>
      </c>
      <c r="N574" s="4"/>
    </row>
    <row r="575" customFormat="false" ht="15" hidden="false" customHeight="false" outlineLevel="0" collapsed="false">
      <c r="A575" s="4" t="s">
        <v>3381</v>
      </c>
      <c r="B575" s="4" t="s">
        <v>539</v>
      </c>
      <c r="C575" s="22" t="n">
        <v>0.995</v>
      </c>
      <c r="D575" s="16" t="s">
        <v>3382</v>
      </c>
      <c r="E575" s="16" t="s">
        <v>3383</v>
      </c>
      <c r="F575" s="6" t="n">
        <v>46267</v>
      </c>
      <c r="G575" s="6" t="n">
        <v>46266</v>
      </c>
      <c r="H575" s="23" t="n">
        <f aca="false">ABS(F575-G575)</f>
        <v>1</v>
      </c>
      <c r="I575" s="7" t="n">
        <v>93318.98</v>
      </c>
      <c r="J575" s="7" t="n">
        <v>93318.98</v>
      </c>
      <c r="K575" s="7" t="n">
        <f aca="false">I575-J575</f>
        <v>0</v>
      </c>
      <c r="L575" s="4" t="s">
        <v>3384</v>
      </c>
      <c r="M575" s="4" t="s">
        <v>3385</v>
      </c>
      <c r="N575" s="4"/>
    </row>
    <row r="576" customFormat="false" ht="15" hidden="false" customHeight="false" outlineLevel="0" collapsed="false">
      <c r="A576" s="4" t="s">
        <v>3386</v>
      </c>
      <c r="B576" s="4" t="s">
        <v>539</v>
      </c>
      <c r="C576" s="22" t="n">
        <v>0.995</v>
      </c>
      <c r="D576" s="16" t="s">
        <v>3387</v>
      </c>
      <c r="E576" s="16" t="s">
        <v>3388</v>
      </c>
      <c r="F576" s="6" t="n">
        <v>46267</v>
      </c>
      <c r="G576" s="6" t="n">
        <v>46266</v>
      </c>
      <c r="H576" s="23" t="n">
        <f aca="false">ABS(F576-G576)</f>
        <v>1</v>
      </c>
      <c r="I576" s="7" t="n">
        <v>-40379.21</v>
      </c>
      <c r="J576" s="7" t="n">
        <v>-40379.21</v>
      </c>
      <c r="K576" s="7" t="n">
        <f aca="false">I576-J576</f>
        <v>0</v>
      </c>
      <c r="L576" s="4" t="s">
        <v>3389</v>
      </c>
      <c r="M576" s="4" t="s">
        <v>3390</v>
      </c>
      <c r="N576" s="4"/>
    </row>
    <row r="577" customFormat="false" ht="15" hidden="false" customHeight="false" outlineLevel="0" collapsed="false">
      <c r="A577" s="4" t="s">
        <v>3391</v>
      </c>
      <c r="B577" s="4" t="s">
        <v>539</v>
      </c>
      <c r="C577" s="22" t="n">
        <v>0.995</v>
      </c>
      <c r="D577" s="16" t="s">
        <v>3392</v>
      </c>
      <c r="E577" s="16" t="s">
        <v>3393</v>
      </c>
      <c r="F577" s="6" t="n">
        <v>46267</v>
      </c>
      <c r="G577" s="6" t="n">
        <v>46266</v>
      </c>
      <c r="H577" s="23" t="n">
        <f aca="false">ABS(F577-G577)</f>
        <v>1</v>
      </c>
      <c r="I577" s="7" t="n">
        <v>-20225.93</v>
      </c>
      <c r="J577" s="7" t="n">
        <v>-20225.93</v>
      </c>
      <c r="K577" s="7" t="n">
        <f aca="false">I577-J577</f>
        <v>0</v>
      </c>
      <c r="L577" s="4" t="s">
        <v>3394</v>
      </c>
      <c r="M577" s="4" t="s">
        <v>3395</v>
      </c>
      <c r="N577" s="4"/>
    </row>
    <row r="578" customFormat="false" ht="15" hidden="false" customHeight="false" outlineLevel="0" collapsed="false">
      <c r="A578" s="4" t="s">
        <v>3396</v>
      </c>
      <c r="B578" s="4" t="s">
        <v>539</v>
      </c>
      <c r="C578" s="22" t="n">
        <v>0.995</v>
      </c>
      <c r="D578" s="16" t="s">
        <v>3397</v>
      </c>
      <c r="E578" s="16" t="s">
        <v>3398</v>
      </c>
      <c r="F578" s="6" t="n">
        <v>46267</v>
      </c>
      <c r="G578" s="6" t="n">
        <v>46266</v>
      </c>
      <c r="H578" s="23" t="n">
        <f aca="false">ABS(F578-G578)</f>
        <v>1</v>
      </c>
      <c r="I578" s="7" t="n">
        <v>-26670.34</v>
      </c>
      <c r="J578" s="7" t="n">
        <v>-26670.34</v>
      </c>
      <c r="K578" s="7" t="n">
        <f aca="false">I578-J578</f>
        <v>0</v>
      </c>
      <c r="L578" s="4" t="s">
        <v>3399</v>
      </c>
      <c r="M578" s="4" t="s">
        <v>3400</v>
      </c>
      <c r="N578" s="4"/>
    </row>
    <row r="579" customFormat="false" ht="15" hidden="false" customHeight="false" outlineLevel="0" collapsed="false">
      <c r="A579" s="4" t="s">
        <v>3401</v>
      </c>
      <c r="B579" s="4" t="s">
        <v>539</v>
      </c>
      <c r="C579" s="22" t="n">
        <v>0.995</v>
      </c>
      <c r="D579" s="16" t="s">
        <v>3402</v>
      </c>
      <c r="E579" s="16" t="s">
        <v>3403</v>
      </c>
      <c r="F579" s="6" t="n">
        <v>46268</v>
      </c>
      <c r="G579" s="6" t="n">
        <v>46267</v>
      </c>
      <c r="H579" s="23" t="n">
        <f aca="false">ABS(F579-G579)</f>
        <v>1</v>
      </c>
      <c r="I579" s="7" t="n">
        <v>72194.21</v>
      </c>
      <c r="J579" s="7" t="n">
        <v>72194.21</v>
      </c>
      <c r="K579" s="7" t="n">
        <f aca="false">I579-J579</f>
        <v>0</v>
      </c>
      <c r="L579" s="4" t="s">
        <v>3404</v>
      </c>
      <c r="M579" s="4" t="s">
        <v>3405</v>
      </c>
      <c r="N579" s="4"/>
    </row>
    <row r="580" customFormat="false" ht="15" hidden="false" customHeight="false" outlineLevel="0" collapsed="false">
      <c r="A580" s="4" t="s">
        <v>3406</v>
      </c>
      <c r="B580" s="4" t="s">
        <v>539</v>
      </c>
      <c r="C580" s="22" t="n">
        <v>0.995</v>
      </c>
      <c r="D580" s="16" t="s">
        <v>3407</v>
      </c>
      <c r="E580" s="16" t="s">
        <v>3408</v>
      </c>
      <c r="F580" s="6" t="n">
        <v>46268</v>
      </c>
      <c r="G580" s="6" t="n">
        <v>46267</v>
      </c>
      <c r="H580" s="23" t="n">
        <f aca="false">ABS(F580-G580)</f>
        <v>1</v>
      </c>
      <c r="I580" s="7" t="n">
        <v>29945.22</v>
      </c>
      <c r="J580" s="7" t="n">
        <v>29945.22</v>
      </c>
      <c r="K580" s="7" t="n">
        <f aca="false">I580-J580</f>
        <v>0</v>
      </c>
      <c r="L580" s="4" t="s">
        <v>3409</v>
      </c>
      <c r="M580" s="4" t="s">
        <v>3410</v>
      </c>
      <c r="N580" s="4"/>
    </row>
    <row r="581" customFormat="false" ht="15" hidden="false" customHeight="false" outlineLevel="0" collapsed="false">
      <c r="A581" s="4" t="s">
        <v>3411</v>
      </c>
      <c r="B581" s="4" t="s">
        <v>539</v>
      </c>
      <c r="C581" s="22" t="n">
        <v>0.995</v>
      </c>
      <c r="D581" s="16" t="s">
        <v>3412</v>
      </c>
      <c r="E581" s="16" t="s">
        <v>3413</v>
      </c>
      <c r="F581" s="6" t="n">
        <v>46268</v>
      </c>
      <c r="G581" s="6" t="n">
        <v>46267</v>
      </c>
      <c r="H581" s="23" t="n">
        <f aca="false">ABS(F581-G581)</f>
        <v>1</v>
      </c>
      <c r="I581" s="7" t="n">
        <v>54288.98</v>
      </c>
      <c r="J581" s="7" t="n">
        <v>54288.98</v>
      </c>
      <c r="K581" s="7" t="n">
        <f aca="false">I581-J581</f>
        <v>0</v>
      </c>
      <c r="L581" s="4" t="s">
        <v>3414</v>
      </c>
      <c r="M581" s="4" t="s">
        <v>3415</v>
      </c>
      <c r="N581" s="4"/>
    </row>
    <row r="582" customFormat="false" ht="15" hidden="false" customHeight="false" outlineLevel="0" collapsed="false">
      <c r="A582" s="4" t="s">
        <v>3416</v>
      </c>
      <c r="B582" s="4" t="s">
        <v>539</v>
      </c>
      <c r="C582" s="22" t="n">
        <v>0.995</v>
      </c>
      <c r="D582" s="16" t="s">
        <v>3417</v>
      </c>
      <c r="E582" s="16" t="s">
        <v>3418</v>
      </c>
      <c r="F582" s="6" t="n">
        <v>46268</v>
      </c>
      <c r="G582" s="6" t="n">
        <v>46267</v>
      </c>
      <c r="H582" s="23" t="n">
        <f aca="false">ABS(F582-G582)</f>
        <v>1</v>
      </c>
      <c r="I582" s="7" t="n">
        <v>87880.87</v>
      </c>
      <c r="J582" s="7" t="n">
        <v>87880.87</v>
      </c>
      <c r="K582" s="7" t="n">
        <f aca="false">I582-J582</f>
        <v>0</v>
      </c>
      <c r="L582" s="4" t="s">
        <v>3419</v>
      </c>
      <c r="M582" s="4" t="s">
        <v>3420</v>
      </c>
      <c r="N582" s="4"/>
    </row>
    <row r="583" customFormat="false" ht="15" hidden="false" customHeight="false" outlineLevel="0" collapsed="false">
      <c r="A583" s="4" t="s">
        <v>3421</v>
      </c>
      <c r="B583" s="4" t="s">
        <v>539</v>
      </c>
      <c r="C583" s="22" t="n">
        <v>0.995</v>
      </c>
      <c r="D583" s="16" t="s">
        <v>3422</v>
      </c>
      <c r="E583" s="16" t="s">
        <v>3423</v>
      </c>
      <c r="F583" s="6" t="n">
        <v>46268</v>
      </c>
      <c r="G583" s="6" t="n">
        <v>46267</v>
      </c>
      <c r="H583" s="23" t="n">
        <f aca="false">ABS(F583-G583)</f>
        <v>1</v>
      </c>
      <c r="I583" s="7" t="n">
        <v>81160.1</v>
      </c>
      <c r="J583" s="7" t="n">
        <v>81160.1</v>
      </c>
      <c r="K583" s="7" t="n">
        <f aca="false">I583-J583</f>
        <v>0</v>
      </c>
      <c r="L583" s="4" t="s">
        <v>3424</v>
      </c>
      <c r="M583" s="4" t="s">
        <v>3425</v>
      </c>
      <c r="N583" s="4"/>
    </row>
    <row r="584" customFormat="false" ht="15" hidden="false" customHeight="false" outlineLevel="0" collapsed="false">
      <c r="A584" s="4" t="s">
        <v>3426</v>
      </c>
      <c r="B584" s="4" t="s">
        <v>539</v>
      </c>
      <c r="C584" s="22" t="n">
        <v>0.995</v>
      </c>
      <c r="D584" s="16" t="s">
        <v>3427</v>
      </c>
      <c r="E584" s="16" t="s">
        <v>3428</v>
      </c>
      <c r="F584" s="6" t="n">
        <v>46268</v>
      </c>
      <c r="G584" s="6" t="n">
        <v>46267</v>
      </c>
      <c r="H584" s="23" t="n">
        <f aca="false">ABS(F584-G584)</f>
        <v>1</v>
      </c>
      <c r="I584" s="7" t="n">
        <v>26602.48</v>
      </c>
      <c r="J584" s="7" t="n">
        <v>26602.48</v>
      </c>
      <c r="K584" s="7" t="n">
        <f aca="false">I584-J584</f>
        <v>0</v>
      </c>
      <c r="L584" s="4" t="s">
        <v>3429</v>
      </c>
      <c r="M584" s="4" t="s">
        <v>3430</v>
      </c>
      <c r="N584" s="4"/>
    </row>
    <row r="585" customFormat="false" ht="15" hidden="false" customHeight="false" outlineLevel="0" collapsed="false">
      <c r="A585" s="4" t="s">
        <v>3431</v>
      </c>
      <c r="B585" s="4" t="s">
        <v>539</v>
      </c>
      <c r="C585" s="22" t="n">
        <v>0.995</v>
      </c>
      <c r="D585" s="16" t="s">
        <v>3432</v>
      </c>
      <c r="E585" s="16" t="s">
        <v>3433</v>
      </c>
      <c r="F585" s="6" t="n">
        <v>46268</v>
      </c>
      <c r="G585" s="6" t="n">
        <v>46267</v>
      </c>
      <c r="H585" s="23" t="n">
        <f aca="false">ABS(F585-G585)</f>
        <v>1</v>
      </c>
      <c r="I585" s="7" t="n">
        <v>-58948.7</v>
      </c>
      <c r="J585" s="7" t="n">
        <v>-58948.7</v>
      </c>
      <c r="K585" s="7" t="n">
        <f aca="false">I585-J585</f>
        <v>0</v>
      </c>
      <c r="L585" s="4" t="s">
        <v>3434</v>
      </c>
      <c r="M585" s="4" t="s">
        <v>3435</v>
      </c>
      <c r="N585" s="4"/>
    </row>
    <row r="586" customFormat="false" ht="15" hidden="false" customHeight="false" outlineLevel="0" collapsed="false">
      <c r="A586" s="4" t="s">
        <v>3436</v>
      </c>
      <c r="B586" s="4" t="s">
        <v>539</v>
      </c>
      <c r="C586" s="22" t="n">
        <v>0.995</v>
      </c>
      <c r="D586" s="16" t="s">
        <v>3437</v>
      </c>
      <c r="E586" s="16" t="s">
        <v>3438</v>
      </c>
      <c r="F586" s="6" t="n">
        <v>46269</v>
      </c>
      <c r="G586" s="6" t="n">
        <v>46268</v>
      </c>
      <c r="H586" s="23" t="n">
        <f aca="false">ABS(F586-G586)</f>
        <v>1</v>
      </c>
      <c r="I586" s="7" t="n">
        <v>84762.79</v>
      </c>
      <c r="J586" s="7" t="n">
        <v>84762.79</v>
      </c>
      <c r="K586" s="7" t="n">
        <f aca="false">I586-J586</f>
        <v>0</v>
      </c>
      <c r="L586" s="4" t="s">
        <v>3439</v>
      </c>
      <c r="M586" s="4" t="s">
        <v>3440</v>
      </c>
      <c r="N586" s="4"/>
    </row>
    <row r="587" customFormat="false" ht="15" hidden="false" customHeight="false" outlineLevel="0" collapsed="false">
      <c r="A587" s="4" t="s">
        <v>3441</v>
      </c>
      <c r="B587" s="4" t="s">
        <v>539</v>
      </c>
      <c r="C587" s="22" t="n">
        <v>0.995</v>
      </c>
      <c r="D587" s="16" t="s">
        <v>3442</v>
      </c>
      <c r="E587" s="16" t="s">
        <v>3443</v>
      </c>
      <c r="F587" s="6" t="n">
        <v>46269</v>
      </c>
      <c r="G587" s="6" t="n">
        <v>46268</v>
      </c>
      <c r="H587" s="23" t="n">
        <f aca="false">ABS(F587-G587)</f>
        <v>1</v>
      </c>
      <c r="I587" s="7" t="n">
        <v>10034.71</v>
      </c>
      <c r="J587" s="7" t="n">
        <v>10034.71</v>
      </c>
      <c r="K587" s="7" t="n">
        <f aca="false">I587-J587</f>
        <v>0</v>
      </c>
      <c r="L587" s="4" t="s">
        <v>3444</v>
      </c>
      <c r="M587" s="4" t="s">
        <v>3445</v>
      </c>
      <c r="N587" s="4"/>
    </row>
    <row r="588" customFormat="false" ht="15" hidden="false" customHeight="false" outlineLevel="0" collapsed="false">
      <c r="A588" s="4" t="s">
        <v>3446</v>
      </c>
      <c r="B588" s="4" t="s">
        <v>539</v>
      </c>
      <c r="C588" s="22" t="n">
        <v>0.995</v>
      </c>
      <c r="D588" s="16" t="s">
        <v>3447</v>
      </c>
      <c r="E588" s="16" t="s">
        <v>3448</v>
      </c>
      <c r="F588" s="6" t="n">
        <v>46269</v>
      </c>
      <c r="G588" s="6" t="n">
        <v>46268</v>
      </c>
      <c r="H588" s="23" t="n">
        <f aca="false">ABS(F588-G588)</f>
        <v>1</v>
      </c>
      <c r="I588" s="7" t="n">
        <v>36805.4</v>
      </c>
      <c r="J588" s="7" t="n">
        <v>36805.4</v>
      </c>
      <c r="K588" s="7" t="n">
        <f aca="false">I588-J588</f>
        <v>0</v>
      </c>
      <c r="L588" s="4" t="s">
        <v>3449</v>
      </c>
      <c r="M588" s="4" t="s">
        <v>3450</v>
      </c>
      <c r="N588" s="4"/>
    </row>
    <row r="589" customFormat="false" ht="15" hidden="false" customHeight="false" outlineLevel="0" collapsed="false">
      <c r="A589" s="4" t="s">
        <v>3451</v>
      </c>
      <c r="B589" s="4" t="s">
        <v>539</v>
      </c>
      <c r="C589" s="22" t="n">
        <v>0.995</v>
      </c>
      <c r="D589" s="16" t="s">
        <v>3452</v>
      </c>
      <c r="E589" s="16" t="s">
        <v>3453</v>
      </c>
      <c r="F589" s="6" t="n">
        <v>46269</v>
      </c>
      <c r="G589" s="6" t="n">
        <v>46268</v>
      </c>
      <c r="H589" s="23" t="n">
        <f aca="false">ABS(F589-G589)</f>
        <v>1</v>
      </c>
      <c r="I589" s="7" t="n">
        <v>93554.38</v>
      </c>
      <c r="J589" s="7" t="n">
        <v>93554.38</v>
      </c>
      <c r="K589" s="7" t="n">
        <f aca="false">I589-J589</f>
        <v>0</v>
      </c>
      <c r="L589" s="4" t="s">
        <v>3454</v>
      </c>
      <c r="M589" s="4" t="s">
        <v>3455</v>
      </c>
      <c r="N589" s="4"/>
    </row>
    <row r="590" customFormat="false" ht="15" hidden="false" customHeight="false" outlineLevel="0" collapsed="false">
      <c r="A590" s="4" t="s">
        <v>3456</v>
      </c>
      <c r="B590" s="4" t="s">
        <v>539</v>
      </c>
      <c r="C590" s="22" t="n">
        <v>0.995</v>
      </c>
      <c r="D590" s="16" t="s">
        <v>3457</v>
      </c>
      <c r="E590" s="16" t="s">
        <v>3458</v>
      </c>
      <c r="F590" s="6" t="n">
        <v>46269</v>
      </c>
      <c r="G590" s="6" t="n">
        <v>46268</v>
      </c>
      <c r="H590" s="23" t="n">
        <f aca="false">ABS(F590-G590)</f>
        <v>1</v>
      </c>
      <c r="I590" s="7" t="n">
        <v>48410.46</v>
      </c>
      <c r="J590" s="7" t="n">
        <v>48410.46</v>
      </c>
      <c r="K590" s="7" t="n">
        <f aca="false">I590-J590</f>
        <v>0</v>
      </c>
      <c r="L590" s="4" t="s">
        <v>3459</v>
      </c>
      <c r="M590" s="4" t="s">
        <v>3460</v>
      </c>
      <c r="N590" s="4"/>
    </row>
    <row r="591" customFormat="false" ht="15" hidden="false" customHeight="false" outlineLevel="0" collapsed="false">
      <c r="A591" s="4" t="s">
        <v>3461</v>
      </c>
      <c r="B591" s="4" t="s">
        <v>539</v>
      </c>
      <c r="C591" s="22" t="n">
        <v>0.995</v>
      </c>
      <c r="D591" s="16" t="s">
        <v>3462</v>
      </c>
      <c r="E591" s="16" t="s">
        <v>3463</v>
      </c>
      <c r="F591" s="6" t="n">
        <v>46270</v>
      </c>
      <c r="G591" s="6" t="n">
        <v>46269</v>
      </c>
      <c r="H591" s="23" t="n">
        <f aca="false">ABS(F591-G591)</f>
        <v>1</v>
      </c>
      <c r="I591" s="7" t="n">
        <v>68781.01</v>
      </c>
      <c r="J591" s="7" t="n">
        <v>68781.01</v>
      </c>
      <c r="K591" s="7" t="n">
        <f aca="false">I591-J591</f>
        <v>0</v>
      </c>
      <c r="L591" s="4" t="s">
        <v>3464</v>
      </c>
      <c r="M591" s="4" t="s">
        <v>3465</v>
      </c>
      <c r="N591" s="4"/>
    </row>
    <row r="592" customFormat="false" ht="15" hidden="false" customHeight="false" outlineLevel="0" collapsed="false">
      <c r="A592" s="4" t="s">
        <v>3466</v>
      </c>
      <c r="B592" s="4" t="s">
        <v>539</v>
      </c>
      <c r="C592" s="22" t="n">
        <v>0.995</v>
      </c>
      <c r="D592" s="16" t="s">
        <v>3467</v>
      </c>
      <c r="E592" s="16" t="s">
        <v>3468</v>
      </c>
      <c r="F592" s="6" t="n">
        <v>46270</v>
      </c>
      <c r="G592" s="6" t="n">
        <v>46269</v>
      </c>
      <c r="H592" s="23" t="n">
        <f aca="false">ABS(F592-G592)</f>
        <v>1</v>
      </c>
      <c r="I592" s="7" t="n">
        <v>91063.01</v>
      </c>
      <c r="J592" s="7" t="n">
        <v>91063.01</v>
      </c>
      <c r="K592" s="7" t="n">
        <f aca="false">I592-J592</f>
        <v>0</v>
      </c>
      <c r="L592" s="4" t="s">
        <v>3469</v>
      </c>
      <c r="M592" s="4" t="s">
        <v>3470</v>
      </c>
      <c r="N592" s="4"/>
    </row>
    <row r="593" customFormat="false" ht="15" hidden="false" customHeight="false" outlineLevel="0" collapsed="false">
      <c r="A593" s="4" t="s">
        <v>3471</v>
      </c>
      <c r="B593" s="4" t="s">
        <v>539</v>
      </c>
      <c r="C593" s="22" t="n">
        <v>0.995</v>
      </c>
      <c r="D593" s="16" t="s">
        <v>3472</v>
      </c>
      <c r="E593" s="16" t="s">
        <v>3473</v>
      </c>
      <c r="F593" s="6" t="n">
        <v>46270</v>
      </c>
      <c r="G593" s="6" t="n">
        <v>46269</v>
      </c>
      <c r="H593" s="23" t="n">
        <f aca="false">ABS(F593-G593)</f>
        <v>1</v>
      </c>
      <c r="I593" s="7" t="n">
        <v>8551.21</v>
      </c>
      <c r="J593" s="7" t="n">
        <v>8551.21</v>
      </c>
      <c r="K593" s="7" t="n">
        <f aca="false">I593-J593</f>
        <v>0</v>
      </c>
      <c r="L593" s="4" t="s">
        <v>3474</v>
      </c>
      <c r="M593" s="4" t="s">
        <v>3475</v>
      </c>
      <c r="N593" s="4"/>
    </row>
    <row r="594" customFormat="false" ht="15" hidden="false" customHeight="false" outlineLevel="0" collapsed="false">
      <c r="A594" s="4" t="s">
        <v>3476</v>
      </c>
      <c r="B594" s="4" t="s">
        <v>539</v>
      </c>
      <c r="C594" s="22" t="n">
        <v>0.995</v>
      </c>
      <c r="D594" s="16" t="s">
        <v>3477</v>
      </c>
      <c r="E594" s="16" t="s">
        <v>3478</v>
      </c>
      <c r="F594" s="6" t="n">
        <v>46270</v>
      </c>
      <c r="G594" s="6" t="n">
        <v>46269</v>
      </c>
      <c r="H594" s="23" t="n">
        <f aca="false">ABS(F594-G594)</f>
        <v>1</v>
      </c>
      <c r="I594" s="7" t="n">
        <v>-49648.74</v>
      </c>
      <c r="J594" s="7" t="n">
        <v>-49648.74</v>
      </c>
      <c r="K594" s="7" t="n">
        <f aca="false">I594-J594</f>
        <v>0</v>
      </c>
      <c r="L594" s="4" t="s">
        <v>3479</v>
      </c>
      <c r="M594" s="4" t="s">
        <v>3480</v>
      </c>
      <c r="N594" s="4"/>
    </row>
    <row r="595" customFormat="false" ht="15" hidden="false" customHeight="false" outlineLevel="0" collapsed="false">
      <c r="A595" s="4" t="s">
        <v>3481</v>
      </c>
      <c r="B595" s="4" t="s">
        <v>539</v>
      </c>
      <c r="C595" s="22" t="n">
        <v>0.995</v>
      </c>
      <c r="D595" s="16" t="s">
        <v>3482</v>
      </c>
      <c r="E595" s="16" t="s">
        <v>3483</v>
      </c>
      <c r="F595" s="6" t="n">
        <v>46271</v>
      </c>
      <c r="G595" s="6" t="n">
        <v>46270</v>
      </c>
      <c r="H595" s="23" t="n">
        <f aca="false">ABS(F595-G595)</f>
        <v>1</v>
      </c>
      <c r="I595" s="7" t="n">
        <v>29758.8</v>
      </c>
      <c r="J595" s="7" t="n">
        <v>29758.8</v>
      </c>
      <c r="K595" s="7" t="n">
        <f aca="false">I595-J595</f>
        <v>0</v>
      </c>
      <c r="L595" s="4" t="s">
        <v>3484</v>
      </c>
      <c r="M595" s="4" t="s">
        <v>3485</v>
      </c>
      <c r="N595" s="4"/>
    </row>
    <row r="596" customFormat="false" ht="15" hidden="false" customHeight="false" outlineLevel="0" collapsed="false">
      <c r="A596" s="4" t="s">
        <v>3486</v>
      </c>
      <c r="B596" s="4" t="s">
        <v>539</v>
      </c>
      <c r="C596" s="22" t="n">
        <v>0.995</v>
      </c>
      <c r="D596" s="16" t="s">
        <v>3487</v>
      </c>
      <c r="E596" s="16" t="s">
        <v>3488</v>
      </c>
      <c r="F596" s="6" t="n">
        <v>46271</v>
      </c>
      <c r="G596" s="6" t="n">
        <v>46270</v>
      </c>
      <c r="H596" s="23" t="n">
        <f aca="false">ABS(F596-G596)</f>
        <v>1</v>
      </c>
      <c r="I596" s="7" t="n">
        <v>3923.34</v>
      </c>
      <c r="J596" s="7" t="n">
        <v>3923.34</v>
      </c>
      <c r="K596" s="7" t="n">
        <f aca="false">I596-J596</f>
        <v>0</v>
      </c>
      <c r="L596" s="4" t="s">
        <v>3489</v>
      </c>
      <c r="M596" s="4" t="s">
        <v>3490</v>
      </c>
      <c r="N596" s="4"/>
    </row>
    <row r="597" customFormat="false" ht="15" hidden="false" customHeight="false" outlineLevel="0" collapsed="false">
      <c r="A597" s="4" t="s">
        <v>3491</v>
      </c>
      <c r="B597" s="4" t="s">
        <v>539</v>
      </c>
      <c r="C597" s="22" t="n">
        <v>0.995</v>
      </c>
      <c r="D597" s="16" t="s">
        <v>3492</v>
      </c>
      <c r="E597" s="16" t="s">
        <v>3493</v>
      </c>
      <c r="F597" s="6" t="n">
        <v>46271</v>
      </c>
      <c r="G597" s="6" t="n">
        <v>46270</v>
      </c>
      <c r="H597" s="23" t="n">
        <f aca="false">ABS(F597-G597)</f>
        <v>1</v>
      </c>
      <c r="I597" s="7" t="n">
        <v>87294.82</v>
      </c>
      <c r="J597" s="7" t="n">
        <v>87294.82</v>
      </c>
      <c r="K597" s="7" t="n">
        <f aca="false">I597-J597</f>
        <v>0</v>
      </c>
      <c r="L597" s="4" t="s">
        <v>3494</v>
      </c>
      <c r="M597" s="4" t="s">
        <v>3495</v>
      </c>
      <c r="N597" s="4"/>
    </row>
    <row r="598" customFormat="false" ht="15" hidden="false" customHeight="false" outlineLevel="0" collapsed="false">
      <c r="A598" s="4" t="s">
        <v>3496</v>
      </c>
      <c r="B598" s="4" t="s">
        <v>539</v>
      </c>
      <c r="C598" s="22" t="n">
        <v>0.995</v>
      </c>
      <c r="D598" s="16" t="s">
        <v>3497</v>
      </c>
      <c r="E598" s="16" t="s">
        <v>3498</v>
      </c>
      <c r="F598" s="6" t="n">
        <v>46272</v>
      </c>
      <c r="G598" s="6" t="n">
        <v>46271</v>
      </c>
      <c r="H598" s="23" t="n">
        <f aca="false">ABS(F598-G598)</f>
        <v>1</v>
      </c>
      <c r="I598" s="7" t="n">
        <v>21879.78</v>
      </c>
      <c r="J598" s="7" t="n">
        <v>21879.78</v>
      </c>
      <c r="K598" s="7" t="n">
        <f aca="false">I598-J598</f>
        <v>0</v>
      </c>
      <c r="L598" s="4" t="s">
        <v>3499</v>
      </c>
      <c r="M598" s="4" t="s">
        <v>3500</v>
      </c>
      <c r="N598" s="4"/>
    </row>
    <row r="599" customFormat="false" ht="15" hidden="false" customHeight="false" outlineLevel="0" collapsed="false">
      <c r="A599" s="4" t="s">
        <v>3501</v>
      </c>
      <c r="B599" s="4" t="s">
        <v>539</v>
      </c>
      <c r="C599" s="22" t="n">
        <v>0.995</v>
      </c>
      <c r="D599" s="16" t="s">
        <v>3502</v>
      </c>
      <c r="E599" s="16" t="s">
        <v>3503</v>
      </c>
      <c r="F599" s="6" t="n">
        <v>46272</v>
      </c>
      <c r="G599" s="6" t="n">
        <v>46271</v>
      </c>
      <c r="H599" s="23" t="n">
        <f aca="false">ABS(F599-G599)</f>
        <v>1</v>
      </c>
      <c r="I599" s="7" t="n">
        <v>16040.14</v>
      </c>
      <c r="J599" s="7" t="n">
        <v>16040.14</v>
      </c>
      <c r="K599" s="7" t="n">
        <f aca="false">I599-J599</f>
        <v>0</v>
      </c>
      <c r="L599" s="4" t="s">
        <v>3504</v>
      </c>
      <c r="M599" s="4" t="s">
        <v>3505</v>
      </c>
      <c r="N599" s="4"/>
    </row>
    <row r="600" customFormat="false" ht="15" hidden="false" customHeight="false" outlineLevel="0" collapsed="false">
      <c r="A600" s="4" t="s">
        <v>3506</v>
      </c>
      <c r="B600" s="4" t="s">
        <v>539</v>
      </c>
      <c r="C600" s="22" t="n">
        <v>0.995</v>
      </c>
      <c r="D600" s="16" t="s">
        <v>3507</v>
      </c>
      <c r="E600" s="16" t="s">
        <v>3508</v>
      </c>
      <c r="F600" s="6" t="n">
        <v>46272</v>
      </c>
      <c r="G600" s="6" t="n">
        <v>46271</v>
      </c>
      <c r="H600" s="23" t="n">
        <f aca="false">ABS(F600-G600)</f>
        <v>1</v>
      </c>
      <c r="I600" s="7" t="n">
        <v>9728.69</v>
      </c>
      <c r="J600" s="7" t="n">
        <v>9728.69</v>
      </c>
      <c r="K600" s="7" t="n">
        <f aca="false">I600-J600</f>
        <v>0</v>
      </c>
      <c r="L600" s="4" t="s">
        <v>3509</v>
      </c>
      <c r="M600" s="4" t="s">
        <v>3510</v>
      </c>
      <c r="N600" s="4"/>
    </row>
    <row r="601" customFormat="false" ht="15" hidden="false" customHeight="false" outlineLevel="0" collapsed="false">
      <c r="A601" s="4" t="s">
        <v>3511</v>
      </c>
      <c r="B601" s="4" t="s">
        <v>539</v>
      </c>
      <c r="C601" s="22" t="n">
        <v>0.995</v>
      </c>
      <c r="D601" s="16" t="s">
        <v>3512</v>
      </c>
      <c r="E601" s="16" t="s">
        <v>3513</v>
      </c>
      <c r="F601" s="6" t="n">
        <v>46272</v>
      </c>
      <c r="G601" s="6" t="n">
        <v>46271</v>
      </c>
      <c r="H601" s="23" t="n">
        <f aca="false">ABS(F601-G601)</f>
        <v>1</v>
      </c>
      <c r="I601" s="7" t="n">
        <v>60635.49</v>
      </c>
      <c r="J601" s="7" t="n">
        <v>60635.49</v>
      </c>
      <c r="K601" s="7" t="n">
        <f aca="false">I601-J601</f>
        <v>0</v>
      </c>
      <c r="L601" s="4" t="s">
        <v>3514</v>
      </c>
      <c r="M601" s="4" t="s">
        <v>3515</v>
      </c>
      <c r="N601" s="4"/>
    </row>
    <row r="602" customFormat="false" ht="15" hidden="false" customHeight="false" outlineLevel="0" collapsed="false">
      <c r="A602" s="4" t="s">
        <v>3516</v>
      </c>
      <c r="B602" s="4" t="s">
        <v>539</v>
      </c>
      <c r="C602" s="22" t="n">
        <v>0.995</v>
      </c>
      <c r="D602" s="16" t="s">
        <v>3517</v>
      </c>
      <c r="E602" s="16" t="s">
        <v>3518</v>
      </c>
      <c r="F602" s="6" t="n">
        <v>46272</v>
      </c>
      <c r="G602" s="6" t="n">
        <v>46271</v>
      </c>
      <c r="H602" s="23" t="n">
        <f aca="false">ABS(F602-G602)</f>
        <v>1</v>
      </c>
      <c r="I602" s="7" t="n">
        <v>-40750.39</v>
      </c>
      <c r="J602" s="7" t="n">
        <v>-40750.39</v>
      </c>
      <c r="K602" s="7" t="n">
        <f aca="false">I602-J602</f>
        <v>0</v>
      </c>
      <c r="L602" s="4" t="s">
        <v>3519</v>
      </c>
      <c r="M602" s="4" t="s">
        <v>3520</v>
      </c>
      <c r="N602" s="4"/>
    </row>
    <row r="603" customFormat="false" ht="15" hidden="false" customHeight="false" outlineLevel="0" collapsed="false">
      <c r="A603" s="4" t="s">
        <v>3521</v>
      </c>
      <c r="B603" s="4" t="s">
        <v>539</v>
      </c>
      <c r="C603" s="22" t="n">
        <v>0.995</v>
      </c>
      <c r="D603" s="16" t="s">
        <v>3522</v>
      </c>
      <c r="E603" s="16" t="s">
        <v>3523</v>
      </c>
      <c r="F603" s="6" t="n">
        <v>46272</v>
      </c>
      <c r="G603" s="6" t="n">
        <v>46271</v>
      </c>
      <c r="H603" s="23" t="n">
        <f aca="false">ABS(F603-G603)</f>
        <v>1</v>
      </c>
      <c r="I603" s="7" t="n">
        <v>-31673.94</v>
      </c>
      <c r="J603" s="7" t="n">
        <v>-31673.94</v>
      </c>
      <c r="K603" s="7" t="n">
        <f aca="false">I603-J603</f>
        <v>0</v>
      </c>
      <c r="L603" s="4" t="s">
        <v>3524</v>
      </c>
      <c r="M603" s="4" t="s">
        <v>3525</v>
      </c>
      <c r="N603" s="4"/>
    </row>
    <row r="604" customFormat="false" ht="15" hidden="false" customHeight="false" outlineLevel="0" collapsed="false">
      <c r="A604" s="4" t="s">
        <v>3526</v>
      </c>
      <c r="B604" s="4" t="s">
        <v>539</v>
      </c>
      <c r="C604" s="22" t="n">
        <v>0.995</v>
      </c>
      <c r="D604" s="16" t="s">
        <v>3527</v>
      </c>
      <c r="E604" s="16" t="s">
        <v>3528</v>
      </c>
      <c r="F604" s="6" t="n">
        <v>46273</v>
      </c>
      <c r="G604" s="6" t="n">
        <v>46272</v>
      </c>
      <c r="H604" s="23" t="n">
        <f aca="false">ABS(F604-G604)</f>
        <v>1</v>
      </c>
      <c r="I604" s="7" t="n">
        <v>48670.13</v>
      </c>
      <c r="J604" s="7" t="n">
        <v>48670.13</v>
      </c>
      <c r="K604" s="7" t="n">
        <f aca="false">I604-J604</f>
        <v>0</v>
      </c>
      <c r="L604" s="4" t="s">
        <v>3529</v>
      </c>
      <c r="M604" s="4" t="s">
        <v>3530</v>
      </c>
      <c r="N604" s="4"/>
    </row>
    <row r="605" customFormat="false" ht="15" hidden="false" customHeight="false" outlineLevel="0" collapsed="false">
      <c r="A605" s="4" t="s">
        <v>3531</v>
      </c>
      <c r="B605" s="4" t="s">
        <v>539</v>
      </c>
      <c r="C605" s="22" t="n">
        <v>0.995</v>
      </c>
      <c r="D605" s="16" t="s">
        <v>3532</v>
      </c>
      <c r="E605" s="16" t="s">
        <v>3533</v>
      </c>
      <c r="F605" s="6" t="n">
        <v>46273</v>
      </c>
      <c r="G605" s="6" t="n">
        <v>46272</v>
      </c>
      <c r="H605" s="23" t="n">
        <f aca="false">ABS(F605-G605)</f>
        <v>1</v>
      </c>
      <c r="I605" s="7" t="n">
        <v>16402.23</v>
      </c>
      <c r="J605" s="7" t="n">
        <v>16402.23</v>
      </c>
      <c r="K605" s="7" t="n">
        <f aca="false">I605-J605</f>
        <v>0</v>
      </c>
      <c r="L605" s="4" t="s">
        <v>3534</v>
      </c>
      <c r="M605" s="4" t="s">
        <v>3535</v>
      </c>
      <c r="N605" s="4"/>
    </row>
    <row r="606" customFormat="false" ht="15" hidden="false" customHeight="false" outlineLevel="0" collapsed="false">
      <c r="A606" s="4" t="s">
        <v>3536</v>
      </c>
      <c r="B606" s="4" t="s">
        <v>539</v>
      </c>
      <c r="C606" s="22" t="n">
        <v>0.995</v>
      </c>
      <c r="D606" s="16" t="s">
        <v>3537</v>
      </c>
      <c r="E606" s="16" t="s">
        <v>3538</v>
      </c>
      <c r="F606" s="6" t="n">
        <v>46275</v>
      </c>
      <c r="G606" s="6" t="n">
        <v>46274</v>
      </c>
      <c r="H606" s="23" t="n">
        <f aca="false">ABS(F606-G606)</f>
        <v>1</v>
      </c>
      <c r="I606" s="7" t="n">
        <v>33261.21</v>
      </c>
      <c r="J606" s="7" t="n">
        <v>33261.21</v>
      </c>
      <c r="K606" s="7" t="n">
        <f aca="false">I606-J606</f>
        <v>0</v>
      </c>
      <c r="L606" s="4" t="s">
        <v>3539</v>
      </c>
      <c r="M606" s="4" t="s">
        <v>3540</v>
      </c>
      <c r="N606" s="4"/>
    </row>
    <row r="607" customFormat="false" ht="15" hidden="false" customHeight="false" outlineLevel="0" collapsed="false">
      <c r="A607" s="4" t="s">
        <v>3541</v>
      </c>
      <c r="B607" s="4" t="s">
        <v>539</v>
      </c>
      <c r="C607" s="22" t="n">
        <v>0.995</v>
      </c>
      <c r="D607" s="16" t="s">
        <v>3542</v>
      </c>
      <c r="E607" s="16" t="s">
        <v>3543</v>
      </c>
      <c r="F607" s="6" t="n">
        <v>46275</v>
      </c>
      <c r="G607" s="6" t="n">
        <v>46274</v>
      </c>
      <c r="H607" s="23" t="n">
        <f aca="false">ABS(F607-G607)</f>
        <v>1</v>
      </c>
      <c r="I607" s="7" t="n">
        <v>58155.82</v>
      </c>
      <c r="J607" s="7" t="n">
        <v>58155.82</v>
      </c>
      <c r="K607" s="7" t="n">
        <f aca="false">I607-J607</f>
        <v>0</v>
      </c>
      <c r="L607" s="4" t="s">
        <v>3544</v>
      </c>
      <c r="M607" s="4" t="s">
        <v>3545</v>
      </c>
      <c r="N607" s="4"/>
    </row>
    <row r="608" customFormat="false" ht="15" hidden="false" customHeight="false" outlineLevel="0" collapsed="false">
      <c r="A608" s="4" t="s">
        <v>3546</v>
      </c>
      <c r="B608" s="4" t="s">
        <v>539</v>
      </c>
      <c r="C608" s="22" t="n">
        <v>0.995</v>
      </c>
      <c r="D608" s="16" t="s">
        <v>3547</v>
      </c>
      <c r="E608" s="16" t="s">
        <v>3548</v>
      </c>
      <c r="F608" s="6" t="n">
        <v>46275</v>
      </c>
      <c r="G608" s="6" t="n">
        <v>46274</v>
      </c>
      <c r="H608" s="23" t="n">
        <f aca="false">ABS(F608-G608)</f>
        <v>1</v>
      </c>
      <c r="I608" s="7" t="n">
        <v>81308.79</v>
      </c>
      <c r="J608" s="7" t="n">
        <v>81308.79</v>
      </c>
      <c r="K608" s="7" t="n">
        <f aca="false">I608-J608</f>
        <v>0</v>
      </c>
      <c r="L608" s="4" t="s">
        <v>3549</v>
      </c>
      <c r="M608" s="4" t="s">
        <v>3550</v>
      </c>
      <c r="N608" s="4"/>
    </row>
    <row r="609" customFormat="false" ht="15" hidden="false" customHeight="false" outlineLevel="0" collapsed="false">
      <c r="A609" s="4" t="s">
        <v>3551</v>
      </c>
      <c r="B609" s="4" t="s">
        <v>539</v>
      </c>
      <c r="C609" s="22" t="n">
        <v>0.995</v>
      </c>
      <c r="D609" s="16" t="s">
        <v>3552</v>
      </c>
      <c r="E609" s="16" t="s">
        <v>3553</v>
      </c>
      <c r="F609" s="6" t="n">
        <v>46275</v>
      </c>
      <c r="G609" s="6" t="n">
        <v>46274</v>
      </c>
      <c r="H609" s="23" t="n">
        <f aca="false">ABS(F609-G609)</f>
        <v>1</v>
      </c>
      <c r="I609" s="7" t="n">
        <v>10825.85</v>
      </c>
      <c r="J609" s="7" t="n">
        <v>10825.85</v>
      </c>
      <c r="K609" s="7" t="n">
        <f aca="false">I609-J609</f>
        <v>0</v>
      </c>
      <c r="L609" s="4" t="s">
        <v>167</v>
      </c>
      <c r="M609" s="4" t="s">
        <v>3554</v>
      </c>
      <c r="N609" s="4"/>
    </row>
    <row r="610" customFormat="false" ht="15" hidden="false" customHeight="false" outlineLevel="0" collapsed="false">
      <c r="A610" s="4" t="s">
        <v>3555</v>
      </c>
      <c r="B610" s="4" t="s">
        <v>539</v>
      </c>
      <c r="C610" s="22" t="n">
        <v>0.995</v>
      </c>
      <c r="D610" s="16" t="s">
        <v>3556</v>
      </c>
      <c r="E610" s="16" t="s">
        <v>3557</v>
      </c>
      <c r="F610" s="6" t="n">
        <v>46276</v>
      </c>
      <c r="G610" s="6" t="n">
        <v>46275</v>
      </c>
      <c r="H610" s="23" t="n">
        <f aca="false">ABS(F610-G610)</f>
        <v>1</v>
      </c>
      <c r="I610" s="7" t="n">
        <v>74757.19</v>
      </c>
      <c r="J610" s="7" t="n">
        <v>74757.19</v>
      </c>
      <c r="K610" s="7" t="n">
        <f aca="false">I610-J610</f>
        <v>0</v>
      </c>
      <c r="L610" s="4" t="s">
        <v>3558</v>
      </c>
      <c r="M610" s="4" t="s">
        <v>3559</v>
      </c>
      <c r="N610" s="4"/>
    </row>
    <row r="611" customFormat="false" ht="15" hidden="false" customHeight="false" outlineLevel="0" collapsed="false">
      <c r="A611" s="4" t="s">
        <v>3560</v>
      </c>
      <c r="B611" s="4" t="s">
        <v>539</v>
      </c>
      <c r="C611" s="22" t="n">
        <v>0.995</v>
      </c>
      <c r="D611" s="16" t="s">
        <v>3561</v>
      </c>
      <c r="E611" s="16" t="s">
        <v>3562</v>
      </c>
      <c r="F611" s="6" t="n">
        <v>46276</v>
      </c>
      <c r="G611" s="6" t="n">
        <v>46275</v>
      </c>
      <c r="H611" s="23" t="n">
        <f aca="false">ABS(F611-G611)</f>
        <v>1</v>
      </c>
      <c r="I611" s="7" t="n">
        <v>30676.94</v>
      </c>
      <c r="J611" s="7" t="n">
        <v>30676.94</v>
      </c>
      <c r="K611" s="7" t="n">
        <f aca="false">I611-J611</f>
        <v>0</v>
      </c>
      <c r="L611" s="4" t="s">
        <v>3563</v>
      </c>
      <c r="M611" s="4" t="s">
        <v>3564</v>
      </c>
      <c r="N611" s="4"/>
    </row>
    <row r="612" customFormat="false" ht="15" hidden="false" customHeight="false" outlineLevel="0" collapsed="false">
      <c r="A612" s="4" t="s">
        <v>3565</v>
      </c>
      <c r="B612" s="4" t="s">
        <v>539</v>
      </c>
      <c r="C612" s="22" t="n">
        <v>0.995</v>
      </c>
      <c r="D612" s="16" t="s">
        <v>3566</v>
      </c>
      <c r="E612" s="16" t="s">
        <v>3567</v>
      </c>
      <c r="F612" s="6" t="n">
        <v>46276</v>
      </c>
      <c r="G612" s="6" t="n">
        <v>46275</v>
      </c>
      <c r="H612" s="23" t="n">
        <f aca="false">ABS(F612-G612)</f>
        <v>1</v>
      </c>
      <c r="I612" s="7" t="n">
        <v>8164.01</v>
      </c>
      <c r="J612" s="7" t="n">
        <v>8164.01</v>
      </c>
      <c r="K612" s="7" t="n">
        <f aca="false">I612-J612</f>
        <v>0</v>
      </c>
      <c r="L612" s="4" t="s">
        <v>3568</v>
      </c>
      <c r="M612" s="4" t="s">
        <v>3569</v>
      </c>
      <c r="N612" s="4"/>
    </row>
    <row r="613" customFormat="false" ht="15" hidden="false" customHeight="false" outlineLevel="0" collapsed="false">
      <c r="A613" s="4" t="s">
        <v>3570</v>
      </c>
      <c r="B613" s="4" t="s">
        <v>539</v>
      </c>
      <c r="C613" s="22" t="n">
        <v>0.995</v>
      </c>
      <c r="D613" s="16" t="s">
        <v>3571</v>
      </c>
      <c r="E613" s="16" t="s">
        <v>3572</v>
      </c>
      <c r="F613" s="6" t="n">
        <v>46276</v>
      </c>
      <c r="G613" s="6" t="n">
        <v>46275</v>
      </c>
      <c r="H613" s="23" t="n">
        <f aca="false">ABS(F613-G613)</f>
        <v>1</v>
      </c>
      <c r="I613" s="7" t="n">
        <v>-30360.13</v>
      </c>
      <c r="J613" s="7" t="n">
        <v>-30360.13</v>
      </c>
      <c r="K613" s="7" t="n">
        <f aca="false">I613-J613</f>
        <v>0</v>
      </c>
      <c r="L613" s="4" t="s">
        <v>3573</v>
      </c>
      <c r="M613" s="4" t="s">
        <v>3574</v>
      </c>
      <c r="N613" s="4"/>
    </row>
    <row r="614" customFormat="false" ht="15" hidden="false" customHeight="false" outlineLevel="0" collapsed="false">
      <c r="A614" s="4" t="s">
        <v>3575</v>
      </c>
      <c r="B614" s="4" t="s">
        <v>539</v>
      </c>
      <c r="C614" s="22" t="n">
        <v>0.995</v>
      </c>
      <c r="D614" s="16" t="s">
        <v>3576</v>
      </c>
      <c r="E614" s="16" t="s">
        <v>3577</v>
      </c>
      <c r="F614" s="6" t="n">
        <v>46277</v>
      </c>
      <c r="G614" s="6" t="n">
        <v>46276</v>
      </c>
      <c r="H614" s="23" t="n">
        <f aca="false">ABS(F614-G614)</f>
        <v>1</v>
      </c>
      <c r="I614" s="7" t="n">
        <v>7725.18</v>
      </c>
      <c r="J614" s="7" t="n">
        <v>7725.18</v>
      </c>
      <c r="K614" s="7" t="n">
        <f aca="false">I614-J614</f>
        <v>0</v>
      </c>
      <c r="L614" s="4" t="s">
        <v>3578</v>
      </c>
      <c r="M614" s="4" t="s">
        <v>3579</v>
      </c>
      <c r="N614" s="4"/>
    </row>
    <row r="615" customFormat="false" ht="15" hidden="false" customHeight="false" outlineLevel="0" collapsed="false">
      <c r="A615" s="4" t="s">
        <v>3580</v>
      </c>
      <c r="B615" s="4" t="s">
        <v>539</v>
      </c>
      <c r="C615" s="22" t="n">
        <v>0.995</v>
      </c>
      <c r="D615" s="16" t="s">
        <v>3581</v>
      </c>
      <c r="E615" s="16" t="s">
        <v>3582</v>
      </c>
      <c r="F615" s="6" t="n">
        <v>46277</v>
      </c>
      <c r="G615" s="6" t="n">
        <v>46276</v>
      </c>
      <c r="H615" s="23" t="n">
        <f aca="false">ABS(F615-G615)</f>
        <v>1</v>
      </c>
      <c r="I615" s="7" t="n">
        <v>46052.36</v>
      </c>
      <c r="J615" s="7" t="n">
        <v>46052.36</v>
      </c>
      <c r="K615" s="7" t="n">
        <f aca="false">I615-J615</f>
        <v>0</v>
      </c>
      <c r="L615" s="4" t="s">
        <v>3583</v>
      </c>
      <c r="M615" s="4" t="s">
        <v>3584</v>
      </c>
      <c r="N615" s="4"/>
    </row>
    <row r="616" customFormat="false" ht="15" hidden="false" customHeight="false" outlineLevel="0" collapsed="false">
      <c r="A616" s="4" t="s">
        <v>3585</v>
      </c>
      <c r="B616" s="4" t="s">
        <v>539</v>
      </c>
      <c r="C616" s="22" t="n">
        <v>0.995</v>
      </c>
      <c r="D616" s="16" t="s">
        <v>3586</v>
      </c>
      <c r="E616" s="16" t="s">
        <v>3587</v>
      </c>
      <c r="F616" s="6" t="n">
        <v>46277</v>
      </c>
      <c r="G616" s="6" t="n">
        <v>46276</v>
      </c>
      <c r="H616" s="23" t="n">
        <f aca="false">ABS(F616-G616)</f>
        <v>1</v>
      </c>
      <c r="I616" s="7" t="n">
        <v>-39622.53</v>
      </c>
      <c r="J616" s="7" t="n">
        <v>-39622.53</v>
      </c>
      <c r="K616" s="7" t="n">
        <f aca="false">I616-J616</f>
        <v>0</v>
      </c>
      <c r="L616" s="4" t="s">
        <v>3588</v>
      </c>
      <c r="M616" s="4" t="s">
        <v>3589</v>
      </c>
      <c r="N616" s="4"/>
    </row>
    <row r="617" customFormat="false" ht="15" hidden="false" customHeight="false" outlineLevel="0" collapsed="false">
      <c r="A617" s="4" t="s">
        <v>3590</v>
      </c>
      <c r="B617" s="4" t="s">
        <v>539</v>
      </c>
      <c r="C617" s="22" t="n">
        <v>0.995</v>
      </c>
      <c r="D617" s="16" t="s">
        <v>3591</v>
      </c>
      <c r="E617" s="16" t="s">
        <v>3592</v>
      </c>
      <c r="F617" s="6" t="n">
        <v>46277</v>
      </c>
      <c r="G617" s="6" t="n">
        <v>46276</v>
      </c>
      <c r="H617" s="23" t="n">
        <f aca="false">ABS(F617-G617)</f>
        <v>1</v>
      </c>
      <c r="I617" s="7" t="n">
        <v>-13388.25</v>
      </c>
      <c r="J617" s="7" t="n">
        <v>-13388.25</v>
      </c>
      <c r="K617" s="7" t="n">
        <f aca="false">I617-J617</f>
        <v>0</v>
      </c>
      <c r="L617" s="4" t="s">
        <v>3593</v>
      </c>
      <c r="M617" s="4" t="s">
        <v>3594</v>
      </c>
      <c r="N617" s="4"/>
    </row>
    <row r="618" customFormat="false" ht="15" hidden="false" customHeight="false" outlineLevel="0" collapsed="false">
      <c r="A618" s="4" t="s">
        <v>3595</v>
      </c>
      <c r="B618" s="4" t="s">
        <v>539</v>
      </c>
      <c r="C618" s="22" t="n">
        <v>0.995</v>
      </c>
      <c r="D618" s="16" t="s">
        <v>3596</v>
      </c>
      <c r="E618" s="16" t="s">
        <v>3597</v>
      </c>
      <c r="F618" s="6" t="n">
        <v>46278</v>
      </c>
      <c r="G618" s="6" t="n">
        <v>46277</v>
      </c>
      <c r="H618" s="23" t="n">
        <f aca="false">ABS(F618-G618)</f>
        <v>1</v>
      </c>
      <c r="I618" s="7" t="n">
        <v>87563.78</v>
      </c>
      <c r="J618" s="7" t="n">
        <v>87563.78</v>
      </c>
      <c r="K618" s="7" t="n">
        <f aca="false">I618-J618</f>
        <v>0</v>
      </c>
      <c r="L618" s="4" t="s">
        <v>137</v>
      </c>
      <c r="M618" s="4" t="s">
        <v>3598</v>
      </c>
      <c r="N618" s="4"/>
    </row>
    <row r="619" customFormat="false" ht="15" hidden="false" customHeight="false" outlineLevel="0" collapsed="false">
      <c r="A619" s="4" t="s">
        <v>3599</v>
      </c>
      <c r="B619" s="4" t="s">
        <v>539</v>
      </c>
      <c r="C619" s="22" t="n">
        <v>0.995</v>
      </c>
      <c r="D619" s="16" t="s">
        <v>3600</v>
      </c>
      <c r="E619" s="16" t="s">
        <v>3601</v>
      </c>
      <c r="F619" s="6" t="n">
        <v>46278</v>
      </c>
      <c r="G619" s="6" t="n">
        <v>46277</v>
      </c>
      <c r="H619" s="23" t="n">
        <f aca="false">ABS(F619-G619)</f>
        <v>1</v>
      </c>
      <c r="I619" s="7" t="n">
        <v>69665.35</v>
      </c>
      <c r="J619" s="7" t="n">
        <v>69665.35</v>
      </c>
      <c r="K619" s="7" t="n">
        <f aca="false">I619-J619</f>
        <v>0</v>
      </c>
      <c r="L619" s="4" t="s">
        <v>3602</v>
      </c>
      <c r="M619" s="4" t="s">
        <v>3603</v>
      </c>
      <c r="N619" s="4"/>
    </row>
    <row r="620" customFormat="false" ht="15" hidden="false" customHeight="false" outlineLevel="0" collapsed="false">
      <c r="A620" s="4" t="s">
        <v>3604</v>
      </c>
      <c r="B620" s="4" t="s">
        <v>539</v>
      </c>
      <c r="C620" s="22" t="n">
        <v>0.995</v>
      </c>
      <c r="D620" s="16" t="s">
        <v>3605</v>
      </c>
      <c r="E620" s="16" t="s">
        <v>3606</v>
      </c>
      <c r="F620" s="6" t="n">
        <v>46278</v>
      </c>
      <c r="G620" s="6" t="n">
        <v>46277</v>
      </c>
      <c r="H620" s="23" t="n">
        <f aca="false">ABS(F620-G620)</f>
        <v>1</v>
      </c>
      <c r="I620" s="7" t="n">
        <v>79160.34</v>
      </c>
      <c r="J620" s="7" t="n">
        <v>79160.34</v>
      </c>
      <c r="K620" s="7" t="n">
        <f aca="false">I620-J620</f>
        <v>0</v>
      </c>
      <c r="L620" s="4" t="s">
        <v>3607</v>
      </c>
      <c r="M620" s="4" t="s">
        <v>3608</v>
      </c>
      <c r="N620" s="4"/>
    </row>
    <row r="621" customFormat="false" ht="15" hidden="false" customHeight="false" outlineLevel="0" collapsed="false">
      <c r="A621" s="4" t="s">
        <v>3609</v>
      </c>
      <c r="B621" s="4" t="s">
        <v>539</v>
      </c>
      <c r="C621" s="22" t="n">
        <v>0.995</v>
      </c>
      <c r="D621" s="16" t="s">
        <v>3610</v>
      </c>
      <c r="E621" s="16" t="s">
        <v>3611</v>
      </c>
      <c r="F621" s="6" t="n">
        <v>46278</v>
      </c>
      <c r="G621" s="6" t="n">
        <v>46277</v>
      </c>
      <c r="H621" s="23" t="n">
        <f aca="false">ABS(F621-G621)</f>
        <v>1</v>
      </c>
      <c r="I621" s="7" t="n">
        <v>58144.64</v>
      </c>
      <c r="J621" s="7" t="n">
        <v>58144.64</v>
      </c>
      <c r="K621" s="7" t="n">
        <f aca="false">I621-J621</f>
        <v>0</v>
      </c>
      <c r="L621" s="4" t="s">
        <v>3612</v>
      </c>
      <c r="M621" s="4" t="s">
        <v>3613</v>
      </c>
      <c r="N621" s="4"/>
    </row>
    <row r="622" customFormat="false" ht="15" hidden="false" customHeight="false" outlineLevel="0" collapsed="false">
      <c r="A622" s="4" t="s">
        <v>3614</v>
      </c>
      <c r="B622" s="4" t="s">
        <v>539</v>
      </c>
      <c r="C622" s="22" t="n">
        <v>0.995</v>
      </c>
      <c r="D622" s="16" t="s">
        <v>3615</v>
      </c>
      <c r="E622" s="16" t="s">
        <v>3616</v>
      </c>
      <c r="F622" s="6" t="n">
        <v>46279</v>
      </c>
      <c r="G622" s="6" t="n">
        <v>46278</v>
      </c>
      <c r="H622" s="23" t="n">
        <f aca="false">ABS(F622-G622)</f>
        <v>1</v>
      </c>
      <c r="I622" s="7" t="n">
        <v>57682.03</v>
      </c>
      <c r="J622" s="7" t="n">
        <v>57682.03</v>
      </c>
      <c r="K622" s="7" t="n">
        <f aca="false">I622-J622</f>
        <v>0</v>
      </c>
      <c r="L622" s="4" t="s">
        <v>3617</v>
      </c>
      <c r="M622" s="4" t="s">
        <v>3618</v>
      </c>
      <c r="N622" s="4"/>
    </row>
    <row r="623" customFormat="false" ht="15" hidden="false" customHeight="false" outlineLevel="0" collapsed="false">
      <c r="A623" s="4" t="s">
        <v>3619</v>
      </c>
      <c r="B623" s="4" t="s">
        <v>539</v>
      </c>
      <c r="C623" s="22" t="n">
        <v>0.995</v>
      </c>
      <c r="D623" s="16" t="s">
        <v>3620</v>
      </c>
      <c r="E623" s="16" t="s">
        <v>3621</v>
      </c>
      <c r="F623" s="6" t="n">
        <v>46279</v>
      </c>
      <c r="G623" s="6" t="n">
        <v>46278</v>
      </c>
      <c r="H623" s="23" t="n">
        <f aca="false">ABS(F623-G623)</f>
        <v>1</v>
      </c>
      <c r="I623" s="7" t="n">
        <v>53224.24</v>
      </c>
      <c r="J623" s="7" t="n">
        <v>53224.24</v>
      </c>
      <c r="K623" s="7" t="n">
        <f aca="false">I623-J623</f>
        <v>0</v>
      </c>
      <c r="L623" s="4" t="s">
        <v>3622</v>
      </c>
      <c r="M623" s="4" t="s">
        <v>3623</v>
      </c>
      <c r="N623" s="4"/>
    </row>
    <row r="624" customFormat="false" ht="15" hidden="false" customHeight="false" outlineLevel="0" collapsed="false">
      <c r="A624" s="4" t="s">
        <v>3624</v>
      </c>
      <c r="B624" s="4" t="s">
        <v>539</v>
      </c>
      <c r="C624" s="22" t="n">
        <v>0.995</v>
      </c>
      <c r="D624" s="16" t="s">
        <v>3625</v>
      </c>
      <c r="E624" s="16" t="s">
        <v>3626</v>
      </c>
      <c r="F624" s="6" t="n">
        <v>46279</v>
      </c>
      <c r="G624" s="6" t="n">
        <v>46278</v>
      </c>
      <c r="H624" s="23" t="n">
        <f aca="false">ABS(F624-G624)</f>
        <v>1</v>
      </c>
      <c r="I624" s="7" t="n">
        <v>-40798.26</v>
      </c>
      <c r="J624" s="7" t="n">
        <v>-40798.26</v>
      </c>
      <c r="K624" s="7" t="n">
        <f aca="false">I624-J624</f>
        <v>0</v>
      </c>
      <c r="L624" s="4" t="s">
        <v>3627</v>
      </c>
      <c r="M624" s="4" t="s">
        <v>3628</v>
      </c>
      <c r="N624" s="4"/>
    </row>
    <row r="625" customFormat="false" ht="15" hidden="false" customHeight="false" outlineLevel="0" collapsed="false">
      <c r="A625" s="4" t="s">
        <v>3629</v>
      </c>
      <c r="B625" s="4" t="s">
        <v>539</v>
      </c>
      <c r="C625" s="22" t="n">
        <v>0.995</v>
      </c>
      <c r="D625" s="16" t="s">
        <v>3630</v>
      </c>
      <c r="E625" s="16" t="s">
        <v>3631</v>
      </c>
      <c r="F625" s="6" t="n">
        <v>46279</v>
      </c>
      <c r="G625" s="6" t="n">
        <v>46278</v>
      </c>
      <c r="H625" s="23" t="n">
        <f aca="false">ABS(F625-G625)</f>
        <v>1</v>
      </c>
      <c r="I625" s="7" t="n">
        <v>-29594.73</v>
      </c>
      <c r="J625" s="7" t="n">
        <v>-29594.73</v>
      </c>
      <c r="K625" s="7" t="n">
        <f aca="false">I625-J625</f>
        <v>0</v>
      </c>
      <c r="L625" s="4" t="s">
        <v>3632</v>
      </c>
      <c r="M625" s="4" t="s">
        <v>184</v>
      </c>
      <c r="N625" s="4"/>
    </row>
    <row r="626" customFormat="false" ht="15" hidden="false" customHeight="false" outlineLevel="0" collapsed="false">
      <c r="A626" s="4" t="s">
        <v>3633</v>
      </c>
      <c r="B626" s="4" t="s">
        <v>539</v>
      </c>
      <c r="C626" s="22" t="n">
        <v>0.995</v>
      </c>
      <c r="D626" s="16" t="s">
        <v>3634</v>
      </c>
      <c r="E626" s="16" t="s">
        <v>3635</v>
      </c>
      <c r="F626" s="6" t="n">
        <v>46280</v>
      </c>
      <c r="G626" s="6" t="n">
        <v>46279</v>
      </c>
      <c r="H626" s="23" t="n">
        <f aca="false">ABS(F626-G626)</f>
        <v>1</v>
      </c>
      <c r="I626" s="7" t="n">
        <v>5534.49</v>
      </c>
      <c r="J626" s="7" t="n">
        <v>5534.49</v>
      </c>
      <c r="K626" s="7" t="n">
        <f aca="false">I626-J626</f>
        <v>0</v>
      </c>
      <c r="L626" s="4" t="s">
        <v>3636</v>
      </c>
      <c r="M626" s="4" t="s">
        <v>3637</v>
      </c>
      <c r="N626" s="4"/>
    </row>
    <row r="627" customFormat="false" ht="15" hidden="false" customHeight="false" outlineLevel="0" collapsed="false">
      <c r="A627" s="4" t="s">
        <v>3638</v>
      </c>
      <c r="B627" s="4" t="s">
        <v>539</v>
      </c>
      <c r="C627" s="22" t="n">
        <v>0.995</v>
      </c>
      <c r="D627" s="16" t="s">
        <v>3639</v>
      </c>
      <c r="E627" s="16" t="s">
        <v>3640</v>
      </c>
      <c r="F627" s="6" t="n">
        <v>46280</v>
      </c>
      <c r="G627" s="6" t="n">
        <v>46279</v>
      </c>
      <c r="H627" s="23" t="n">
        <f aca="false">ABS(F627-G627)</f>
        <v>1</v>
      </c>
      <c r="I627" s="7" t="n">
        <v>25129.62</v>
      </c>
      <c r="J627" s="7" t="n">
        <v>25129.62</v>
      </c>
      <c r="K627" s="7" t="n">
        <f aca="false">I627-J627</f>
        <v>0</v>
      </c>
      <c r="L627" s="4" t="s">
        <v>3641</v>
      </c>
      <c r="M627" s="4" t="s">
        <v>3642</v>
      </c>
      <c r="N627" s="4"/>
    </row>
    <row r="628" customFormat="false" ht="15" hidden="false" customHeight="false" outlineLevel="0" collapsed="false">
      <c r="A628" s="4" t="s">
        <v>3643</v>
      </c>
      <c r="B628" s="4" t="s">
        <v>539</v>
      </c>
      <c r="C628" s="22" t="n">
        <v>0.995</v>
      </c>
      <c r="D628" s="16" t="s">
        <v>3644</v>
      </c>
      <c r="E628" s="16" t="s">
        <v>3645</v>
      </c>
      <c r="F628" s="6" t="n">
        <v>46280</v>
      </c>
      <c r="G628" s="6" t="n">
        <v>46279</v>
      </c>
      <c r="H628" s="23" t="n">
        <f aca="false">ABS(F628-G628)</f>
        <v>1</v>
      </c>
      <c r="I628" s="7" t="n">
        <v>9050.4</v>
      </c>
      <c r="J628" s="7" t="n">
        <v>9050.4</v>
      </c>
      <c r="K628" s="7" t="n">
        <f aca="false">I628-J628</f>
        <v>0</v>
      </c>
      <c r="L628" s="4" t="s">
        <v>3646</v>
      </c>
      <c r="M628" s="4" t="s">
        <v>3647</v>
      </c>
      <c r="N628" s="4"/>
    </row>
    <row r="629" customFormat="false" ht="15" hidden="false" customHeight="false" outlineLevel="0" collapsed="false">
      <c r="A629" s="4" t="s">
        <v>3648</v>
      </c>
      <c r="B629" s="4" t="s">
        <v>539</v>
      </c>
      <c r="C629" s="22" t="n">
        <v>0.995</v>
      </c>
      <c r="D629" s="16" t="s">
        <v>3649</v>
      </c>
      <c r="E629" s="16" t="s">
        <v>3650</v>
      </c>
      <c r="F629" s="6" t="n">
        <v>46280</v>
      </c>
      <c r="G629" s="6" t="n">
        <v>46279</v>
      </c>
      <c r="H629" s="23" t="n">
        <f aca="false">ABS(F629-G629)</f>
        <v>1</v>
      </c>
      <c r="I629" s="7" t="n">
        <v>30488.93</v>
      </c>
      <c r="J629" s="7" t="n">
        <v>30488.93</v>
      </c>
      <c r="K629" s="7" t="n">
        <f aca="false">I629-J629</f>
        <v>0</v>
      </c>
      <c r="L629" s="4" t="s">
        <v>3651</v>
      </c>
      <c r="M629" s="4" t="s">
        <v>3652</v>
      </c>
      <c r="N629" s="4"/>
    </row>
    <row r="630" customFormat="false" ht="15" hidden="false" customHeight="false" outlineLevel="0" collapsed="false">
      <c r="A630" s="4" t="s">
        <v>3653</v>
      </c>
      <c r="B630" s="4" t="s">
        <v>539</v>
      </c>
      <c r="C630" s="22" t="n">
        <v>0.995</v>
      </c>
      <c r="D630" s="16" t="s">
        <v>3654</v>
      </c>
      <c r="E630" s="16" t="s">
        <v>3655</v>
      </c>
      <c r="F630" s="6" t="n">
        <v>46280</v>
      </c>
      <c r="G630" s="6" t="n">
        <v>46279</v>
      </c>
      <c r="H630" s="23" t="n">
        <f aca="false">ABS(F630-G630)</f>
        <v>1</v>
      </c>
      <c r="I630" s="7" t="n">
        <v>-15950.2</v>
      </c>
      <c r="J630" s="7" t="n">
        <v>-15950.2</v>
      </c>
      <c r="K630" s="7" t="n">
        <f aca="false">I630-J630</f>
        <v>0</v>
      </c>
      <c r="L630" s="4" t="s">
        <v>3656</v>
      </c>
      <c r="M630" s="4" t="s">
        <v>3657</v>
      </c>
      <c r="N630" s="4"/>
    </row>
    <row r="631" customFormat="false" ht="15" hidden="false" customHeight="false" outlineLevel="0" collapsed="false">
      <c r="A631" s="4" t="s">
        <v>3658</v>
      </c>
      <c r="B631" s="4" t="s">
        <v>539</v>
      </c>
      <c r="C631" s="22" t="n">
        <v>0.995</v>
      </c>
      <c r="D631" s="16" t="s">
        <v>3659</v>
      </c>
      <c r="E631" s="16" t="s">
        <v>3660</v>
      </c>
      <c r="F631" s="6" t="n">
        <v>46281</v>
      </c>
      <c r="G631" s="6" t="n">
        <v>46280</v>
      </c>
      <c r="H631" s="23" t="n">
        <f aca="false">ABS(F631-G631)</f>
        <v>1</v>
      </c>
      <c r="I631" s="7" t="n">
        <v>16448.04</v>
      </c>
      <c r="J631" s="7" t="n">
        <v>16448.04</v>
      </c>
      <c r="K631" s="7" t="n">
        <f aca="false">I631-J631</f>
        <v>0</v>
      </c>
      <c r="L631" s="4" t="s">
        <v>3661</v>
      </c>
      <c r="M631" s="4" t="s">
        <v>3662</v>
      </c>
      <c r="N631" s="4"/>
    </row>
    <row r="632" customFormat="false" ht="15" hidden="false" customHeight="false" outlineLevel="0" collapsed="false">
      <c r="A632" s="4" t="s">
        <v>3663</v>
      </c>
      <c r="B632" s="4" t="s">
        <v>539</v>
      </c>
      <c r="C632" s="22" t="n">
        <v>0.995</v>
      </c>
      <c r="D632" s="16" t="s">
        <v>3664</v>
      </c>
      <c r="E632" s="16" t="s">
        <v>3665</v>
      </c>
      <c r="F632" s="6" t="n">
        <v>46281</v>
      </c>
      <c r="G632" s="6" t="n">
        <v>46280</v>
      </c>
      <c r="H632" s="23" t="n">
        <f aca="false">ABS(F632-G632)</f>
        <v>1</v>
      </c>
      <c r="I632" s="7" t="n">
        <v>-2983.42</v>
      </c>
      <c r="J632" s="7" t="n">
        <v>-2983.42</v>
      </c>
      <c r="K632" s="7" t="n">
        <f aca="false">I632-J632</f>
        <v>0</v>
      </c>
      <c r="L632" s="4" t="s">
        <v>3666</v>
      </c>
      <c r="M632" s="4" t="s">
        <v>3667</v>
      </c>
      <c r="N632" s="4"/>
    </row>
    <row r="633" customFormat="false" ht="15" hidden="false" customHeight="false" outlineLevel="0" collapsed="false">
      <c r="A633" s="4" t="s">
        <v>3668</v>
      </c>
      <c r="B633" s="4" t="s">
        <v>539</v>
      </c>
      <c r="C633" s="22" t="n">
        <v>0.995</v>
      </c>
      <c r="D633" s="16" t="s">
        <v>3669</v>
      </c>
      <c r="E633" s="16" t="s">
        <v>3670</v>
      </c>
      <c r="F633" s="6" t="n">
        <v>46282</v>
      </c>
      <c r="G633" s="6" t="n">
        <v>46281</v>
      </c>
      <c r="H633" s="23" t="n">
        <f aca="false">ABS(F633-G633)</f>
        <v>1</v>
      </c>
      <c r="I633" s="7" t="n">
        <v>71750.39</v>
      </c>
      <c r="J633" s="7" t="n">
        <v>71750.39</v>
      </c>
      <c r="K633" s="7" t="n">
        <f aca="false">I633-J633</f>
        <v>0</v>
      </c>
      <c r="L633" s="4" t="s">
        <v>3671</v>
      </c>
      <c r="M633" s="4" t="s">
        <v>3672</v>
      </c>
      <c r="N633" s="4"/>
    </row>
    <row r="634" customFormat="false" ht="15" hidden="false" customHeight="false" outlineLevel="0" collapsed="false">
      <c r="A634" s="4" t="s">
        <v>3673</v>
      </c>
      <c r="B634" s="4" t="s">
        <v>539</v>
      </c>
      <c r="C634" s="22" t="n">
        <v>0.995</v>
      </c>
      <c r="D634" s="16" t="s">
        <v>3674</v>
      </c>
      <c r="E634" s="16" t="s">
        <v>3675</v>
      </c>
      <c r="F634" s="6" t="n">
        <v>46282</v>
      </c>
      <c r="G634" s="6" t="n">
        <v>46281</v>
      </c>
      <c r="H634" s="23" t="n">
        <f aca="false">ABS(F634-G634)</f>
        <v>1</v>
      </c>
      <c r="I634" s="7" t="n">
        <v>79265.32</v>
      </c>
      <c r="J634" s="7" t="n">
        <v>79265.32</v>
      </c>
      <c r="K634" s="7" t="n">
        <f aca="false">I634-J634</f>
        <v>0</v>
      </c>
      <c r="L634" s="4" t="s">
        <v>3676</v>
      </c>
      <c r="M634" s="4" t="s">
        <v>3677</v>
      </c>
      <c r="N634" s="4"/>
    </row>
    <row r="635" customFormat="false" ht="15" hidden="false" customHeight="false" outlineLevel="0" collapsed="false">
      <c r="A635" s="4" t="s">
        <v>3678</v>
      </c>
      <c r="B635" s="4" t="s">
        <v>539</v>
      </c>
      <c r="C635" s="22" t="n">
        <v>0.995</v>
      </c>
      <c r="D635" s="16" t="s">
        <v>3679</v>
      </c>
      <c r="E635" s="16" t="s">
        <v>3680</v>
      </c>
      <c r="F635" s="6" t="n">
        <v>46283</v>
      </c>
      <c r="G635" s="6" t="n">
        <v>46282</v>
      </c>
      <c r="H635" s="23" t="n">
        <f aca="false">ABS(F635-G635)</f>
        <v>1</v>
      </c>
      <c r="I635" s="7" t="n">
        <v>86703.64</v>
      </c>
      <c r="J635" s="7" t="n">
        <v>86703.64</v>
      </c>
      <c r="K635" s="7" t="n">
        <f aca="false">I635-J635</f>
        <v>0</v>
      </c>
      <c r="L635" s="4" t="s">
        <v>3681</v>
      </c>
      <c r="M635" s="4" t="s">
        <v>3682</v>
      </c>
      <c r="N635" s="4"/>
    </row>
    <row r="636" customFormat="false" ht="15" hidden="false" customHeight="false" outlineLevel="0" collapsed="false">
      <c r="A636" s="4" t="s">
        <v>3683</v>
      </c>
      <c r="B636" s="4" t="s">
        <v>539</v>
      </c>
      <c r="C636" s="22" t="n">
        <v>0.995</v>
      </c>
      <c r="D636" s="16" t="s">
        <v>3684</v>
      </c>
      <c r="E636" s="16" t="s">
        <v>3685</v>
      </c>
      <c r="F636" s="6" t="n">
        <v>46283</v>
      </c>
      <c r="G636" s="6" t="n">
        <v>46282</v>
      </c>
      <c r="H636" s="23" t="n">
        <f aca="false">ABS(F636-G636)</f>
        <v>1</v>
      </c>
      <c r="I636" s="7" t="n">
        <v>-44764.01</v>
      </c>
      <c r="J636" s="7" t="n">
        <v>-44764.01</v>
      </c>
      <c r="K636" s="7" t="n">
        <f aca="false">I636-J636</f>
        <v>0</v>
      </c>
      <c r="L636" s="4" t="s">
        <v>3686</v>
      </c>
      <c r="M636" s="4" t="s">
        <v>3687</v>
      </c>
      <c r="N636" s="4"/>
    </row>
    <row r="637" customFormat="false" ht="15" hidden="false" customHeight="false" outlineLevel="0" collapsed="false">
      <c r="A637" s="4" t="s">
        <v>3688</v>
      </c>
      <c r="B637" s="4" t="s">
        <v>539</v>
      </c>
      <c r="C637" s="22" t="n">
        <v>0.995</v>
      </c>
      <c r="D637" s="16" t="s">
        <v>3689</v>
      </c>
      <c r="E637" s="16" t="s">
        <v>3690</v>
      </c>
      <c r="F637" s="6" t="n">
        <v>46284</v>
      </c>
      <c r="G637" s="6" t="n">
        <v>46283</v>
      </c>
      <c r="H637" s="23" t="n">
        <f aca="false">ABS(F637-G637)</f>
        <v>1</v>
      </c>
      <c r="I637" s="7" t="n">
        <v>57845.53</v>
      </c>
      <c r="J637" s="7" t="n">
        <v>57845.53</v>
      </c>
      <c r="K637" s="7" t="n">
        <f aca="false">I637-J637</f>
        <v>0</v>
      </c>
      <c r="L637" s="4" t="s">
        <v>3691</v>
      </c>
      <c r="M637" s="4" t="s">
        <v>3692</v>
      </c>
      <c r="N637" s="4"/>
    </row>
    <row r="638" customFormat="false" ht="15" hidden="false" customHeight="false" outlineLevel="0" collapsed="false">
      <c r="A638" s="4" t="s">
        <v>3693</v>
      </c>
      <c r="B638" s="4" t="s">
        <v>539</v>
      </c>
      <c r="C638" s="22" t="n">
        <v>0.995</v>
      </c>
      <c r="D638" s="16" t="s">
        <v>3694</v>
      </c>
      <c r="E638" s="16" t="s">
        <v>3695</v>
      </c>
      <c r="F638" s="6" t="n">
        <v>46284</v>
      </c>
      <c r="G638" s="6" t="n">
        <v>46283</v>
      </c>
      <c r="H638" s="23" t="n">
        <f aca="false">ABS(F638-G638)</f>
        <v>1</v>
      </c>
      <c r="I638" s="7" t="n">
        <v>23290.81</v>
      </c>
      <c r="J638" s="7" t="n">
        <v>23290.81</v>
      </c>
      <c r="K638" s="7" t="n">
        <f aca="false">I638-J638</f>
        <v>0</v>
      </c>
      <c r="L638" s="4" t="s">
        <v>3696</v>
      </c>
      <c r="M638" s="4" t="s">
        <v>3697</v>
      </c>
      <c r="N638" s="4"/>
    </row>
    <row r="639" customFormat="false" ht="15" hidden="false" customHeight="false" outlineLevel="0" collapsed="false">
      <c r="A639" s="4" t="s">
        <v>3698</v>
      </c>
      <c r="B639" s="4" t="s">
        <v>539</v>
      </c>
      <c r="C639" s="22" t="n">
        <v>0.995</v>
      </c>
      <c r="D639" s="16" t="s">
        <v>3699</v>
      </c>
      <c r="E639" s="16" t="s">
        <v>3700</v>
      </c>
      <c r="F639" s="6" t="n">
        <v>46284</v>
      </c>
      <c r="G639" s="6" t="n">
        <v>46283</v>
      </c>
      <c r="H639" s="23" t="n">
        <f aca="false">ABS(F639-G639)</f>
        <v>1</v>
      </c>
      <c r="I639" s="7" t="n">
        <v>60125.18</v>
      </c>
      <c r="J639" s="7" t="n">
        <v>60125.18</v>
      </c>
      <c r="K639" s="7" t="n">
        <f aca="false">I639-J639</f>
        <v>0</v>
      </c>
      <c r="L639" s="4" t="s">
        <v>3701</v>
      </c>
      <c r="M639" s="4" t="s">
        <v>3702</v>
      </c>
      <c r="N639" s="4"/>
    </row>
    <row r="640" customFormat="false" ht="15" hidden="false" customHeight="false" outlineLevel="0" collapsed="false">
      <c r="A640" s="4" t="s">
        <v>3703</v>
      </c>
      <c r="B640" s="4" t="s">
        <v>539</v>
      </c>
      <c r="C640" s="22" t="n">
        <v>0.995</v>
      </c>
      <c r="D640" s="16" t="s">
        <v>3704</v>
      </c>
      <c r="E640" s="16" t="s">
        <v>3705</v>
      </c>
      <c r="F640" s="6" t="n">
        <v>46284</v>
      </c>
      <c r="G640" s="6" t="n">
        <v>46283</v>
      </c>
      <c r="H640" s="23" t="n">
        <f aca="false">ABS(F640-G640)</f>
        <v>1</v>
      </c>
      <c r="I640" s="7" t="n">
        <v>-26658.64</v>
      </c>
      <c r="J640" s="7" t="n">
        <v>-26658.64</v>
      </c>
      <c r="K640" s="7" t="n">
        <f aca="false">I640-J640</f>
        <v>0</v>
      </c>
      <c r="L640" s="4" t="s">
        <v>3706</v>
      </c>
      <c r="M640" s="4" t="s">
        <v>3707</v>
      </c>
      <c r="N640" s="4"/>
    </row>
    <row r="641" customFormat="false" ht="15" hidden="false" customHeight="false" outlineLevel="0" collapsed="false">
      <c r="A641" s="4" t="s">
        <v>3708</v>
      </c>
      <c r="B641" s="4" t="s">
        <v>539</v>
      </c>
      <c r="C641" s="22" t="n">
        <v>0.995</v>
      </c>
      <c r="D641" s="16" t="s">
        <v>3709</v>
      </c>
      <c r="E641" s="16" t="s">
        <v>3710</v>
      </c>
      <c r="F641" s="6" t="n">
        <v>46284</v>
      </c>
      <c r="G641" s="6" t="n">
        <v>46283</v>
      </c>
      <c r="H641" s="23" t="n">
        <f aca="false">ABS(F641-G641)</f>
        <v>1</v>
      </c>
      <c r="I641" s="7" t="n">
        <v>-8203.69</v>
      </c>
      <c r="J641" s="7" t="n">
        <v>-8203.69</v>
      </c>
      <c r="K641" s="7" t="n">
        <f aca="false">I641-J641</f>
        <v>0</v>
      </c>
      <c r="L641" s="4" t="s">
        <v>3711</v>
      </c>
      <c r="M641" s="4" t="s">
        <v>3712</v>
      </c>
      <c r="N641" s="4"/>
    </row>
    <row r="642" customFormat="false" ht="15" hidden="false" customHeight="false" outlineLevel="0" collapsed="false">
      <c r="A642" s="4" t="s">
        <v>3713</v>
      </c>
      <c r="B642" s="4" t="s">
        <v>539</v>
      </c>
      <c r="C642" s="22" t="n">
        <v>0.995</v>
      </c>
      <c r="D642" s="16" t="s">
        <v>3714</v>
      </c>
      <c r="E642" s="16" t="s">
        <v>3715</v>
      </c>
      <c r="F642" s="6" t="n">
        <v>46285</v>
      </c>
      <c r="G642" s="6" t="n">
        <v>46284</v>
      </c>
      <c r="H642" s="23" t="n">
        <f aca="false">ABS(F642-G642)</f>
        <v>1</v>
      </c>
      <c r="I642" s="7" t="n">
        <v>77700.53</v>
      </c>
      <c r="J642" s="7" t="n">
        <v>77700.53</v>
      </c>
      <c r="K642" s="7" t="n">
        <f aca="false">I642-J642</f>
        <v>0</v>
      </c>
      <c r="L642" s="4" t="s">
        <v>3716</v>
      </c>
      <c r="M642" s="4" t="s">
        <v>3717</v>
      </c>
      <c r="N642" s="4"/>
    </row>
    <row r="643" customFormat="false" ht="15" hidden="false" customHeight="false" outlineLevel="0" collapsed="false">
      <c r="A643" s="4" t="s">
        <v>3718</v>
      </c>
      <c r="B643" s="4" t="s">
        <v>539</v>
      </c>
      <c r="C643" s="22" t="n">
        <v>0.995</v>
      </c>
      <c r="D643" s="16" t="s">
        <v>3719</v>
      </c>
      <c r="E643" s="16" t="s">
        <v>3720</v>
      </c>
      <c r="F643" s="6" t="n">
        <v>46285</v>
      </c>
      <c r="G643" s="6" t="n">
        <v>46284</v>
      </c>
      <c r="H643" s="23" t="n">
        <f aca="false">ABS(F643-G643)</f>
        <v>1</v>
      </c>
      <c r="I643" s="7" t="n">
        <v>25817.2</v>
      </c>
      <c r="J643" s="7" t="n">
        <v>25817.2</v>
      </c>
      <c r="K643" s="7" t="n">
        <f aca="false">I643-J643</f>
        <v>0</v>
      </c>
      <c r="L643" s="4" t="s">
        <v>3721</v>
      </c>
      <c r="M643" s="4" t="s">
        <v>3722</v>
      </c>
      <c r="N643" s="4"/>
    </row>
    <row r="644" customFormat="false" ht="15" hidden="false" customHeight="false" outlineLevel="0" collapsed="false">
      <c r="A644" s="4" t="s">
        <v>3723</v>
      </c>
      <c r="B644" s="4" t="s">
        <v>539</v>
      </c>
      <c r="C644" s="22" t="n">
        <v>0.995</v>
      </c>
      <c r="D644" s="16" t="s">
        <v>3724</v>
      </c>
      <c r="E644" s="16" t="s">
        <v>3725</v>
      </c>
      <c r="F644" s="6" t="n">
        <v>46285</v>
      </c>
      <c r="G644" s="6" t="n">
        <v>46284</v>
      </c>
      <c r="H644" s="23" t="n">
        <f aca="false">ABS(F644-G644)</f>
        <v>1</v>
      </c>
      <c r="I644" s="7" t="n">
        <v>29769.39</v>
      </c>
      <c r="J644" s="7" t="n">
        <v>29769.39</v>
      </c>
      <c r="K644" s="7" t="n">
        <f aca="false">I644-J644</f>
        <v>0</v>
      </c>
      <c r="L644" s="4" t="s">
        <v>3726</v>
      </c>
      <c r="M644" s="4" t="s">
        <v>3727</v>
      </c>
      <c r="N644" s="4"/>
    </row>
    <row r="645" customFormat="false" ht="15" hidden="false" customHeight="false" outlineLevel="0" collapsed="false">
      <c r="A645" s="4" t="s">
        <v>3728</v>
      </c>
      <c r="B645" s="4" t="s">
        <v>539</v>
      </c>
      <c r="C645" s="22" t="n">
        <v>0.995</v>
      </c>
      <c r="D645" s="16" t="s">
        <v>3729</v>
      </c>
      <c r="E645" s="16" t="s">
        <v>3730</v>
      </c>
      <c r="F645" s="6" t="n">
        <v>46285</v>
      </c>
      <c r="G645" s="6" t="n">
        <v>46284</v>
      </c>
      <c r="H645" s="23" t="n">
        <f aca="false">ABS(F645-G645)</f>
        <v>1</v>
      </c>
      <c r="I645" s="7" t="n">
        <v>87220.08</v>
      </c>
      <c r="J645" s="7" t="n">
        <v>87220.08</v>
      </c>
      <c r="K645" s="7" t="n">
        <f aca="false">I645-J645</f>
        <v>0</v>
      </c>
      <c r="L645" s="4" t="s">
        <v>3731</v>
      </c>
      <c r="M645" s="4" t="s">
        <v>3732</v>
      </c>
      <c r="N645" s="4"/>
    </row>
    <row r="646" customFormat="false" ht="15" hidden="false" customHeight="false" outlineLevel="0" collapsed="false">
      <c r="A646" s="4" t="s">
        <v>3733</v>
      </c>
      <c r="B646" s="4" t="s">
        <v>539</v>
      </c>
      <c r="C646" s="22" t="n">
        <v>0.995</v>
      </c>
      <c r="D646" s="16" t="s">
        <v>3734</v>
      </c>
      <c r="E646" s="16" t="s">
        <v>3735</v>
      </c>
      <c r="F646" s="6" t="n">
        <v>46285</v>
      </c>
      <c r="G646" s="6" t="n">
        <v>46284</v>
      </c>
      <c r="H646" s="23" t="n">
        <f aca="false">ABS(F646-G646)</f>
        <v>1</v>
      </c>
      <c r="I646" s="7" t="n">
        <v>-56724.56</v>
      </c>
      <c r="J646" s="7" t="n">
        <v>-56724.56</v>
      </c>
      <c r="K646" s="7" t="n">
        <f aca="false">I646-J646</f>
        <v>0</v>
      </c>
      <c r="L646" s="4" t="s">
        <v>3736</v>
      </c>
      <c r="M646" s="4" t="s">
        <v>3737</v>
      </c>
      <c r="N646" s="4"/>
    </row>
    <row r="647" customFormat="false" ht="15" hidden="false" customHeight="false" outlineLevel="0" collapsed="false">
      <c r="A647" s="4" t="s">
        <v>3738</v>
      </c>
      <c r="B647" s="4" t="s">
        <v>539</v>
      </c>
      <c r="C647" s="22" t="n">
        <v>0.995</v>
      </c>
      <c r="D647" s="16" t="s">
        <v>3739</v>
      </c>
      <c r="E647" s="16" t="s">
        <v>3740</v>
      </c>
      <c r="F647" s="6" t="n">
        <v>46286</v>
      </c>
      <c r="G647" s="6" t="n">
        <v>46285</v>
      </c>
      <c r="H647" s="23" t="n">
        <f aca="false">ABS(F647-G647)</f>
        <v>1</v>
      </c>
      <c r="I647" s="7" t="n">
        <v>6851.31</v>
      </c>
      <c r="J647" s="7" t="n">
        <v>6851.31</v>
      </c>
      <c r="K647" s="7" t="n">
        <f aca="false">I647-J647</f>
        <v>0</v>
      </c>
      <c r="L647" s="4" t="s">
        <v>3741</v>
      </c>
      <c r="M647" s="4" t="s">
        <v>3742</v>
      </c>
      <c r="N647" s="4"/>
    </row>
    <row r="648" customFormat="false" ht="15" hidden="false" customHeight="false" outlineLevel="0" collapsed="false">
      <c r="A648" s="4" t="s">
        <v>3743</v>
      </c>
      <c r="B648" s="4" t="s">
        <v>539</v>
      </c>
      <c r="C648" s="22" t="n">
        <v>0.995</v>
      </c>
      <c r="D648" s="16" t="s">
        <v>3744</v>
      </c>
      <c r="E648" s="16" t="s">
        <v>3745</v>
      </c>
      <c r="F648" s="6" t="n">
        <v>46286</v>
      </c>
      <c r="G648" s="6" t="n">
        <v>46285</v>
      </c>
      <c r="H648" s="23" t="n">
        <f aca="false">ABS(F648-G648)</f>
        <v>1</v>
      </c>
      <c r="I648" s="7" t="n">
        <v>-18999.56</v>
      </c>
      <c r="J648" s="7" t="n">
        <v>-18999.56</v>
      </c>
      <c r="K648" s="7" t="n">
        <f aca="false">I648-J648</f>
        <v>0</v>
      </c>
      <c r="L648" s="4" t="s">
        <v>3746</v>
      </c>
      <c r="M648" s="4" t="s">
        <v>3747</v>
      </c>
      <c r="N648" s="4"/>
    </row>
    <row r="649" customFormat="false" ht="15" hidden="false" customHeight="false" outlineLevel="0" collapsed="false">
      <c r="A649" s="4" t="s">
        <v>3748</v>
      </c>
      <c r="B649" s="4" t="s">
        <v>539</v>
      </c>
      <c r="C649" s="22" t="n">
        <v>0.995</v>
      </c>
      <c r="D649" s="16" t="s">
        <v>3749</v>
      </c>
      <c r="E649" s="16" t="s">
        <v>3750</v>
      </c>
      <c r="F649" s="6" t="n">
        <v>46286</v>
      </c>
      <c r="G649" s="6" t="n">
        <v>46285</v>
      </c>
      <c r="H649" s="23" t="n">
        <f aca="false">ABS(F649-G649)</f>
        <v>1</v>
      </c>
      <c r="I649" s="7" t="n">
        <v>-22077.86</v>
      </c>
      <c r="J649" s="7" t="n">
        <v>-22077.86</v>
      </c>
      <c r="K649" s="7" t="n">
        <f aca="false">I649-J649</f>
        <v>0</v>
      </c>
      <c r="L649" s="4" t="s">
        <v>3751</v>
      </c>
      <c r="M649" s="4" t="s">
        <v>3752</v>
      </c>
      <c r="N649" s="4"/>
    </row>
    <row r="650" customFormat="false" ht="15" hidden="false" customHeight="false" outlineLevel="0" collapsed="false">
      <c r="A650" s="4" t="s">
        <v>3753</v>
      </c>
      <c r="B650" s="4" t="s">
        <v>539</v>
      </c>
      <c r="C650" s="22" t="n">
        <v>0.995</v>
      </c>
      <c r="D650" s="16" t="s">
        <v>3754</v>
      </c>
      <c r="E650" s="16" t="s">
        <v>3755</v>
      </c>
      <c r="F650" s="6" t="n">
        <v>46287</v>
      </c>
      <c r="G650" s="6" t="n">
        <v>46286</v>
      </c>
      <c r="H650" s="23" t="n">
        <f aca="false">ABS(F650-G650)</f>
        <v>1</v>
      </c>
      <c r="I650" s="7" t="n">
        <v>87632.65</v>
      </c>
      <c r="J650" s="7" t="n">
        <v>87632.65</v>
      </c>
      <c r="K650" s="7" t="n">
        <f aca="false">I650-J650</f>
        <v>0</v>
      </c>
      <c r="L650" s="4" t="s">
        <v>3756</v>
      </c>
      <c r="M650" s="4" t="s">
        <v>3757</v>
      </c>
      <c r="N650" s="4"/>
    </row>
    <row r="651" customFormat="false" ht="15" hidden="false" customHeight="false" outlineLevel="0" collapsed="false">
      <c r="A651" s="4" t="s">
        <v>3758</v>
      </c>
      <c r="B651" s="4" t="s">
        <v>539</v>
      </c>
      <c r="C651" s="22" t="n">
        <v>0.995</v>
      </c>
      <c r="D651" s="16" t="s">
        <v>3759</v>
      </c>
      <c r="E651" s="16" t="s">
        <v>3760</v>
      </c>
      <c r="F651" s="6" t="n">
        <v>46287</v>
      </c>
      <c r="G651" s="6" t="n">
        <v>46286</v>
      </c>
      <c r="H651" s="23" t="n">
        <f aca="false">ABS(F651-G651)</f>
        <v>1</v>
      </c>
      <c r="I651" s="7" t="n">
        <v>48844.54</v>
      </c>
      <c r="J651" s="7" t="n">
        <v>48844.54</v>
      </c>
      <c r="K651" s="7" t="n">
        <f aca="false">I651-J651</f>
        <v>0</v>
      </c>
      <c r="L651" s="4" t="s">
        <v>3761</v>
      </c>
      <c r="M651" s="4" t="s">
        <v>3762</v>
      </c>
      <c r="N651" s="4"/>
    </row>
    <row r="652" customFormat="false" ht="15" hidden="false" customHeight="false" outlineLevel="0" collapsed="false">
      <c r="A652" s="4" t="s">
        <v>3763</v>
      </c>
      <c r="B652" s="4" t="s">
        <v>539</v>
      </c>
      <c r="C652" s="22" t="n">
        <v>0.995</v>
      </c>
      <c r="D652" s="16" t="s">
        <v>3764</v>
      </c>
      <c r="E652" s="16" t="s">
        <v>3765</v>
      </c>
      <c r="F652" s="6" t="n">
        <v>46287</v>
      </c>
      <c r="G652" s="6" t="n">
        <v>46286</v>
      </c>
      <c r="H652" s="23" t="n">
        <f aca="false">ABS(F652-G652)</f>
        <v>1</v>
      </c>
      <c r="I652" s="7" t="n">
        <v>53742.4</v>
      </c>
      <c r="J652" s="7" t="n">
        <v>53742.4</v>
      </c>
      <c r="K652" s="7" t="n">
        <f aca="false">I652-J652</f>
        <v>0</v>
      </c>
      <c r="L652" s="4" t="s">
        <v>3766</v>
      </c>
      <c r="M652" s="4" t="s">
        <v>3767</v>
      </c>
      <c r="N652" s="4"/>
    </row>
    <row r="653" customFormat="false" ht="15" hidden="false" customHeight="false" outlineLevel="0" collapsed="false">
      <c r="A653" s="4" t="s">
        <v>3768</v>
      </c>
      <c r="B653" s="4" t="s">
        <v>539</v>
      </c>
      <c r="C653" s="22" t="n">
        <v>0.995</v>
      </c>
      <c r="D653" s="16" t="s">
        <v>3769</v>
      </c>
      <c r="E653" s="16" t="s">
        <v>3770</v>
      </c>
      <c r="F653" s="6" t="n">
        <v>46287</v>
      </c>
      <c r="G653" s="6" t="n">
        <v>46286</v>
      </c>
      <c r="H653" s="23" t="n">
        <f aca="false">ABS(F653-G653)</f>
        <v>1</v>
      </c>
      <c r="I653" s="7" t="n">
        <v>68283.96</v>
      </c>
      <c r="J653" s="7" t="n">
        <v>68283.96</v>
      </c>
      <c r="K653" s="7" t="n">
        <f aca="false">I653-J653</f>
        <v>0</v>
      </c>
      <c r="L653" s="4" t="s">
        <v>3771</v>
      </c>
      <c r="M653" s="4" t="s">
        <v>3772</v>
      </c>
      <c r="N653" s="4"/>
    </row>
    <row r="654" customFormat="false" ht="15" hidden="false" customHeight="false" outlineLevel="0" collapsed="false">
      <c r="A654" s="4" t="s">
        <v>3773</v>
      </c>
      <c r="B654" s="4" t="s">
        <v>539</v>
      </c>
      <c r="C654" s="22" t="n">
        <v>0.995</v>
      </c>
      <c r="D654" s="16" t="s">
        <v>3774</v>
      </c>
      <c r="E654" s="16" t="s">
        <v>3775</v>
      </c>
      <c r="F654" s="6" t="n">
        <v>46289</v>
      </c>
      <c r="G654" s="6" t="n">
        <v>46288</v>
      </c>
      <c r="H654" s="23" t="n">
        <f aca="false">ABS(F654-G654)</f>
        <v>1</v>
      </c>
      <c r="I654" s="7" t="n">
        <v>62809.75</v>
      </c>
      <c r="J654" s="7" t="n">
        <v>62809.75</v>
      </c>
      <c r="K654" s="7" t="n">
        <f aca="false">I654-J654</f>
        <v>0</v>
      </c>
      <c r="L654" s="4" t="s">
        <v>3776</v>
      </c>
      <c r="M654" s="4" t="s">
        <v>3777</v>
      </c>
      <c r="N654" s="4"/>
    </row>
    <row r="655" customFormat="false" ht="15" hidden="false" customHeight="false" outlineLevel="0" collapsed="false">
      <c r="A655" s="4" t="s">
        <v>3778</v>
      </c>
      <c r="B655" s="4" t="s">
        <v>539</v>
      </c>
      <c r="C655" s="22" t="n">
        <v>0.995</v>
      </c>
      <c r="D655" s="16" t="s">
        <v>3779</v>
      </c>
      <c r="E655" s="16" t="s">
        <v>3780</v>
      </c>
      <c r="F655" s="6" t="n">
        <v>46289</v>
      </c>
      <c r="G655" s="6" t="n">
        <v>46288</v>
      </c>
      <c r="H655" s="23" t="n">
        <f aca="false">ABS(F655-G655)</f>
        <v>1</v>
      </c>
      <c r="I655" s="7" t="n">
        <v>7748.81</v>
      </c>
      <c r="J655" s="7" t="n">
        <v>7748.81</v>
      </c>
      <c r="K655" s="7" t="n">
        <f aca="false">I655-J655</f>
        <v>0</v>
      </c>
      <c r="L655" s="4" t="s">
        <v>3781</v>
      </c>
      <c r="M655" s="4" t="s">
        <v>3782</v>
      </c>
      <c r="N655" s="4"/>
    </row>
    <row r="656" customFormat="false" ht="15" hidden="false" customHeight="false" outlineLevel="0" collapsed="false">
      <c r="A656" s="4" t="s">
        <v>3783</v>
      </c>
      <c r="B656" s="4" t="s">
        <v>539</v>
      </c>
      <c r="C656" s="22" t="n">
        <v>0.995</v>
      </c>
      <c r="D656" s="16" t="s">
        <v>3784</v>
      </c>
      <c r="E656" s="16" t="s">
        <v>3785</v>
      </c>
      <c r="F656" s="6" t="n">
        <v>46289</v>
      </c>
      <c r="G656" s="6" t="n">
        <v>46288</v>
      </c>
      <c r="H656" s="23" t="n">
        <f aca="false">ABS(F656-G656)</f>
        <v>1</v>
      </c>
      <c r="I656" s="7" t="n">
        <v>61631.71</v>
      </c>
      <c r="J656" s="7" t="n">
        <v>61631.71</v>
      </c>
      <c r="K656" s="7" t="n">
        <f aca="false">I656-J656</f>
        <v>0</v>
      </c>
      <c r="L656" s="4" t="s">
        <v>3786</v>
      </c>
      <c r="M656" s="4" t="s">
        <v>3787</v>
      </c>
      <c r="N656" s="4"/>
    </row>
    <row r="657" customFormat="false" ht="15" hidden="false" customHeight="false" outlineLevel="0" collapsed="false">
      <c r="A657" s="4" t="s">
        <v>3788</v>
      </c>
      <c r="B657" s="4" t="s">
        <v>539</v>
      </c>
      <c r="C657" s="22" t="n">
        <v>0.995</v>
      </c>
      <c r="D657" s="16" t="s">
        <v>3789</v>
      </c>
      <c r="E657" s="16" t="s">
        <v>3790</v>
      </c>
      <c r="F657" s="6" t="n">
        <v>46289</v>
      </c>
      <c r="G657" s="6" t="n">
        <v>46288</v>
      </c>
      <c r="H657" s="23" t="n">
        <f aca="false">ABS(F657-G657)</f>
        <v>1</v>
      </c>
      <c r="I657" s="7" t="n">
        <v>-29582.19</v>
      </c>
      <c r="J657" s="7" t="n">
        <v>-29582.19</v>
      </c>
      <c r="K657" s="7" t="n">
        <f aca="false">I657-J657</f>
        <v>0</v>
      </c>
      <c r="L657" s="4" t="s">
        <v>3791</v>
      </c>
      <c r="M657" s="4" t="s">
        <v>3792</v>
      </c>
      <c r="N657" s="4"/>
    </row>
    <row r="658" customFormat="false" ht="15" hidden="false" customHeight="false" outlineLevel="0" collapsed="false">
      <c r="A658" s="4" t="s">
        <v>3793</v>
      </c>
      <c r="B658" s="4" t="s">
        <v>539</v>
      </c>
      <c r="C658" s="22" t="n">
        <v>0.995</v>
      </c>
      <c r="D658" s="16" t="s">
        <v>3794</v>
      </c>
      <c r="E658" s="16" t="s">
        <v>3795</v>
      </c>
      <c r="F658" s="6" t="n">
        <v>46290</v>
      </c>
      <c r="G658" s="6" t="n">
        <v>46289</v>
      </c>
      <c r="H658" s="23" t="n">
        <f aca="false">ABS(F658-G658)</f>
        <v>1</v>
      </c>
      <c r="I658" s="7" t="n">
        <v>-38037.03</v>
      </c>
      <c r="J658" s="7" t="n">
        <v>-38037.03</v>
      </c>
      <c r="K658" s="7" t="n">
        <f aca="false">I658-J658</f>
        <v>0</v>
      </c>
      <c r="L658" s="4" t="s">
        <v>3796</v>
      </c>
      <c r="M658" s="4" t="s">
        <v>3797</v>
      </c>
      <c r="N658" s="4"/>
    </row>
    <row r="659" customFormat="false" ht="15" hidden="false" customHeight="false" outlineLevel="0" collapsed="false">
      <c r="A659" s="4" t="s">
        <v>3798</v>
      </c>
      <c r="B659" s="4" t="s">
        <v>539</v>
      </c>
      <c r="C659" s="22" t="n">
        <v>0.995</v>
      </c>
      <c r="D659" s="16" t="s">
        <v>3799</v>
      </c>
      <c r="E659" s="16" t="s">
        <v>3800</v>
      </c>
      <c r="F659" s="6" t="n">
        <v>46290</v>
      </c>
      <c r="G659" s="6" t="n">
        <v>46289</v>
      </c>
      <c r="H659" s="23" t="n">
        <f aca="false">ABS(F659-G659)</f>
        <v>1</v>
      </c>
      <c r="I659" s="7" t="n">
        <v>-47940.36</v>
      </c>
      <c r="J659" s="7" t="n">
        <v>-47940.36</v>
      </c>
      <c r="K659" s="7" t="n">
        <f aca="false">I659-J659</f>
        <v>0</v>
      </c>
      <c r="L659" s="4" t="s">
        <v>3801</v>
      </c>
      <c r="M659" s="4" t="s">
        <v>3802</v>
      </c>
      <c r="N659" s="4"/>
    </row>
    <row r="660" customFormat="false" ht="15" hidden="false" customHeight="false" outlineLevel="0" collapsed="false">
      <c r="A660" s="4" t="s">
        <v>3803</v>
      </c>
      <c r="B660" s="4" t="s">
        <v>539</v>
      </c>
      <c r="C660" s="22" t="n">
        <v>0.99</v>
      </c>
      <c r="D660" s="16" t="s">
        <v>3804</v>
      </c>
      <c r="E660" s="16" t="s">
        <v>3805</v>
      </c>
      <c r="F660" s="6" t="n">
        <v>46206</v>
      </c>
      <c r="G660" s="6" t="n">
        <v>46204</v>
      </c>
      <c r="H660" s="23" t="n">
        <f aca="false">ABS(F660-G660)</f>
        <v>2</v>
      </c>
      <c r="I660" s="7" t="n">
        <v>15893.2</v>
      </c>
      <c r="J660" s="7" t="n">
        <v>15893.2</v>
      </c>
      <c r="K660" s="7" t="n">
        <f aca="false">I660-J660</f>
        <v>0</v>
      </c>
      <c r="L660" s="4" t="s">
        <v>3806</v>
      </c>
      <c r="M660" s="4" t="s">
        <v>3807</v>
      </c>
      <c r="N660" s="4"/>
    </row>
    <row r="661" customFormat="false" ht="15" hidden="false" customHeight="false" outlineLevel="0" collapsed="false">
      <c r="A661" s="4" t="s">
        <v>3808</v>
      </c>
      <c r="B661" s="4" t="s">
        <v>539</v>
      </c>
      <c r="C661" s="22" t="n">
        <v>0.99</v>
      </c>
      <c r="D661" s="16" t="s">
        <v>3809</v>
      </c>
      <c r="E661" s="16" t="s">
        <v>3810</v>
      </c>
      <c r="F661" s="6" t="n">
        <v>46206</v>
      </c>
      <c r="G661" s="6" t="n">
        <v>46204</v>
      </c>
      <c r="H661" s="23" t="n">
        <f aca="false">ABS(F661-G661)</f>
        <v>2</v>
      </c>
      <c r="I661" s="7" t="n">
        <v>-24979.35</v>
      </c>
      <c r="J661" s="7" t="n">
        <v>-24979.35</v>
      </c>
      <c r="K661" s="7" t="n">
        <f aca="false">I661-J661</f>
        <v>0</v>
      </c>
      <c r="L661" s="4" t="s">
        <v>3811</v>
      </c>
      <c r="M661" s="4" t="s">
        <v>3812</v>
      </c>
      <c r="N661" s="4"/>
    </row>
    <row r="662" customFormat="false" ht="15" hidden="false" customHeight="false" outlineLevel="0" collapsed="false">
      <c r="A662" s="4" t="s">
        <v>3813</v>
      </c>
      <c r="B662" s="4" t="s">
        <v>539</v>
      </c>
      <c r="C662" s="22" t="n">
        <v>0.99</v>
      </c>
      <c r="D662" s="16" t="s">
        <v>3814</v>
      </c>
      <c r="E662" s="16" t="s">
        <v>3815</v>
      </c>
      <c r="F662" s="6" t="n">
        <v>46207</v>
      </c>
      <c r="G662" s="6" t="n">
        <v>46205</v>
      </c>
      <c r="H662" s="23" t="n">
        <f aca="false">ABS(F662-G662)</f>
        <v>2</v>
      </c>
      <c r="I662" s="7" t="n">
        <v>58297.6</v>
      </c>
      <c r="J662" s="7" t="n">
        <v>58297.6</v>
      </c>
      <c r="K662" s="7" t="n">
        <f aca="false">I662-J662</f>
        <v>0</v>
      </c>
      <c r="L662" s="4" t="s">
        <v>3816</v>
      </c>
      <c r="M662" s="4" t="s">
        <v>3817</v>
      </c>
      <c r="N662" s="4"/>
    </row>
    <row r="663" customFormat="false" ht="15" hidden="false" customHeight="false" outlineLevel="0" collapsed="false">
      <c r="A663" s="4" t="s">
        <v>3818</v>
      </c>
      <c r="B663" s="4" t="s">
        <v>539</v>
      </c>
      <c r="C663" s="22" t="n">
        <v>0.99</v>
      </c>
      <c r="D663" s="16" t="s">
        <v>3819</v>
      </c>
      <c r="E663" s="16" t="s">
        <v>3820</v>
      </c>
      <c r="F663" s="6" t="n">
        <v>46208</v>
      </c>
      <c r="G663" s="6" t="n">
        <v>46206</v>
      </c>
      <c r="H663" s="23" t="n">
        <f aca="false">ABS(F663-G663)</f>
        <v>2</v>
      </c>
      <c r="I663" s="7" t="n">
        <v>55300.11</v>
      </c>
      <c r="J663" s="7" t="n">
        <v>55300.11</v>
      </c>
      <c r="K663" s="7" t="n">
        <f aca="false">I663-J663</f>
        <v>0</v>
      </c>
      <c r="L663" s="4" t="s">
        <v>3821</v>
      </c>
      <c r="M663" s="4" t="s">
        <v>3822</v>
      </c>
      <c r="N663" s="4"/>
    </row>
    <row r="664" customFormat="false" ht="15" hidden="false" customHeight="false" outlineLevel="0" collapsed="false">
      <c r="A664" s="4" t="s">
        <v>3823</v>
      </c>
      <c r="B664" s="4" t="s">
        <v>539</v>
      </c>
      <c r="C664" s="22" t="n">
        <v>0.99</v>
      </c>
      <c r="D664" s="16" t="s">
        <v>3824</v>
      </c>
      <c r="E664" s="16" t="s">
        <v>3825</v>
      </c>
      <c r="F664" s="6" t="n">
        <v>46208</v>
      </c>
      <c r="G664" s="6" t="n">
        <v>46206</v>
      </c>
      <c r="H664" s="23" t="n">
        <f aca="false">ABS(F664-G664)</f>
        <v>2</v>
      </c>
      <c r="I664" s="7" t="n">
        <v>-2327.04</v>
      </c>
      <c r="J664" s="7" t="n">
        <v>-2327.04</v>
      </c>
      <c r="K664" s="7" t="n">
        <f aca="false">I664-J664</f>
        <v>0</v>
      </c>
      <c r="L664" s="4" t="s">
        <v>3826</v>
      </c>
      <c r="M664" s="4" t="s">
        <v>3827</v>
      </c>
      <c r="N664" s="4"/>
    </row>
    <row r="665" customFormat="false" ht="15" hidden="false" customHeight="false" outlineLevel="0" collapsed="false">
      <c r="A665" s="4" t="s">
        <v>3828</v>
      </c>
      <c r="B665" s="4" t="s">
        <v>539</v>
      </c>
      <c r="C665" s="22" t="n">
        <v>0.99</v>
      </c>
      <c r="D665" s="16" t="s">
        <v>3829</v>
      </c>
      <c r="E665" s="16" t="s">
        <v>3830</v>
      </c>
      <c r="F665" s="6" t="n">
        <v>46209</v>
      </c>
      <c r="G665" s="6" t="n">
        <v>46207</v>
      </c>
      <c r="H665" s="23" t="n">
        <f aca="false">ABS(F665-G665)</f>
        <v>2</v>
      </c>
      <c r="I665" s="7" t="n">
        <v>52971.86</v>
      </c>
      <c r="J665" s="7" t="n">
        <v>52971.86</v>
      </c>
      <c r="K665" s="7" t="n">
        <f aca="false">I665-J665</f>
        <v>0</v>
      </c>
      <c r="L665" s="4" t="s">
        <v>3831</v>
      </c>
      <c r="M665" s="4" t="s">
        <v>3832</v>
      </c>
      <c r="N665" s="4"/>
    </row>
    <row r="666" customFormat="false" ht="15" hidden="false" customHeight="false" outlineLevel="0" collapsed="false">
      <c r="A666" s="4" t="s">
        <v>3833</v>
      </c>
      <c r="B666" s="4" t="s">
        <v>539</v>
      </c>
      <c r="C666" s="22" t="n">
        <v>0.99</v>
      </c>
      <c r="D666" s="16" t="s">
        <v>3834</v>
      </c>
      <c r="E666" s="16" t="s">
        <v>3835</v>
      </c>
      <c r="F666" s="6" t="n">
        <v>46210</v>
      </c>
      <c r="G666" s="6" t="n">
        <v>46208</v>
      </c>
      <c r="H666" s="23" t="n">
        <f aca="false">ABS(F666-G666)</f>
        <v>2</v>
      </c>
      <c r="I666" s="7" t="n">
        <v>77182.34</v>
      </c>
      <c r="J666" s="7" t="n">
        <v>77182.34</v>
      </c>
      <c r="K666" s="7" t="n">
        <f aca="false">I666-J666</f>
        <v>0</v>
      </c>
      <c r="L666" s="4" t="s">
        <v>3836</v>
      </c>
      <c r="M666" s="4" t="s">
        <v>3837</v>
      </c>
      <c r="N666" s="4"/>
    </row>
    <row r="667" customFormat="false" ht="15" hidden="false" customHeight="false" outlineLevel="0" collapsed="false">
      <c r="A667" s="4" t="s">
        <v>3838</v>
      </c>
      <c r="B667" s="4" t="s">
        <v>539</v>
      </c>
      <c r="C667" s="22" t="n">
        <v>0.99</v>
      </c>
      <c r="D667" s="16" t="s">
        <v>3839</v>
      </c>
      <c r="E667" s="16" t="s">
        <v>3840</v>
      </c>
      <c r="F667" s="6" t="n">
        <v>46210</v>
      </c>
      <c r="G667" s="6" t="n">
        <v>46208</v>
      </c>
      <c r="H667" s="23" t="n">
        <f aca="false">ABS(F667-G667)</f>
        <v>2</v>
      </c>
      <c r="I667" s="7" t="n">
        <v>-16889.14</v>
      </c>
      <c r="J667" s="7" t="n">
        <v>-16889.14</v>
      </c>
      <c r="K667" s="7" t="n">
        <f aca="false">I667-J667</f>
        <v>0</v>
      </c>
      <c r="L667" s="4" t="s">
        <v>3841</v>
      </c>
      <c r="M667" s="4" t="s">
        <v>3842</v>
      </c>
      <c r="N667" s="4"/>
    </row>
    <row r="668" customFormat="false" ht="15" hidden="false" customHeight="false" outlineLevel="0" collapsed="false">
      <c r="A668" s="4" t="s">
        <v>3843</v>
      </c>
      <c r="B668" s="4" t="s">
        <v>539</v>
      </c>
      <c r="C668" s="22" t="n">
        <v>0.99</v>
      </c>
      <c r="D668" s="16" t="s">
        <v>3844</v>
      </c>
      <c r="E668" s="16" t="s">
        <v>3845</v>
      </c>
      <c r="F668" s="6" t="n">
        <v>46210</v>
      </c>
      <c r="G668" s="6" t="n">
        <v>46208</v>
      </c>
      <c r="H668" s="23" t="n">
        <f aca="false">ABS(F668-G668)</f>
        <v>2</v>
      </c>
      <c r="I668" s="7" t="n">
        <v>-49491.51</v>
      </c>
      <c r="J668" s="7" t="n">
        <v>-49491.51</v>
      </c>
      <c r="K668" s="7" t="n">
        <f aca="false">I668-J668</f>
        <v>0</v>
      </c>
      <c r="L668" s="4" t="s">
        <v>3846</v>
      </c>
      <c r="M668" s="4" t="s">
        <v>3847</v>
      </c>
      <c r="N668" s="4"/>
    </row>
    <row r="669" customFormat="false" ht="15" hidden="false" customHeight="false" outlineLevel="0" collapsed="false">
      <c r="A669" s="4" t="s">
        <v>3848</v>
      </c>
      <c r="B669" s="4" t="s">
        <v>539</v>
      </c>
      <c r="C669" s="22" t="n">
        <v>0.99</v>
      </c>
      <c r="D669" s="16" t="s">
        <v>3849</v>
      </c>
      <c r="E669" s="16" t="s">
        <v>3850</v>
      </c>
      <c r="F669" s="6" t="n">
        <v>46212</v>
      </c>
      <c r="G669" s="6" t="n">
        <v>46210</v>
      </c>
      <c r="H669" s="23" t="n">
        <f aca="false">ABS(F669-G669)</f>
        <v>2</v>
      </c>
      <c r="I669" s="7" t="n">
        <v>-24559.21</v>
      </c>
      <c r="J669" s="7" t="n">
        <v>-24559.21</v>
      </c>
      <c r="K669" s="7" t="n">
        <f aca="false">I669-J669</f>
        <v>0</v>
      </c>
      <c r="L669" s="4" t="s">
        <v>3851</v>
      </c>
      <c r="M669" s="4" t="s">
        <v>3852</v>
      </c>
      <c r="N669" s="4"/>
    </row>
    <row r="670" customFormat="false" ht="15" hidden="false" customHeight="false" outlineLevel="0" collapsed="false">
      <c r="A670" s="4" t="s">
        <v>3853</v>
      </c>
      <c r="B670" s="4" t="s">
        <v>539</v>
      </c>
      <c r="C670" s="22" t="n">
        <v>0.99</v>
      </c>
      <c r="D670" s="16" t="s">
        <v>3854</v>
      </c>
      <c r="E670" s="16" t="s">
        <v>3855</v>
      </c>
      <c r="F670" s="6" t="n">
        <v>46213</v>
      </c>
      <c r="G670" s="6" t="n">
        <v>46211</v>
      </c>
      <c r="H670" s="23" t="n">
        <f aca="false">ABS(F670-G670)</f>
        <v>2</v>
      </c>
      <c r="I670" s="7" t="n">
        <v>86756.43</v>
      </c>
      <c r="J670" s="7" t="n">
        <v>86756.43</v>
      </c>
      <c r="K670" s="7" t="n">
        <f aca="false">I670-J670</f>
        <v>0</v>
      </c>
      <c r="L670" s="4" t="s">
        <v>3856</v>
      </c>
      <c r="M670" s="4" t="s">
        <v>3857</v>
      </c>
      <c r="N670" s="4"/>
    </row>
    <row r="671" customFormat="false" ht="15" hidden="false" customHeight="false" outlineLevel="0" collapsed="false">
      <c r="A671" s="4" t="s">
        <v>3858</v>
      </c>
      <c r="B671" s="4" t="s">
        <v>539</v>
      </c>
      <c r="C671" s="22" t="n">
        <v>0.99</v>
      </c>
      <c r="D671" s="16" t="s">
        <v>3859</v>
      </c>
      <c r="E671" s="16" t="s">
        <v>3860</v>
      </c>
      <c r="F671" s="6" t="n">
        <v>46214</v>
      </c>
      <c r="G671" s="6" t="n">
        <v>46212</v>
      </c>
      <c r="H671" s="23" t="n">
        <f aca="false">ABS(F671-G671)</f>
        <v>2</v>
      </c>
      <c r="I671" s="7" t="n">
        <v>3304.92</v>
      </c>
      <c r="J671" s="7" t="n">
        <v>3304.92</v>
      </c>
      <c r="K671" s="7" t="n">
        <f aca="false">I671-J671</f>
        <v>0</v>
      </c>
      <c r="L671" s="4" t="s">
        <v>3861</v>
      </c>
      <c r="M671" s="4" t="s">
        <v>3862</v>
      </c>
      <c r="N671" s="4"/>
    </row>
    <row r="672" customFormat="false" ht="15" hidden="false" customHeight="false" outlineLevel="0" collapsed="false">
      <c r="A672" s="4" t="s">
        <v>3863</v>
      </c>
      <c r="B672" s="4" t="s">
        <v>539</v>
      </c>
      <c r="C672" s="22" t="n">
        <v>0.99</v>
      </c>
      <c r="D672" s="16" t="s">
        <v>3864</v>
      </c>
      <c r="E672" s="16" t="s">
        <v>3865</v>
      </c>
      <c r="F672" s="6" t="n">
        <v>46214</v>
      </c>
      <c r="G672" s="6" t="n">
        <v>46212</v>
      </c>
      <c r="H672" s="23" t="n">
        <f aca="false">ABS(F672-G672)</f>
        <v>2</v>
      </c>
      <c r="I672" s="7" t="n">
        <v>86712.61</v>
      </c>
      <c r="J672" s="7" t="n">
        <v>86712.61</v>
      </c>
      <c r="K672" s="7" t="n">
        <f aca="false">I672-J672</f>
        <v>0</v>
      </c>
      <c r="L672" s="4" t="s">
        <v>3866</v>
      </c>
      <c r="M672" s="4" t="s">
        <v>3867</v>
      </c>
      <c r="N672" s="4"/>
    </row>
    <row r="673" customFormat="false" ht="15" hidden="false" customHeight="false" outlineLevel="0" collapsed="false">
      <c r="A673" s="4" t="s">
        <v>3868</v>
      </c>
      <c r="B673" s="4" t="s">
        <v>539</v>
      </c>
      <c r="C673" s="22" t="n">
        <v>0.99</v>
      </c>
      <c r="D673" s="16" t="s">
        <v>3869</v>
      </c>
      <c r="E673" s="16" t="s">
        <v>3870</v>
      </c>
      <c r="F673" s="6" t="n">
        <v>46215</v>
      </c>
      <c r="G673" s="6" t="n">
        <v>46213</v>
      </c>
      <c r="H673" s="23" t="n">
        <f aca="false">ABS(F673-G673)</f>
        <v>2</v>
      </c>
      <c r="I673" s="7" t="n">
        <v>91505.76</v>
      </c>
      <c r="J673" s="7" t="n">
        <v>91505.76</v>
      </c>
      <c r="K673" s="7" t="n">
        <f aca="false">I673-J673</f>
        <v>0</v>
      </c>
      <c r="L673" s="4" t="s">
        <v>3871</v>
      </c>
      <c r="M673" s="4" t="s">
        <v>3872</v>
      </c>
      <c r="N673" s="4"/>
    </row>
    <row r="674" customFormat="false" ht="15" hidden="false" customHeight="false" outlineLevel="0" collapsed="false">
      <c r="A674" s="4" t="s">
        <v>3873</v>
      </c>
      <c r="B674" s="4" t="s">
        <v>539</v>
      </c>
      <c r="C674" s="22" t="n">
        <v>0.99</v>
      </c>
      <c r="D674" s="16" t="s">
        <v>3874</v>
      </c>
      <c r="E674" s="16" t="s">
        <v>3875</v>
      </c>
      <c r="F674" s="6" t="n">
        <v>46216</v>
      </c>
      <c r="G674" s="6" t="n">
        <v>46214</v>
      </c>
      <c r="H674" s="23" t="n">
        <f aca="false">ABS(F674-G674)</f>
        <v>2</v>
      </c>
      <c r="I674" s="7" t="n">
        <v>60929.63</v>
      </c>
      <c r="J674" s="7" t="n">
        <v>60929.63</v>
      </c>
      <c r="K674" s="7" t="n">
        <f aca="false">I674-J674</f>
        <v>0</v>
      </c>
      <c r="L674" s="4" t="s">
        <v>3876</v>
      </c>
      <c r="M674" s="4" t="s">
        <v>3877</v>
      </c>
      <c r="N674" s="4"/>
    </row>
    <row r="675" customFormat="false" ht="15" hidden="false" customHeight="false" outlineLevel="0" collapsed="false">
      <c r="A675" s="4" t="s">
        <v>3878</v>
      </c>
      <c r="B675" s="4" t="s">
        <v>539</v>
      </c>
      <c r="C675" s="22" t="n">
        <v>0.99</v>
      </c>
      <c r="D675" s="16" t="s">
        <v>3879</v>
      </c>
      <c r="E675" s="16" t="s">
        <v>3880</v>
      </c>
      <c r="F675" s="6" t="n">
        <v>46216</v>
      </c>
      <c r="G675" s="6" t="n">
        <v>46214</v>
      </c>
      <c r="H675" s="23" t="n">
        <f aca="false">ABS(F675-G675)</f>
        <v>2</v>
      </c>
      <c r="I675" s="7" t="n">
        <v>74966.87</v>
      </c>
      <c r="J675" s="7" t="n">
        <v>74966.87</v>
      </c>
      <c r="K675" s="7" t="n">
        <f aca="false">I675-J675</f>
        <v>0</v>
      </c>
      <c r="L675" s="4" t="s">
        <v>142</v>
      </c>
      <c r="M675" s="4" t="s">
        <v>3881</v>
      </c>
      <c r="N675" s="4"/>
    </row>
    <row r="676" customFormat="false" ht="15" hidden="false" customHeight="false" outlineLevel="0" collapsed="false">
      <c r="A676" s="4" t="s">
        <v>3882</v>
      </c>
      <c r="B676" s="4" t="s">
        <v>539</v>
      </c>
      <c r="C676" s="22" t="n">
        <v>0.99</v>
      </c>
      <c r="D676" s="16" t="s">
        <v>3883</v>
      </c>
      <c r="E676" s="16" t="s">
        <v>3884</v>
      </c>
      <c r="F676" s="6" t="n">
        <v>46217</v>
      </c>
      <c r="G676" s="6" t="n">
        <v>46215</v>
      </c>
      <c r="H676" s="23" t="n">
        <f aca="false">ABS(F676-G676)</f>
        <v>2</v>
      </c>
      <c r="I676" s="7" t="n">
        <v>58969.78</v>
      </c>
      <c r="J676" s="7" t="n">
        <v>58969.78</v>
      </c>
      <c r="K676" s="7" t="n">
        <f aca="false">I676-J676</f>
        <v>0</v>
      </c>
      <c r="L676" s="4" t="s">
        <v>3885</v>
      </c>
      <c r="M676" s="4" t="s">
        <v>3886</v>
      </c>
      <c r="N676" s="4"/>
    </row>
    <row r="677" customFormat="false" ht="15" hidden="false" customHeight="false" outlineLevel="0" collapsed="false">
      <c r="A677" s="4" t="s">
        <v>3887</v>
      </c>
      <c r="B677" s="4" t="s">
        <v>539</v>
      </c>
      <c r="C677" s="22" t="n">
        <v>0.99</v>
      </c>
      <c r="D677" s="16" t="s">
        <v>3888</v>
      </c>
      <c r="E677" s="16" t="s">
        <v>3889</v>
      </c>
      <c r="F677" s="6" t="n">
        <v>46217</v>
      </c>
      <c r="G677" s="6" t="n">
        <v>46215</v>
      </c>
      <c r="H677" s="23" t="n">
        <f aca="false">ABS(F677-G677)</f>
        <v>2</v>
      </c>
      <c r="I677" s="7" t="n">
        <v>24455.13</v>
      </c>
      <c r="J677" s="7" t="n">
        <v>24455.13</v>
      </c>
      <c r="K677" s="7" t="n">
        <f aca="false">I677-J677</f>
        <v>0</v>
      </c>
      <c r="L677" s="4" t="s">
        <v>3890</v>
      </c>
      <c r="M677" s="4" t="s">
        <v>3891</v>
      </c>
      <c r="N677" s="4"/>
    </row>
    <row r="678" customFormat="false" ht="15" hidden="false" customHeight="false" outlineLevel="0" collapsed="false">
      <c r="A678" s="4" t="s">
        <v>3892</v>
      </c>
      <c r="B678" s="4" t="s">
        <v>539</v>
      </c>
      <c r="C678" s="22" t="n">
        <v>0.99</v>
      </c>
      <c r="D678" s="16" t="s">
        <v>3893</v>
      </c>
      <c r="E678" s="16" t="s">
        <v>3894</v>
      </c>
      <c r="F678" s="6" t="n">
        <v>46217</v>
      </c>
      <c r="G678" s="6" t="n">
        <v>46215</v>
      </c>
      <c r="H678" s="23" t="n">
        <f aca="false">ABS(F678-G678)</f>
        <v>2</v>
      </c>
      <c r="I678" s="7" t="n">
        <v>28218.3</v>
      </c>
      <c r="J678" s="7" t="n">
        <v>28218.3</v>
      </c>
      <c r="K678" s="7" t="n">
        <f aca="false">I678-J678</f>
        <v>0</v>
      </c>
      <c r="L678" s="4" t="s">
        <v>3895</v>
      </c>
      <c r="M678" s="4" t="s">
        <v>3896</v>
      </c>
      <c r="N678" s="4"/>
    </row>
    <row r="679" customFormat="false" ht="15" hidden="false" customHeight="false" outlineLevel="0" collapsed="false">
      <c r="A679" s="4" t="s">
        <v>3897</v>
      </c>
      <c r="B679" s="4" t="s">
        <v>539</v>
      </c>
      <c r="C679" s="22" t="n">
        <v>0.99</v>
      </c>
      <c r="D679" s="16" t="s">
        <v>3898</v>
      </c>
      <c r="E679" s="16" t="s">
        <v>3899</v>
      </c>
      <c r="F679" s="6" t="n">
        <v>46217</v>
      </c>
      <c r="G679" s="6" t="n">
        <v>46215</v>
      </c>
      <c r="H679" s="23" t="n">
        <f aca="false">ABS(F679-G679)</f>
        <v>2</v>
      </c>
      <c r="I679" s="7" t="n">
        <v>-17229.36</v>
      </c>
      <c r="J679" s="7" t="n">
        <v>-17229.36</v>
      </c>
      <c r="K679" s="7" t="n">
        <f aca="false">I679-J679</f>
        <v>0</v>
      </c>
      <c r="L679" s="4" t="s">
        <v>3900</v>
      </c>
      <c r="M679" s="4" t="s">
        <v>3901</v>
      </c>
      <c r="N679" s="4"/>
    </row>
    <row r="680" customFormat="false" ht="15" hidden="false" customHeight="false" outlineLevel="0" collapsed="false">
      <c r="A680" s="4" t="s">
        <v>3902</v>
      </c>
      <c r="B680" s="4" t="s">
        <v>539</v>
      </c>
      <c r="C680" s="22" t="n">
        <v>0.99</v>
      </c>
      <c r="D680" s="16" t="s">
        <v>3903</v>
      </c>
      <c r="E680" s="16" t="s">
        <v>3904</v>
      </c>
      <c r="F680" s="6" t="n">
        <v>46217</v>
      </c>
      <c r="G680" s="6" t="n">
        <v>46215</v>
      </c>
      <c r="H680" s="23" t="n">
        <f aca="false">ABS(F680-G680)</f>
        <v>2</v>
      </c>
      <c r="I680" s="7" t="n">
        <v>-8988.15</v>
      </c>
      <c r="J680" s="7" t="n">
        <v>-8988.15</v>
      </c>
      <c r="K680" s="7" t="n">
        <f aca="false">I680-J680</f>
        <v>0</v>
      </c>
      <c r="L680" s="4" t="s">
        <v>3905</v>
      </c>
      <c r="M680" s="4" t="s">
        <v>3906</v>
      </c>
      <c r="N680" s="4"/>
    </row>
    <row r="681" customFormat="false" ht="15" hidden="false" customHeight="false" outlineLevel="0" collapsed="false">
      <c r="A681" s="4" t="s">
        <v>3907</v>
      </c>
      <c r="B681" s="4" t="s">
        <v>539</v>
      </c>
      <c r="C681" s="22" t="n">
        <v>0.99</v>
      </c>
      <c r="D681" s="16" t="s">
        <v>3908</v>
      </c>
      <c r="E681" s="16" t="s">
        <v>3909</v>
      </c>
      <c r="F681" s="6" t="n">
        <v>46218</v>
      </c>
      <c r="G681" s="6" t="n">
        <v>46216</v>
      </c>
      <c r="H681" s="23" t="n">
        <f aca="false">ABS(F681-G681)</f>
        <v>2</v>
      </c>
      <c r="I681" s="7" t="n">
        <v>28476.37</v>
      </c>
      <c r="J681" s="7" t="n">
        <v>28476.37</v>
      </c>
      <c r="K681" s="7" t="n">
        <f aca="false">I681-J681</f>
        <v>0</v>
      </c>
      <c r="L681" s="4" t="s">
        <v>3910</v>
      </c>
      <c r="M681" s="4" t="s">
        <v>3911</v>
      </c>
      <c r="N681" s="4"/>
    </row>
    <row r="682" customFormat="false" ht="15" hidden="false" customHeight="false" outlineLevel="0" collapsed="false">
      <c r="A682" s="4" t="s">
        <v>3912</v>
      </c>
      <c r="B682" s="4" t="s">
        <v>539</v>
      </c>
      <c r="C682" s="22" t="n">
        <v>0.99</v>
      </c>
      <c r="D682" s="16" t="s">
        <v>3913</v>
      </c>
      <c r="E682" s="16" t="s">
        <v>3914</v>
      </c>
      <c r="F682" s="6" t="n">
        <v>46219</v>
      </c>
      <c r="G682" s="6" t="n">
        <v>46217</v>
      </c>
      <c r="H682" s="23" t="n">
        <f aca="false">ABS(F682-G682)</f>
        <v>2</v>
      </c>
      <c r="I682" s="7" t="n">
        <v>4063.01</v>
      </c>
      <c r="J682" s="7" t="n">
        <v>4063.01</v>
      </c>
      <c r="K682" s="7" t="n">
        <f aca="false">I682-J682</f>
        <v>0</v>
      </c>
      <c r="L682" s="4" t="s">
        <v>3915</v>
      </c>
      <c r="M682" s="4" t="s">
        <v>3916</v>
      </c>
      <c r="N682" s="4"/>
    </row>
    <row r="683" customFormat="false" ht="15" hidden="false" customHeight="false" outlineLevel="0" collapsed="false">
      <c r="A683" s="4" t="s">
        <v>3917</v>
      </c>
      <c r="B683" s="4" t="s">
        <v>539</v>
      </c>
      <c r="C683" s="22" t="n">
        <v>0.99</v>
      </c>
      <c r="D683" s="16" t="s">
        <v>3918</v>
      </c>
      <c r="E683" s="16" t="s">
        <v>3919</v>
      </c>
      <c r="F683" s="6" t="n">
        <v>46219</v>
      </c>
      <c r="G683" s="6" t="n">
        <v>46217</v>
      </c>
      <c r="H683" s="23" t="n">
        <f aca="false">ABS(F683-G683)</f>
        <v>2</v>
      </c>
      <c r="I683" s="7" t="n">
        <v>-15463.17</v>
      </c>
      <c r="J683" s="7" t="n">
        <v>-15463.17</v>
      </c>
      <c r="K683" s="7" t="n">
        <f aca="false">I683-J683</f>
        <v>0</v>
      </c>
      <c r="L683" s="4" t="s">
        <v>3920</v>
      </c>
      <c r="M683" s="4" t="s">
        <v>3921</v>
      </c>
      <c r="N683" s="4"/>
    </row>
    <row r="684" customFormat="false" ht="15" hidden="false" customHeight="false" outlineLevel="0" collapsed="false">
      <c r="A684" s="4" t="s">
        <v>3922</v>
      </c>
      <c r="B684" s="4" t="s">
        <v>539</v>
      </c>
      <c r="C684" s="22" t="n">
        <v>0.99</v>
      </c>
      <c r="D684" s="16" t="s">
        <v>3923</v>
      </c>
      <c r="E684" s="16" t="s">
        <v>3924</v>
      </c>
      <c r="F684" s="6" t="n">
        <v>46220</v>
      </c>
      <c r="G684" s="6" t="n">
        <v>46218</v>
      </c>
      <c r="H684" s="23" t="n">
        <f aca="false">ABS(F684-G684)</f>
        <v>2</v>
      </c>
      <c r="I684" s="7" t="n">
        <v>75207.98</v>
      </c>
      <c r="J684" s="7" t="n">
        <v>75207.98</v>
      </c>
      <c r="K684" s="7" t="n">
        <f aca="false">I684-J684</f>
        <v>0</v>
      </c>
      <c r="L684" s="4" t="s">
        <v>3925</v>
      </c>
      <c r="M684" s="4" t="s">
        <v>3926</v>
      </c>
      <c r="N684" s="4"/>
    </row>
    <row r="685" customFormat="false" ht="15" hidden="false" customHeight="false" outlineLevel="0" collapsed="false">
      <c r="A685" s="4" t="s">
        <v>3927</v>
      </c>
      <c r="B685" s="4" t="s">
        <v>539</v>
      </c>
      <c r="C685" s="22" t="n">
        <v>0.99</v>
      </c>
      <c r="D685" s="16" t="s">
        <v>3928</v>
      </c>
      <c r="E685" s="16" t="s">
        <v>3929</v>
      </c>
      <c r="F685" s="6" t="n">
        <v>46220</v>
      </c>
      <c r="G685" s="6" t="n">
        <v>46218</v>
      </c>
      <c r="H685" s="23" t="n">
        <f aca="false">ABS(F685-G685)</f>
        <v>2</v>
      </c>
      <c r="I685" s="7" t="n">
        <v>-33911.27</v>
      </c>
      <c r="J685" s="7" t="n">
        <v>-33911.27</v>
      </c>
      <c r="K685" s="7" t="n">
        <f aca="false">I685-J685</f>
        <v>0</v>
      </c>
      <c r="L685" s="4" t="s">
        <v>3930</v>
      </c>
      <c r="M685" s="4" t="s">
        <v>3931</v>
      </c>
      <c r="N685" s="4"/>
    </row>
    <row r="686" customFormat="false" ht="15" hidden="false" customHeight="false" outlineLevel="0" collapsed="false">
      <c r="A686" s="4" t="s">
        <v>3932</v>
      </c>
      <c r="B686" s="4" t="s">
        <v>539</v>
      </c>
      <c r="C686" s="22" t="n">
        <v>0.99</v>
      </c>
      <c r="D686" s="16" t="s">
        <v>3933</v>
      </c>
      <c r="E686" s="16" t="s">
        <v>3934</v>
      </c>
      <c r="F686" s="6" t="n">
        <v>46221</v>
      </c>
      <c r="G686" s="6" t="n">
        <v>46219</v>
      </c>
      <c r="H686" s="23" t="n">
        <f aca="false">ABS(F686-G686)</f>
        <v>2</v>
      </c>
      <c r="I686" s="7" t="n">
        <v>93176.09</v>
      </c>
      <c r="J686" s="7" t="n">
        <v>93176.09</v>
      </c>
      <c r="K686" s="7" t="n">
        <f aca="false">I686-J686</f>
        <v>0</v>
      </c>
      <c r="L686" s="4" t="s">
        <v>3935</v>
      </c>
      <c r="M686" s="4" t="s">
        <v>3936</v>
      </c>
      <c r="N686" s="4"/>
    </row>
    <row r="687" customFormat="false" ht="15" hidden="false" customHeight="false" outlineLevel="0" collapsed="false">
      <c r="A687" s="4" t="s">
        <v>3937</v>
      </c>
      <c r="B687" s="4" t="s">
        <v>539</v>
      </c>
      <c r="C687" s="22" t="n">
        <v>0.99</v>
      </c>
      <c r="D687" s="16" t="s">
        <v>3938</v>
      </c>
      <c r="E687" s="16" t="s">
        <v>3939</v>
      </c>
      <c r="F687" s="6" t="n">
        <v>46221</v>
      </c>
      <c r="G687" s="6" t="n">
        <v>46219</v>
      </c>
      <c r="H687" s="23" t="n">
        <f aca="false">ABS(F687-G687)</f>
        <v>2</v>
      </c>
      <c r="I687" s="7" t="n">
        <v>59957.31</v>
      </c>
      <c r="J687" s="7" t="n">
        <v>59957.31</v>
      </c>
      <c r="K687" s="7" t="n">
        <f aca="false">I687-J687</f>
        <v>0</v>
      </c>
      <c r="L687" s="4" t="s">
        <v>3940</v>
      </c>
      <c r="M687" s="4" t="s">
        <v>3941</v>
      </c>
      <c r="N687" s="4"/>
    </row>
    <row r="688" customFormat="false" ht="15" hidden="false" customHeight="false" outlineLevel="0" collapsed="false">
      <c r="A688" s="4" t="s">
        <v>3942</v>
      </c>
      <c r="B688" s="4" t="s">
        <v>539</v>
      </c>
      <c r="C688" s="22" t="n">
        <v>0.99</v>
      </c>
      <c r="D688" s="16" t="s">
        <v>3943</v>
      </c>
      <c r="E688" s="16" t="s">
        <v>3944</v>
      </c>
      <c r="F688" s="6" t="n">
        <v>46221</v>
      </c>
      <c r="G688" s="6" t="n">
        <v>46219</v>
      </c>
      <c r="H688" s="23" t="n">
        <f aca="false">ABS(F688-G688)</f>
        <v>2</v>
      </c>
      <c r="I688" s="7" t="n">
        <v>45903.2</v>
      </c>
      <c r="J688" s="7" t="n">
        <v>45903.2</v>
      </c>
      <c r="K688" s="7" t="n">
        <f aca="false">I688-J688</f>
        <v>0</v>
      </c>
      <c r="L688" s="4" t="s">
        <v>3945</v>
      </c>
      <c r="M688" s="4" t="s">
        <v>3946</v>
      </c>
      <c r="N688" s="4"/>
    </row>
    <row r="689" customFormat="false" ht="15" hidden="false" customHeight="false" outlineLevel="0" collapsed="false">
      <c r="A689" s="4" t="s">
        <v>3947</v>
      </c>
      <c r="B689" s="4" t="s">
        <v>539</v>
      </c>
      <c r="C689" s="22" t="n">
        <v>0.99</v>
      </c>
      <c r="D689" s="16" t="s">
        <v>3948</v>
      </c>
      <c r="E689" s="16" t="s">
        <v>3949</v>
      </c>
      <c r="F689" s="6" t="n">
        <v>46221</v>
      </c>
      <c r="G689" s="6" t="n">
        <v>46219</v>
      </c>
      <c r="H689" s="23" t="n">
        <f aca="false">ABS(F689-G689)</f>
        <v>2</v>
      </c>
      <c r="I689" s="7" t="n">
        <v>41656.85</v>
      </c>
      <c r="J689" s="7" t="n">
        <v>41656.85</v>
      </c>
      <c r="K689" s="7" t="n">
        <f aca="false">I689-J689</f>
        <v>0</v>
      </c>
      <c r="L689" s="4" t="s">
        <v>3950</v>
      </c>
      <c r="M689" s="4" t="s">
        <v>3951</v>
      </c>
      <c r="N689" s="4"/>
    </row>
    <row r="690" customFormat="false" ht="15" hidden="false" customHeight="false" outlineLevel="0" collapsed="false">
      <c r="A690" s="4" t="s">
        <v>3952</v>
      </c>
      <c r="B690" s="4" t="s">
        <v>539</v>
      </c>
      <c r="C690" s="22" t="n">
        <v>0.99</v>
      </c>
      <c r="D690" s="16" t="s">
        <v>3953</v>
      </c>
      <c r="E690" s="16" t="s">
        <v>3954</v>
      </c>
      <c r="F690" s="6" t="n">
        <v>46222</v>
      </c>
      <c r="G690" s="6" t="n">
        <v>46220</v>
      </c>
      <c r="H690" s="23" t="n">
        <f aca="false">ABS(F690-G690)</f>
        <v>2</v>
      </c>
      <c r="I690" s="7" t="n">
        <v>32312.27</v>
      </c>
      <c r="J690" s="7" t="n">
        <v>32312.27</v>
      </c>
      <c r="K690" s="7" t="n">
        <f aca="false">I690-J690</f>
        <v>0</v>
      </c>
      <c r="L690" s="4" t="s">
        <v>3955</v>
      </c>
      <c r="M690" s="4" t="s">
        <v>3956</v>
      </c>
      <c r="N690" s="4"/>
    </row>
    <row r="691" customFormat="false" ht="15" hidden="false" customHeight="false" outlineLevel="0" collapsed="false">
      <c r="A691" s="4" t="s">
        <v>3957</v>
      </c>
      <c r="B691" s="4" t="s">
        <v>539</v>
      </c>
      <c r="C691" s="22" t="n">
        <v>0.99</v>
      </c>
      <c r="D691" s="16" t="s">
        <v>3958</v>
      </c>
      <c r="E691" s="16" t="s">
        <v>3959</v>
      </c>
      <c r="F691" s="6" t="n">
        <v>46222</v>
      </c>
      <c r="G691" s="6" t="n">
        <v>46220</v>
      </c>
      <c r="H691" s="23" t="n">
        <f aca="false">ABS(F691-G691)</f>
        <v>2</v>
      </c>
      <c r="I691" s="7" t="n">
        <v>68612.65</v>
      </c>
      <c r="J691" s="7" t="n">
        <v>68612.65</v>
      </c>
      <c r="K691" s="7" t="n">
        <f aca="false">I691-J691</f>
        <v>0</v>
      </c>
      <c r="L691" s="4" t="s">
        <v>3960</v>
      </c>
      <c r="M691" s="4" t="s">
        <v>3961</v>
      </c>
      <c r="N691" s="4"/>
    </row>
    <row r="692" customFormat="false" ht="15" hidden="false" customHeight="false" outlineLevel="0" collapsed="false">
      <c r="A692" s="4" t="s">
        <v>3962</v>
      </c>
      <c r="B692" s="4" t="s">
        <v>539</v>
      </c>
      <c r="C692" s="22" t="n">
        <v>0.99</v>
      </c>
      <c r="D692" s="16" t="s">
        <v>3963</v>
      </c>
      <c r="E692" s="16" t="s">
        <v>3964</v>
      </c>
      <c r="F692" s="6" t="n">
        <v>46222</v>
      </c>
      <c r="G692" s="6" t="n">
        <v>46220</v>
      </c>
      <c r="H692" s="23" t="n">
        <f aca="false">ABS(F692-G692)</f>
        <v>2</v>
      </c>
      <c r="I692" s="7" t="n">
        <v>-53023.98</v>
      </c>
      <c r="J692" s="7" t="n">
        <v>-53023.98</v>
      </c>
      <c r="K692" s="7" t="n">
        <f aca="false">I692-J692</f>
        <v>0</v>
      </c>
      <c r="L692" s="4" t="s">
        <v>3965</v>
      </c>
      <c r="M692" s="4" t="s">
        <v>3966</v>
      </c>
      <c r="N692" s="4"/>
    </row>
    <row r="693" customFormat="false" ht="15" hidden="false" customHeight="false" outlineLevel="0" collapsed="false">
      <c r="A693" s="4" t="s">
        <v>3967</v>
      </c>
      <c r="B693" s="4" t="s">
        <v>539</v>
      </c>
      <c r="C693" s="22" t="n">
        <v>0.99</v>
      </c>
      <c r="D693" s="16" t="s">
        <v>3968</v>
      </c>
      <c r="E693" s="16" t="s">
        <v>3969</v>
      </c>
      <c r="F693" s="6" t="n">
        <v>46222</v>
      </c>
      <c r="G693" s="6" t="n">
        <v>46220</v>
      </c>
      <c r="H693" s="23" t="n">
        <f aca="false">ABS(F693-G693)</f>
        <v>2</v>
      </c>
      <c r="I693" s="7" t="n">
        <v>-56485.93</v>
      </c>
      <c r="J693" s="7" t="n">
        <v>-56485.93</v>
      </c>
      <c r="K693" s="7" t="n">
        <f aca="false">I693-J693</f>
        <v>0</v>
      </c>
      <c r="L693" s="4" t="s">
        <v>3970</v>
      </c>
      <c r="M693" s="4" t="s">
        <v>3971</v>
      </c>
      <c r="N693" s="4"/>
    </row>
    <row r="694" customFormat="false" ht="15" hidden="false" customHeight="false" outlineLevel="0" collapsed="false">
      <c r="A694" s="4" t="s">
        <v>3972</v>
      </c>
      <c r="B694" s="4" t="s">
        <v>539</v>
      </c>
      <c r="C694" s="22" t="n">
        <v>0.99</v>
      </c>
      <c r="D694" s="16" t="s">
        <v>3973</v>
      </c>
      <c r="E694" s="16" t="s">
        <v>3974</v>
      </c>
      <c r="F694" s="6" t="n">
        <v>46222</v>
      </c>
      <c r="G694" s="6" t="n">
        <v>46220</v>
      </c>
      <c r="H694" s="23" t="n">
        <f aca="false">ABS(F694-G694)</f>
        <v>2</v>
      </c>
      <c r="I694" s="7" t="n">
        <v>-9417.89</v>
      </c>
      <c r="J694" s="7" t="n">
        <v>-9417.89</v>
      </c>
      <c r="K694" s="7" t="n">
        <f aca="false">I694-J694</f>
        <v>0</v>
      </c>
      <c r="L694" s="4" t="s">
        <v>3975</v>
      </c>
      <c r="M694" s="4" t="s">
        <v>3976</v>
      </c>
      <c r="N694" s="4"/>
    </row>
    <row r="695" customFormat="false" ht="15" hidden="false" customHeight="false" outlineLevel="0" collapsed="false">
      <c r="A695" s="4" t="s">
        <v>3977</v>
      </c>
      <c r="B695" s="4" t="s">
        <v>539</v>
      </c>
      <c r="C695" s="22" t="n">
        <v>0.99</v>
      </c>
      <c r="D695" s="16" t="s">
        <v>3978</v>
      </c>
      <c r="E695" s="16" t="s">
        <v>3979</v>
      </c>
      <c r="F695" s="6" t="n">
        <v>46223</v>
      </c>
      <c r="G695" s="6" t="n">
        <v>46221</v>
      </c>
      <c r="H695" s="23" t="n">
        <f aca="false">ABS(F695-G695)</f>
        <v>2</v>
      </c>
      <c r="I695" s="7" t="n">
        <v>77724.14</v>
      </c>
      <c r="J695" s="7" t="n">
        <v>77724.14</v>
      </c>
      <c r="K695" s="7" t="n">
        <f aca="false">I695-J695</f>
        <v>0</v>
      </c>
      <c r="L695" s="4" t="s">
        <v>3980</v>
      </c>
      <c r="M695" s="4" t="s">
        <v>3981</v>
      </c>
      <c r="N695" s="4"/>
    </row>
    <row r="696" customFormat="false" ht="15" hidden="false" customHeight="false" outlineLevel="0" collapsed="false">
      <c r="A696" s="4" t="s">
        <v>3982</v>
      </c>
      <c r="B696" s="4" t="s">
        <v>539</v>
      </c>
      <c r="C696" s="22" t="n">
        <v>0.99</v>
      </c>
      <c r="D696" s="16" t="s">
        <v>3983</v>
      </c>
      <c r="E696" s="16" t="s">
        <v>3984</v>
      </c>
      <c r="F696" s="6" t="n">
        <v>46223</v>
      </c>
      <c r="G696" s="6" t="n">
        <v>46221</v>
      </c>
      <c r="H696" s="23" t="n">
        <f aca="false">ABS(F696-G696)</f>
        <v>2</v>
      </c>
      <c r="I696" s="7" t="n">
        <v>19129.25</v>
      </c>
      <c r="J696" s="7" t="n">
        <v>19129.25</v>
      </c>
      <c r="K696" s="7" t="n">
        <f aca="false">I696-J696</f>
        <v>0</v>
      </c>
      <c r="L696" s="4" t="s">
        <v>3985</v>
      </c>
      <c r="M696" s="4" t="s">
        <v>3986</v>
      </c>
      <c r="N696" s="4"/>
    </row>
    <row r="697" customFormat="false" ht="15" hidden="false" customHeight="false" outlineLevel="0" collapsed="false">
      <c r="A697" s="4" t="s">
        <v>3987</v>
      </c>
      <c r="B697" s="4" t="s">
        <v>539</v>
      </c>
      <c r="C697" s="22" t="n">
        <v>0.99</v>
      </c>
      <c r="D697" s="16" t="s">
        <v>3988</v>
      </c>
      <c r="E697" s="16" t="s">
        <v>3989</v>
      </c>
      <c r="F697" s="6" t="n">
        <v>46223</v>
      </c>
      <c r="G697" s="6" t="n">
        <v>46221</v>
      </c>
      <c r="H697" s="23" t="n">
        <f aca="false">ABS(F697-G697)</f>
        <v>2</v>
      </c>
      <c r="I697" s="7" t="n">
        <v>14181.96</v>
      </c>
      <c r="J697" s="7" t="n">
        <v>14181.96</v>
      </c>
      <c r="K697" s="7" t="n">
        <f aca="false">I697-J697</f>
        <v>0</v>
      </c>
      <c r="L697" s="4" t="s">
        <v>3990</v>
      </c>
      <c r="M697" s="4" t="s">
        <v>3991</v>
      </c>
      <c r="N697" s="4"/>
    </row>
    <row r="698" customFormat="false" ht="15" hidden="false" customHeight="false" outlineLevel="0" collapsed="false">
      <c r="A698" s="4" t="s">
        <v>3992</v>
      </c>
      <c r="B698" s="4" t="s">
        <v>539</v>
      </c>
      <c r="C698" s="22" t="n">
        <v>0.99</v>
      </c>
      <c r="D698" s="16" t="s">
        <v>3993</v>
      </c>
      <c r="E698" s="16" t="s">
        <v>3994</v>
      </c>
      <c r="F698" s="6" t="n">
        <v>46223</v>
      </c>
      <c r="G698" s="6" t="n">
        <v>46221</v>
      </c>
      <c r="H698" s="23" t="n">
        <f aca="false">ABS(F698-G698)</f>
        <v>2</v>
      </c>
      <c r="I698" s="7" t="n">
        <v>-26371.11</v>
      </c>
      <c r="J698" s="7" t="n">
        <v>-26371.11</v>
      </c>
      <c r="K698" s="7" t="n">
        <f aca="false">I698-J698</f>
        <v>0</v>
      </c>
      <c r="L698" s="4" t="s">
        <v>3995</v>
      </c>
      <c r="M698" s="4" t="s">
        <v>3996</v>
      </c>
      <c r="N698" s="4"/>
    </row>
    <row r="699" customFormat="false" ht="15" hidden="false" customHeight="false" outlineLevel="0" collapsed="false">
      <c r="A699" s="4" t="s">
        <v>3997</v>
      </c>
      <c r="B699" s="4" t="s">
        <v>539</v>
      </c>
      <c r="C699" s="22" t="n">
        <v>0.99</v>
      </c>
      <c r="D699" s="16" t="s">
        <v>3998</v>
      </c>
      <c r="E699" s="16" t="s">
        <v>3999</v>
      </c>
      <c r="F699" s="6" t="n">
        <v>46224</v>
      </c>
      <c r="G699" s="6" t="n">
        <v>46222</v>
      </c>
      <c r="H699" s="23" t="n">
        <f aca="false">ABS(F699-G699)</f>
        <v>2</v>
      </c>
      <c r="I699" s="7" t="n">
        <v>82220.3</v>
      </c>
      <c r="J699" s="7" t="n">
        <v>82220.3</v>
      </c>
      <c r="K699" s="7" t="n">
        <f aca="false">I699-J699</f>
        <v>0</v>
      </c>
      <c r="L699" s="4" t="s">
        <v>4000</v>
      </c>
      <c r="M699" s="4" t="s">
        <v>4001</v>
      </c>
      <c r="N699" s="4"/>
    </row>
    <row r="700" customFormat="false" ht="15" hidden="false" customHeight="false" outlineLevel="0" collapsed="false">
      <c r="A700" s="4" t="s">
        <v>4002</v>
      </c>
      <c r="B700" s="4" t="s">
        <v>539</v>
      </c>
      <c r="C700" s="22" t="n">
        <v>0.99</v>
      </c>
      <c r="D700" s="16" t="s">
        <v>4003</v>
      </c>
      <c r="E700" s="16" t="s">
        <v>4004</v>
      </c>
      <c r="F700" s="6" t="n">
        <v>46225</v>
      </c>
      <c r="G700" s="6" t="n">
        <v>46223</v>
      </c>
      <c r="H700" s="23" t="n">
        <f aca="false">ABS(F700-G700)</f>
        <v>2</v>
      </c>
      <c r="I700" s="7" t="n">
        <v>81498.77</v>
      </c>
      <c r="J700" s="7" t="n">
        <v>81498.77</v>
      </c>
      <c r="K700" s="7" t="n">
        <f aca="false">I700-J700</f>
        <v>0</v>
      </c>
      <c r="L700" s="4" t="s">
        <v>4005</v>
      </c>
      <c r="M700" s="4" t="s">
        <v>4006</v>
      </c>
      <c r="N700" s="4"/>
    </row>
    <row r="701" customFormat="false" ht="15" hidden="false" customHeight="false" outlineLevel="0" collapsed="false">
      <c r="A701" s="4" t="s">
        <v>4007</v>
      </c>
      <c r="B701" s="4" t="s">
        <v>539</v>
      </c>
      <c r="C701" s="22" t="n">
        <v>0.99</v>
      </c>
      <c r="D701" s="16" t="s">
        <v>4008</v>
      </c>
      <c r="E701" s="16" t="s">
        <v>4009</v>
      </c>
      <c r="F701" s="6" t="n">
        <v>46226</v>
      </c>
      <c r="G701" s="6" t="n">
        <v>46224</v>
      </c>
      <c r="H701" s="23" t="n">
        <f aca="false">ABS(F701-G701)</f>
        <v>2</v>
      </c>
      <c r="I701" s="7" t="n">
        <v>35010.93</v>
      </c>
      <c r="J701" s="7" t="n">
        <v>35010.93</v>
      </c>
      <c r="K701" s="7" t="n">
        <f aca="false">I701-J701</f>
        <v>0</v>
      </c>
      <c r="L701" s="4" t="s">
        <v>4010</v>
      </c>
      <c r="M701" s="4" t="s">
        <v>4011</v>
      </c>
      <c r="N701" s="4"/>
    </row>
    <row r="702" customFormat="false" ht="15" hidden="false" customHeight="false" outlineLevel="0" collapsed="false">
      <c r="A702" s="4" t="s">
        <v>4012</v>
      </c>
      <c r="B702" s="4" t="s">
        <v>539</v>
      </c>
      <c r="C702" s="22" t="n">
        <v>0.99</v>
      </c>
      <c r="D702" s="16" t="s">
        <v>4013</v>
      </c>
      <c r="E702" s="16" t="s">
        <v>4014</v>
      </c>
      <c r="F702" s="6" t="n">
        <v>46226</v>
      </c>
      <c r="G702" s="6" t="n">
        <v>46224</v>
      </c>
      <c r="H702" s="23" t="n">
        <f aca="false">ABS(F702-G702)</f>
        <v>2</v>
      </c>
      <c r="I702" s="7" t="n">
        <v>74035.83</v>
      </c>
      <c r="J702" s="7" t="n">
        <v>74035.83</v>
      </c>
      <c r="K702" s="7" t="n">
        <f aca="false">I702-J702</f>
        <v>0</v>
      </c>
      <c r="L702" s="4" t="s">
        <v>4015</v>
      </c>
      <c r="M702" s="4" t="s">
        <v>4016</v>
      </c>
      <c r="N702" s="4"/>
    </row>
    <row r="703" customFormat="false" ht="15" hidden="false" customHeight="false" outlineLevel="0" collapsed="false">
      <c r="A703" s="4" t="s">
        <v>4017</v>
      </c>
      <c r="B703" s="4" t="s">
        <v>539</v>
      </c>
      <c r="C703" s="22" t="n">
        <v>0.99</v>
      </c>
      <c r="D703" s="16" t="s">
        <v>4018</v>
      </c>
      <c r="E703" s="16" t="s">
        <v>4019</v>
      </c>
      <c r="F703" s="6" t="n">
        <v>46226</v>
      </c>
      <c r="G703" s="6" t="n">
        <v>46224</v>
      </c>
      <c r="H703" s="23" t="n">
        <f aca="false">ABS(F703-G703)</f>
        <v>2</v>
      </c>
      <c r="I703" s="7" t="n">
        <v>-57791.65</v>
      </c>
      <c r="J703" s="7" t="n">
        <v>-57791.65</v>
      </c>
      <c r="K703" s="7" t="n">
        <f aca="false">I703-J703</f>
        <v>0</v>
      </c>
      <c r="L703" s="4" t="s">
        <v>4020</v>
      </c>
      <c r="M703" s="4" t="s">
        <v>4021</v>
      </c>
      <c r="N703" s="4"/>
    </row>
    <row r="704" customFormat="false" ht="15" hidden="false" customHeight="false" outlineLevel="0" collapsed="false">
      <c r="A704" s="4" t="s">
        <v>4022</v>
      </c>
      <c r="B704" s="4" t="s">
        <v>539</v>
      </c>
      <c r="C704" s="22" t="n">
        <v>0.99</v>
      </c>
      <c r="D704" s="16" t="s">
        <v>4023</v>
      </c>
      <c r="E704" s="16" t="s">
        <v>4024</v>
      </c>
      <c r="F704" s="6" t="n">
        <v>46226</v>
      </c>
      <c r="G704" s="6" t="n">
        <v>46224</v>
      </c>
      <c r="H704" s="23" t="n">
        <f aca="false">ABS(F704-G704)</f>
        <v>2</v>
      </c>
      <c r="I704" s="7" t="n">
        <v>-30222.04</v>
      </c>
      <c r="J704" s="7" t="n">
        <v>-30222.04</v>
      </c>
      <c r="K704" s="7" t="n">
        <f aca="false">I704-J704</f>
        <v>0</v>
      </c>
      <c r="L704" s="4" t="s">
        <v>4025</v>
      </c>
      <c r="M704" s="4" t="s">
        <v>4026</v>
      </c>
      <c r="N704" s="4"/>
    </row>
    <row r="705" customFormat="false" ht="15" hidden="false" customHeight="false" outlineLevel="0" collapsed="false">
      <c r="A705" s="4" t="s">
        <v>4027</v>
      </c>
      <c r="B705" s="4" t="s">
        <v>539</v>
      </c>
      <c r="C705" s="22" t="n">
        <v>0.99</v>
      </c>
      <c r="D705" s="16" t="s">
        <v>4028</v>
      </c>
      <c r="E705" s="16" t="s">
        <v>4029</v>
      </c>
      <c r="F705" s="6" t="n">
        <v>46227</v>
      </c>
      <c r="G705" s="6" t="n">
        <v>46225</v>
      </c>
      <c r="H705" s="23" t="n">
        <f aca="false">ABS(F705-G705)</f>
        <v>2</v>
      </c>
      <c r="I705" s="7" t="n">
        <v>75834.04</v>
      </c>
      <c r="J705" s="7" t="n">
        <v>75834.04</v>
      </c>
      <c r="K705" s="7" t="n">
        <f aca="false">I705-J705</f>
        <v>0</v>
      </c>
      <c r="L705" s="4" t="s">
        <v>4030</v>
      </c>
      <c r="M705" s="4" t="s">
        <v>4031</v>
      </c>
      <c r="N705" s="4"/>
    </row>
    <row r="706" customFormat="false" ht="15" hidden="false" customHeight="false" outlineLevel="0" collapsed="false">
      <c r="A706" s="4" t="s">
        <v>4032</v>
      </c>
      <c r="B706" s="4" t="s">
        <v>539</v>
      </c>
      <c r="C706" s="22" t="n">
        <v>0.99</v>
      </c>
      <c r="D706" s="16" t="s">
        <v>4033</v>
      </c>
      <c r="E706" s="16" t="s">
        <v>4034</v>
      </c>
      <c r="F706" s="6" t="n">
        <v>46227</v>
      </c>
      <c r="G706" s="6" t="n">
        <v>46225</v>
      </c>
      <c r="H706" s="23" t="n">
        <f aca="false">ABS(F706-G706)</f>
        <v>2</v>
      </c>
      <c r="I706" s="7" t="n">
        <v>-57834.6</v>
      </c>
      <c r="J706" s="7" t="n">
        <v>-57834.6</v>
      </c>
      <c r="K706" s="7" t="n">
        <f aca="false">I706-J706</f>
        <v>0</v>
      </c>
      <c r="L706" s="4" t="s">
        <v>4035</v>
      </c>
      <c r="M706" s="4" t="s">
        <v>4036</v>
      </c>
      <c r="N706" s="4"/>
    </row>
    <row r="707" customFormat="false" ht="15" hidden="false" customHeight="false" outlineLevel="0" collapsed="false">
      <c r="A707" s="4" t="s">
        <v>4037</v>
      </c>
      <c r="B707" s="4" t="s">
        <v>539</v>
      </c>
      <c r="C707" s="22" t="n">
        <v>0.99</v>
      </c>
      <c r="D707" s="16" t="s">
        <v>4038</v>
      </c>
      <c r="E707" s="16" t="s">
        <v>4039</v>
      </c>
      <c r="F707" s="6" t="n">
        <v>46228</v>
      </c>
      <c r="G707" s="6" t="n">
        <v>46226</v>
      </c>
      <c r="H707" s="23" t="n">
        <f aca="false">ABS(F707-G707)</f>
        <v>2</v>
      </c>
      <c r="I707" s="7" t="n">
        <v>-55883.98</v>
      </c>
      <c r="J707" s="7" t="n">
        <v>-55883.98</v>
      </c>
      <c r="K707" s="7" t="n">
        <f aca="false">I707-J707</f>
        <v>0</v>
      </c>
      <c r="L707" s="4" t="s">
        <v>4040</v>
      </c>
      <c r="M707" s="4" t="s">
        <v>4041</v>
      </c>
      <c r="N707" s="4"/>
    </row>
    <row r="708" customFormat="false" ht="15" hidden="false" customHeight="false" outlineLevel="0" collapsed="false">
      <c r="A708" s="4" t="s">
        <v>4042</v>
      </c>
      <c r="B708" s="4" t="s">
        <v>539</v>
      </c>
      <c r="C708" s="22" t="n">
        <v>0.99</v>
      </c>
      <c r="D708" s="16" t="s">
        <v>4043</v>
      </c>
      <c r="E708" s="16" t="s">
        <v>4044</v>
      </c>
      <c r="F708" s="6" t="n">
        <v>46228</v>
      </c>
      <c r="G708" s="6" t="n">
        <v>46226</v>
      </c>
      <c r="H708" s="23" t="n">
        <f aca="false">ABS(F708-G708)</f>
        <v>2</v>
      </c>
      <c r="I708" s="7" t="n">
        <v>-19495.81</v>
      </c>
      <c r="J708" s="7" t="n">
        <v>-19495.81</v>
      </c>
      <c r="K708" s="7" t="n">
        <f aca="false">I708-J708</f>
        <v>0</v>
      </c>
      <c r="L708" s="4" t="s">
        <v>4045</v>
      </c>
      <c r="M708" s="4" t="s">
        <v>4046</v>
      </c>
      <c r="N708" s="4"/>
    </row>
    <row r="709" customFormat="false" ht="15" hidden="false" customHeight="false" outlineLevel="0" collapsed="false">
      <c r="A709" s="4" t="s">
        <v>4047</v>
      </c>
      <c r="B709" s="4" t="s">
        <v>539</v>
      </c>
      <c r="C709" s="22" t="n">
        <v>0.99</v>
      </c>
      <c r="D709" s="16" t="s">
        <v>4048</v>
      </c>
      <c r="E709" s="16" t="s">
        <v>4049</v>
      </c>
      <c r="F709" s="6" t="n">
        <v>46229</v>
      </c>
      <c r="G709" s="6" t="n">
        <v>46227</v>
      </c>
      <c r="H709" s="23" t="n">
        <f aca="false">ABS(F709-G709)</f>
        <v>2</v>
      </c>
      <c r="I709" s="7" t="n">
        <v>27495.88</v>
      </c>
      <c r="J709" s="7" t="n">
        <v>27495.88</v>
      </c>
      <c r="K709" s="7" t="n">
        <f aca="false">I709-J709</f>
        <v>0</v>
      </c>
      <c r="L709" s="4" t="s">
        <v>4050</v>
      </c>
      <c r="M709" s="4" t="s">
        <v>4051</v>
      </c>
      <c r="N709" s="4"/>
    </row>
    <row r="710" customFormat="false" ht="15" hidden="false" customHeight="false" outlineLevel="0" collapsed="false">
      <c r="A710" s="4" t="s">
        <v>4052</v>
      </c>
      <c r="B710" s="4" t="s">
        <v>539</v>
      </c>
      <c r="C710" s="22" t="n">
        <v>0.99</v>
      </c>
      <c r="D710" s="16" t="s">
        <v>4053</v>
      </c>
      <c r="E710" s="16" t="s">
        <v>4054</v>
      </c>
      <c r="F710" s="6" t="n">
        <v>46230</v>
      </c>
      <c r="G710" s="6" t="n">
        <v>46228</v>
      </c>
      <c r="H710" s="23" t="n">
        <f aca="false">ABS(F710-G710)</f>
        <v>2</v>
      </c>
      <c r="I710" s="7" t="n">
        <v>46446.09</v>
      </c>
      <c r="J710" s="7" t="n">
        <v>46446.09</v>
      </c>
      <c r="K710" s="7" t="n">
        <f aca="false">I710-J710</f>
        <v>0</v>
      </c>
      <c r="L710" s="4" t="s">
        <v>4055</v>
      </c>
      <c r="M710" s="4" t="s">
        <v>4056</v>
      </c>
      <c r="N710" s="4"/>
    </row>
    <row r="711" customFormat="false" ht="15" hidden="false" customHeight="false" outlineLevel="0" collapsed="false">
      <c r="A711" s="4" t="s">
        <v>4057</v>
      </c>
      <c r="B711" s="4" t="s">
        <v>539</v>
      </c>
      <c r="C711" s="22" t="n">
        <v>0.99</v>
      </c>
      <c r="D711" s="16" t="s">
        <v>4058</v>
      </c>
      <c r="E711" s="16" t="s">
        <v>4059</v>
      </c>
      <c r="F711" s="6" t="n">
        <v>46230</v>
      </c>
      <c r="G711" s="6" t="n">
        <v>46228</v>
      </c>
      <c r="H711" s="23" t="n">
        <f aca="false">ABS(F711-G711)</f>
        <v>2</v>
      </c>
      <c r="I711" s="7" t="n">
        <v>60816.91</v>
      </c>
      <c r="J711" s="7" t="n">
        <v>60816.91</v>
      </c>
      <c r="K711" s="7" t="n">
        <f aca="false">I711-J711</f>
        <v>0</v>
      </c>
      <c r="L711" s="4" t="s">
        <v>4060</v>
      </c>
      <c r="M711" s="4" t="s">
        <v>4061</v>
      </c>
      <c r="N711" s="4"/>
    </row>
    <row r="712" customFormat="false" ht="15" hidden="false" customHeight="false" outlineLevel="0" collapsed="false">
      <c r="A712" s="4" t="s">
        <v>4062</v>
      </c>
      <c r="B712" s="4" t="s">
        <v>539</v>
      </c>
      <c r="C712" s="22" t="n">
        <v>0.99</v>
      </c>
      <c r="D712" s="16" t="s">
        <v>4063</v>
      </c>
      <c r="E712" s="16" t="s">
        <v>4064</v>
      </c>
      <c r="F712" s="6" t="n">
        <v>46231</v>
      </c>
      <c r="G712" s="6" t="n">
        <v>46229</v>
      </c>
      <c r="H712" s="23" t="n">
        <f aca="false">ABS(F712-G712)</f>
        <v>2</v>
      </c>
      <c r="I712" s="7" t="n">
        <v>23045.1</v>
      </c>
      <c r="J712" s="7" t="n">
        <v>23045.1</v>
      </c>
      <c r="K712" s="7" t="n">
        <f aca="false">I712-J712</f>
        <v>0</v>
      </c>
      <c r="L712" s="4" t="s">
        <v>4065</v>
      </c>
      <c r="M712" s="4" t="s">
        <v>4066</v>
      </c>
      <c r="N712" s="4"/>
    </row>
    <row r="713" customFormat="false" ht="15" hidden="false" customHeight="false" outlineLevel="0" collapsed="false">
      <c r="A713" s="4" t="s">
        <v>4067</v>
      </c>
      <c r="B713" s="4" t="s">
        <v>539</v>
      </c>
      <c r="C713" s="22" t="n">
        <v>0.99</v>
      </c>
      <c r="D713" s="16" t="s">
        <v>4068</v>
      </c>
      <c r="E713" s="16" t="s">
        <v>4069</v>
      </c>
      <c r="F713" s="6" t="n">
        <v>46231</v>
      </c>
      <c r="G713" s="6" t="n">
        <v>46229</v>
      </c>
      <c r="H713" s="23" t="n">
        <f aca="false">ABS(F713-G713)</f>
        <v>2</v>
      </c>
      <c r="I713" s="7" t="n">
        <v>32840.22</v>
      </c>
      <c r="J713" s="7" t="n">
        <v>32840.22</v>
      </c>
      <c r="K713" s="7" t="n">
        <f aca="false">I713-J713</f>
        <v>0</v>
      </c>
      <c r="L713" s="4" t="s">
        <v>4070</v>
      </c>
      <c r="M713" s="4" t="s">
        <v>4071</v>
      </c>
      <c r="N713" s="4"/>
    </row>
    <row r="714" customFormat="false" ht="15" hidden="false" customHeight="false" outlineLevel="0" collapsed="false">
      <c r="A714" s="4" t="s">
        <v>4072</v>
      </c>
      <c r="B714" s="4" t="s">
        <v>539</v>
      </c>
      <c r="C714" s="22" t="n">
        <v>0.99</v>
      </c>
      <c r="D714" s="16" t="s">
        <v>4073</v>
      </c>
      <c r="E714" s="16" t="s">
        <v>4074</v>
      </c>
      <c r="F714" s="6" t="n">
        <v>46231</v>
      </c>
      <c r="G714" s="6" t="n">
        <v>46229</v>
      </c>
      <c r="H714" s="23" t="n">
        <f aca="false">ABS(F714-G714)</f>
        <v>2</v>
      </c>
      <c r="I714" s="7" t="n">
        <v>35425.79</v>
      </c>
      <c r="J714" s="7" t="n">
        <v>35425.79</v>
      </c>
      <c r="K714" s="7" t="n">
        <f aca="false">I714-J714</f>
        <v>0</v>
      </c>
      <c r="L714" s="4" t="s">
        <v>4075</v>
      </c>
      <c r="M714" s="4" t="s">
        <v>4076</v>
      </c>
      <c r="N714" s="4"/>
    </row>
    <row r="715" customFormat="false" ht="15" hidden="false" customHeight="false" outlineLevel="0" collapsed="false">
      <c r="A715" s="4" t="s">
        <v>4077</v>
      </c>
      <c r="B715" s="4" t="s">
        <v>539</v>
      </c>
      <c r="C715" s="22" t="n">
        <v>0.99</v>
      </c>
      <c r="D715" s="16" t="s">
        <v>4078</v>
      </c>
      <c r="E715" s="16" t="s">
        <v>4079</v>
      </c>
      <c r="F715" s="6" t="n">
        <v>46232</v>
      </c>
      <c r="G715" s="6" t="n">
        <v>46230</v>
      </c>
      <c r="H715" s="23" t="n">
        <f aca="false">ABS(F715-G715)</f>
        <v>2</v>
      </c>
      <c r="I715" s="7" t="n">
        <v>9469.03</v>
      </c>
      <c r="J715" s="7" t="n">
        <v>9469.03</v>
      </c>
      <c r="K715" s="7" t="n">
        <f aca="false">I715-J715</f>
        <v>0</v>
      </c>
      <c r="L715" s="4" t="s">
        <v>4080</v>
      </c>
      <c r="M715" s="4" t="s">
        <v>4081</v>
      </c>
      <c r="N715" s="4"/>
    </row>
    <row r="716" customFormat="false" ht="15" hidden="false" customHeight="false" outlineLevel="0" collapsed="false">
      <c r="A716" s="4" t="s">
        <v>4082</v>
      </c>
      <c r="B716" s="4" t="s">
        <v>539</v>
      </c>
      <c r="C716" s="22" t="n">
        <v>0.99</v>
      </c>
      <c r="D716" s="16" t="s">
        <v>4083</v>
      </c>
      <c r="E716" s="16" t="s">
        <v>4084</v>
      </c>
      <c r="F716" s="6" t="n">
        <v>46232</v>
      </c>
      <c r="G716" s="6" t="n">
        <v>46230</v>
      </c>
      <c r="H716" s="23" t="n">
        <f aca="false">ABS(F716-G716)</f>
        <v>2</v>
      </c>
      <c r="I716" s="7" t="n">
        <v>-4269.7</v>
      </c>
      <c r="J716" s="7" t="n">
        <v>-4269.7</v>
      </c>
      <c r="K716" s="7" t="n">
        <f aca="false">I716-J716</f>
        <v>0</v>
      </c>
      <c r="L716" s="4" t="s">
        <v>4085</v>
      </c>
      <c r="M716" s="4" t="s">
        <v>4086</v>
      </c>
      <c r="N716" s="4"/>
    </row>
    <row r="717" customFormat="false" ht="15" hidden="false" customHeight="false" outlineLevel="0" collapsed="false">
      <c r="A717" s="4" t="s">
        <v>4087</v>
      </c>
      <c r="B717" s="4" t="s">
        <v>539</v>
      </c>
      <c r="C717" s="22" t="n">
        <v>0.99</v>
      </c>
      <c r="D717" s="16" t="s">
        <v>4088</v>
      </c>
      <c r="E717" s="16" t="s">
        <v>4089</v>
      </c>
      <c r="F717" s="6" t="n">
        <v>46233</v>
      </c>
      <c r="G717" s="6" t="n">
        <v>46231</v>
      </c>
      <c r="H717" s="23" t="n">
        <f aca="false">ABS(F717-G717)</f>
        <v>2</v>
      </c>
      <c r="I717" s="7" t="n">
        <v>-55411.82</v>
      </c>
      <c r="J717" s="7" t="n">
        <v>-55411.82</v>
      </c>
      <c r="K717" s="7" t="n">
        <f aca="false">I717-J717</f>
        <v>0</v>
      </c>
      <c r="L717" s="4" t="s">
        <v>4090</v>
      </c>
      <c r="M717" s="4" t="s">
        <v>4091</v>
      </c>
      <c r="N717" s="4"/>
    </row>
    <row r="718" customFormat="false" ht="15" hidden="false" customHeight="false" outlineLevel="0" collapsed="false">
      <c r="A718" s="4" t="s">
        <v>4092</v>
      </c>
      <c r="B718" s="4" t="s">
        <v>539</v>
      </c>
      <c r="C718" s="22" t="n">
        <v>0.99</v>
      </c>
      <c r="D718" s="16" t="s">
        <v>4093</v>
      </c>
      <c r="E718" s="16" t="s">
        <v>4094</v>
      </c>
      <c r="F718" s="6" t="n">
        <v>46234</v>
      </c>
      <c r="G718" s="6" t="n">
        <v>46232</v>
      </c>
      <c r="H718" s="23" t="n">
        <f aca="false">ABS(F718-G718)</f>
        <v>2</v>
      </c>
      <c r="I718" s="7" t="n">
        <v>75772.4</v>
      </c>
      <c r="J718" s="7" t="n">
        <v>75772.4</v>
      </c>
      <c r="K718" s="7" t="n">
        <f aca="false">I718-J718</f>
        <v>0</v>
      </c>
      <c r="L718" s="4" t="s">
        <v>4095</v>
      </c>
      <c r="M718" s="4" t="s">
        <v>4096</v>
      </c>
      <c r="N718" s="4"/>
    </row>
    <row r="719" customFormat="false" ht="15" hidden="false" customHeight="false" outlineLevel="0" collapsed="false">
      <c r="A719" s="4" t="s">
        <v>4097</v>
      </c>
      <c r="B719" s="4" t="s">
        <v>539</v>
      </c>
      <c r="C719" s="22" t="n">
        <v>0.99</v>
      </c>
      <c r="D719" s="16" t="s">
        <v>4098</v>
      </c>
      <c r="E719" s="16" t="s">
        <v>4099</v>
      </c>
      <c r="F719" s="6" t="n">
        <v>46234</v>
      </c>
      <c r="G719" s="6" t="n">
        <v>46232</v>
      </c>
      <c r="H719" s="23" t="n">
        <f aca="false">ABS(F719-G719)</f>
        <v>2</v>
      </c>
      <c r="I719" s="7" t="n">
        <v>-45115.86</v>
      </c>
      <c r="J719" s="7" t="n">
        <v>-45115.86</v>
      </c>
      <c r="K719" s="7" t="n">
        <f aca="false">I719-J719</f>
        <v>0</v>
      </c>
      <c r="L719" s="4" t="s">
        <v>4100</v>
      </c>
      <c r="M719" s="4" t="s">
        <v>4101</v>
      </c>
      <c r="N719" s="4"/>
    </row>
    <row r="720" customFormat="false" ht="15" hidden="false" customHeight="false" outlineLevel="0" collapsed="false">
      <c r="A720" s="4" t="s">
        <v>4102</v>
      </c>
      <c r="B720" s="4" t="s">
        <v>539</v>
      </c>
      <c r="C720" s="22" t="n">
        <v>0.99</v>
      </c>
      <c r="D720" s="16" t="s">
        <v>4103</v>
      </c>
      <c r="E720" s="16" t="s">
        <v>4104</v>
      </c>
      <c r="F720" s="6" t="n">
        <v>46235</v>
      </c>
      <c r="G720" s="6" t="n">
        <v>46233</v>
      </c>
      <c r="H720" s="23" t="n">
        <f aca="false">ABS(F720-G720)</f>
        <v>2</v>
      </c>
      <c r="I720" s="7" t="n">
        <v>41746.24</v>
      </c>
      <c r="J720" s="7" t="n">
        <v>41746.24</v>
      </c>
      <c r="K720" s="7" t="n">
        <f aca="false">I720-J720</f>
        <v>0</v>
      </c>
      <c r="L720" s="4" t="s">
        <v>4105</v>
      </c>
      <c r="M720" s="4" t="s">
        <v>4106</v>
      </c>
      <c r="N720" s="4"/>
    </row>
    <row r="721" customFormat="false" ht="15" hidden="false" customHeight="false" outlineLevel="0" collapsed="false">
      <c r="A721" s="4" t="s">
        <v>4107</v>
      </c>
      <c r="B721" s="4" t="s">
        <v>539</v>
      </c>
      <c r="C721" s="22" t="n">
        <v>0.99</v>
      </c>
      <c r="D721" s="16" t="s">
        <v>4108</v>
      </c>
      <c r="E721" s="16" t="s">
        <v>4109</v>
      </c>
      <c r="F721" s="6" t="n">
        <v>46236</v>
      </c>
      <c r="G721" s="6" t="n">
        <v>46234</v>
      </c>
      <c r="H721" s="23" t="n">
        <f aca="false">ABS(F721-G721)</f>
        <v>2</v>
      </c>
      <c r="I721" s="7" t="n">
        <v>-9063.67</v>
      </c>
      <c r="J721" s="7" t="n">
        <v>-9063.67</v>
      </c>
      <c r="K721" s="7" t="n">
        <f aca="false">I721-J721</f>
        <v>0</v>
      </c>
      <c r="L721" s="4" t="s">
        <v>4110</v>
      </c>
      <c r="M721" s="4" t="s">
        <v>4111</v>
      </c>
      <c r="N721" s="4"/>
    </row>
    <row r="722" customFormat="false" ht="15" hidden="false" customHeight="false" outlineLevel="0" collapsed="false">
      <c r="A722" s="4" t="s">
        <v>4112</v>
      </c>
      <c r="B722" s="4" t="s">
        <v>539</v>
      </c>
      <c r="C722" s="22" t="n">
        <v>0.99</v>
      </c>
      <c r="D722" s="16" t="s">
        <v>4113</v>
      </c>
      <c r="E722" s="16" t="s">
        <v>4114</v>
      </c>
      <c r="F722" s="6" t="n">
        <v>46237</v>
      </c>
      <c r="G722" s="6" t="n">
        <v>46235</v>
      </c>
      <c r="H722" s="23" t="n">
        <f aca="false">ABS(F722-G722)</f>
        <v>2</v>
      </c>
      <c r="I722" s="7" t="n">
        <v>49713.17</v>
      </c>
      <c r="J722" s="7" t="n">
        <v>49713.17</v>
      </c>
      <c r="K722" s="7" t="n">
        <f aca="false">I722-J722</f>
        <v>0</v>
      </c>
      <c r="L722" s="4" t="s">
        <v>4115</v>
      </c>
      <c r="M722" s="4" t="s">
        <v>4116</v>
      </c>
      <c r="N722" s="4"/>
    </row>
    <row r="723" customFormat="false" ht="15" hidden="false" customHeight="false" outlineLevel="0" collapsed="false">
      <c r="A723" s="4" t="s">
        <v>4117</v>
      </c>
      <c r="B723" s="4" t="s">
        <v>539</v>
      </c>
      <c r="C723" s="22" t="n">
        <v>0.99</v>
      </c>
      <c r="D723" s="16" t="s">
        <v>4118</v>
      </c>
      <c r="E723" s="16" t="s">
        <v>4119</v>
      </c>
      <c r="F723" s="6" t="n">
        <v>46237</v>
      </c>
      <c r="G723" s="6" t="n">
        <v>46235</v>
      </c>
      <c r="H723" s="23" t="n">
        <f aca="false">ABS(F723-G723)</f>
        <v>2</v>
      </c>
      <c r="I723" s="7" t="n">
        <v>26152.14</v>
      </c>
      <c r="J723" s="7" t="n">
        <v>26152.14</v>
      </c>
      <c r="K723" s="7" t="n">
        <f aca="false">I723-J723</f>
        <v>0</v>
      </c>
      <c r="L723" s="4" t="s">
        <v>4120</v>
      </c>
      <c r="M723" s="4" t="s">
        <v>4121</v>
      </c>
      <c r="N723" s="4"/>
    </row>
    <row r="724" customFormat="false" ht="15" hidden="false" customHeight="false" outlineLevel="0" collapsed="false">
      <c r="A724" s="4" t="s">
        <v>4122</v>
      </c>
      <c r="B724" s="4" t="s">
        <v>539</v>
      </c>
      <c r="C724" s="22" t="n">
        <v>0.99</v>
      </c>
      <c r="D724" s="16" t="s">
        <v>4123</v>
      </c>
      <c r="E724" s="16" t="s">
        <v>4124</v>
      </c>
      <c r="F724" s="6" t="n">
        <v>46237</v>
      </c>
      <c r="G724" s="6" t="n">
        <v>46235</v>
      </c>
      <c r="H724" s="23" t="n">
        <f aca="false">ABS(F724-G724)</f>
        <v>2</v>
      </c>
      <c r="I724" s="7" t="n">
        <v>-55558.74</v>
      </c>
      <c r="J724" s="7" t="n">
        <v>-55558.74</v>
      </c>
      <c r="K724" s="7" t="n">
        <f aca="false">I724-J724</f>
        <v>0</v>
      </c>
      <c r="L724" s="4" t="s">
        <v>4125</v>
      </c>
      <c r="M724" s="4" t="s">
        <v>4126</v>
      </c>
      <c r="N724" s="4"/>
    </row>
    <row r="725" customFormat="false" ht="15" hidden="false" customHeight="false" outlineLevel="0" collapsed="false">
      <c r="A725" s="4" t="s">
        <v>4127</v>
      </c>
      <c r="B725" s="4" t="s">
        <v>539</v>
      </c>
      <c r="C725" s="22" t="n">
        <v>0.99</v>
      </c>
      <c r="D725" s="16" t="s">
        <v>4128</v>
      </c>
      <c r="E725" s="16" t="s">
        <v>4129</v>
      </c>
      <c r="F725" s="6" t="n">
        <v>46239</v>
      </c>
      <c r="G725" s="6" t="n">
        <v>46237</v>
      </c>
      <c r="H725" s="23" t="n">
        <f aca="false">ABS(F725-G725)</f>
        <v>2</v>
      </c>
      <c r="I725" s="7" t="n">
        <v>89680.61</v>
      </c>
      <c r="J725" s="7" t="n">
        <v>89680.61</v>
      </c>
      <c r="K725" s="7" t="n">
        <f aca="false">I725-J725</f>
        <v>0</v>
      </c>
      <c r="L725" s="4" t="s">
        <v>4130</v>
      </c>
      <c r="M725" s="4" t="s">
        <v>4131</v>
      </c>
      <c r="N725" s="4"/>
    </row>
    <row r="726" customFormat="false" ht="15" hidden="false" customHeight="false" outlineLevel="0" collapsed="false">
      <c r="A726" s="4" t="s">
        <v>4132</v>
      </c>
      <c r="B726" s="4" t="s">
        <v>539</v>
      </c>
      <c r="C726" s="22" t="n">
        <v>0.99</v>
      </c>
      <c r="D726" s="16" t="s">
        <v>4133</v>
      </c>
      <c r="E726" s="16" t="s">
        <v>4134</v>
      </c>
      <c r="F726" s="6" t="n">
        <v>46239</v>
      </c>
      <c r="G726" s="6" t="n">
        <v>46237</v>
      </c>
      <c r="H726" s="23" t="n">
        <f aca="false">ABS(F726-G726)</f>
        <v>2</v>
      </c>
      <c r="I726" s="7" t="n">
        <v>56322.32</v>
      </c>
      <c r="J726" s="7" t="n">
        <v>56322.32</v>
      </c>
      <c r="K726" s="7" t="n">
        <f aca="false">I726-J726</f>
        <v>0</v>
      </c>
      <c r="L726" s="4" t="s">
        <v>4135</v>
      </c>
      <c r="M726" s="4" t="s">
        <v>4136</v>
      </c>
      <c r="N726" s="4"/>
    </row>
    <row r="727" customFormat="false" ht="15" hidden="false" customHeight="false" outlineLevel="0" collapsed="false">
      <c r="A727" s="4" t="s">
        <v>4137</v>
      </c>
      <c r="B727" s="4" t="s">
        <v>539</v>
      </c>
      <c r="C727" s="22" t="n">
        <v>0.99</v>
      </c>
      <c r="D727" s="16" t="s">
        <v>4138</v>
      </c>
      <c r="E727" s="16" t="s">
        <v>4139</v>
      </c>
      <c r="F727" s="6" t="n">
        <v>46239</v>
      </c>
      <c r="G727" s="6" t="n">
        <v>46237</v>
      </c>
      <c r="H727" s="23" t="n">
        <f aca="false">ABS(F727-G727)</f>
        <v>2</v>
      </c>
      <c r="I727" s="7" t="n">
        <v>-30250.1</v>
      </c>
      <c r="J727" s="7" t="n">
        <v>-30250.1</v>
      </c>
      <c r="K727" s="7" t="n">
        <f aca="false">I727-J727</f>
        <v>0</v>
      </c>
      <c r="L727" s="4" t="s">
        <v>4140</v>
      </c>
      <c r="M727" s="4" t="s">
        <v>4141</v>
      </c>
      <c r="N727" s="4"/>
    </row>
    <row r="728" customFormat="false" ht="15" hidden="false" customHeight="false" outlineLevel="0" collapsed="false">
      <c r="A728" s="4" t="s">
        <v>4142</v>
      </c>
      <c r="B728" s="4" t="s">
        <v>539</v>
      </c>
      <c r="C728" s="22" t="n">
        <v>0.99</v>
      </c>
      <c r="D728" s="16" t="s">
        <v>4143</v>
      </c>
      <c r="E728" s="16" t="s">
        <v>4144</v>
      </c>
      <c r="F728" s="6" t="n">
        <v>46239</v>
      </c>
      <c r="G728" s="6" t="n">
        <v>46237</v>
      </c>
      <c r="H728" s="23" t="n">
        <f aca="false">ABS(F728-G728)</f>
        <v>2</v>
      </c>
      <c r="I728" s="7" t="n">
        <v>-11044.57</v>
      </c>
      <c r="J728" s="7" t="n">
        <v>-11044.57</v>
      </c>
      <c r="K728" s="7" t="n">
        <f aca="false">I728-J728</f>
        <v>0</v>
      </c>
      <c r="L728" s="4" t="s">
        <v>4145</v>
      </c>
      <c r="M728" s="4" t="s">
        <v>209</v>
      </c>
      <c r="N728" s="4"/>
    </row>
    <row r="729" customFormat="false" ht="15" hidden="false" customHeight="false" outlineLevel="0" collapsed="false">
      <c r="A729" s="4" t="s">
        <v>4146</v>
      </c>
      <c r="B729" s="4" t="s">
        <v>539</v>
      </c>
      <c r="C729" s="22" t="n">
        <v>0.99</v>
      </c>
      <c r="D729" s="16" t="s">
        <v>4147</v>
      </c>
      <c r="E729" s="16" t="s">
        <v>4148</v>
      </c>
      <c r="F729" s="6" t="n">
        <v>46239</v>
      </c>
      <c r="G729" s="6" t="n">
        <v>46237</v>
      </c>
      <c r="H729" s="23" t="n">
        <f aca="false">ABS(F729-G729)</f>
        <v>2</v>
      </c>
      <c r="I729" s="7" t="n">
        <v>-55474.88</v>
      </c>
      <c r="J729" s="7" t="n">
        <v>-55474.88</v>
      </c>
      <c r="K729" s="7" t="n">
        <f aca="false">I729-J729</f>
        <v>0</v>
      </c>
      <c r="L729" s="4" t="s">
        <v>4149</v>
      </c>
      <c r="M729" s="4" t="s">
        <v>4150</v>
      </c>
      <c r="N729" s="4"/>
    </row>
    <row r="730" customFormat="false" ht="15" hidden="false" customHeight="false" outlineLevel="0" collapsed="false">
      <c r="A730" s="4" t="s">
        <v>4151</v>
      </c>
      <c r="B730" s="4" t="s">
        <v>539</v>
      </c>
      <c r="C730" s="22" t="n">
        <v>0.99</v>
      </c>
      <c r="D730" s="16" t="s">
        <v>4152</v>
      </c>
      <c r="E730" s="16" t="s">
        <v>4153</v>
      </c>
      <c r="F730" s="6" t="n">
        <v>46240</v>
      </c>
      <c r="G730" s="6" t="n">
        <v>46238</v>
      </c>
      <c r="H730" s="23" t="n">
        <f aca="false">ABS(F730-G730)</f>
        <v>2</v>
      </c>
      <c r="I730" s="7" t="n">
        <v>41433.95</v>
      </c>
      <c r="J730" s="7" t="n">
        <v>41433.95</v>
      </c>
      <c r="K730" s="7" t="n">
        <f aca="false">I730-J730</f>
        <v>0</v>
      </c>
      <c r="L730" s="4" t="s">
        <v>4154</v>
      </c>
      <c r="M730" s="4" t="s">
        <v>4155</v>
      </c>
      <c r="N730" s="4"/>
    </row>
    <row r="731" customFormat="false" ht="15" hidden="false" customHeight="false" outlineLevel="0" collapsed="false">
      <c r="A731" s="4" t="s">
        <v>4156</v>
      </c>
      <c r="B731" s="4" t="s">
        <v>539</v>
      </c>
      <c r="C731" s="22" t="n">
        <v>0.99</v>
      </c>
      <c r="D731" s="16" t="s">
        <v>4157</v>
      </c>
      <c r="E731" s="16" t="s">
        <v>4158</v>
      </c>
      <c r="F731" s="6" t="n">
        <v>46240</v>
      </c>
      <c r="G731" s="6" t="n">
        <v>46238</v>
      </c>
      <c r="H731" s="23" t="n">
        <f aca="false">ABS(F731-G731)</f>
        <v>2</v>
      </c>
      <c r="I731" s="7" t="n">
        <v>75334.29</v>
      </c>
      <c r="J731" s="7" t="n">
        <v>75334.29</v>
      </c>
      <c r="K731" s="7" t="n">
        <f aca="false">I731-J731</f>
        <v>0</v>
      </c>
      <c r="L731" s="4" t="s">
        <v>4159</v>
      </c>
      <c r="M731" s="4" t="s">
        <v>4160</v>
      </c>
      <c r="N731" s="4"/>
    </row>
    <row r="732" customFormat="false" ht="15" hidden="false" customHeight="false" outlineLevel="0" collapsed="false">
      <c r="A732" s="4" t="s">
        <v>4161</v>
      </c>
      <c r="B732" s="4" t="s">
        <v>539</v>
      </c>
      <c r="C732" s="22" t="n">
        <v>0.99</v>
      </c>
      <c r="D732" s="16" t="s">
        <v>4162</v>
      </c>
      <c r="E732" s="16" t="s">
        <v>4163</v>
      </c>
      <c r="F732" s="6" t="n">
        <v>46241</v>
      </c>
      <c r="G732" s="6" t="n">
        <v>46239</v>
      </c>
      <c r="H732" s="23" t="n">
        <f aca="false">ABS(F732-G732)</f>
        <v>2</v>
      </c>
      <c r="I732" s="7" t="n">
        <v>30040.95</v>
      </c>
      <c r="J732" s="7" t="n">
        <v>30040.95</v>
      </c>
      <c r="K732" s="7" t="n">
        <f aca="false">I732-J732</f>
        <v>0</v>
      </c>
      <c r="L732" s="4" t="s">
        <v>4164</v>
      </c>
      <c r="M732" s="4" t="s">
        <v>4165</v>
      </c>
      <c r="N732" s="4"/>
    </row>
    <row r="733" customFormat="false" ht="15" hidden="false" customHeight="false" outlineLevel="0" collapsed="false">
      <c r="A733" s="4" t="s">
        <v>4166</v>
      </c>
      <c r="B733" s="4" t="s">
        <v>539</v>
      </c>
      <c r="C733" s="22" t="n">
        <v>0.99</v>
      </c>
      <c r="D733" s="16" t="s">
        <v>4167</v>
      </c>
      <c r="E733" s="16" t="s">
        <v>4168</v>
      </c>
      <c r="F733" s="6" t="n">
        <v>46241</v>
      </c>
      <c r="G733" s="6" t="n">
        <v>46239</v>
      </c>
      <c r="H733" s="23" t="n">
        <f aca="false">ABS(F733-G733)</f>
        <v>2</v>
      </c>
      <c r="I733" s="7" t="n">
        <v>-4089.74</v>
      </c>
      <c r="J733" s="7" t="n">
        <v>-4089.74</v>
      </c>
      <c r="K733" s="7" t="n">
        <f aca="false">I733-J733</f>
        <v>0</v>
      </c>
      <c r="L733" s="4" t="s">
        <v>4169</v>
      </c>
      <c r="M733" s="4" t="s">
        <v>4170</v>
      </c>
      <c r="N733" s="4"/>
    </row>
    <row r="734" customFormat="false" ht="15" hidden="false" customHeight="false" outlineLevel="0" collapsed="false">
      <c r="A734" s="4" t="s">
        <v>4171</v>
      </c>
      <c r="B734" s="4" t="s">
        <v>539</v>
      </c>
      <c r="C734" s="22" t="n">
        <v>0.99</v>
      </c>
      <c r="D734" s="16" t="s">
        <v>4172</v>
      </c>
      <c r="E734" s="16" t="s">
        <v>4173</v>
      </c>
      <c r="F734" s="6" t="n">
        <v>46244</v>
      </c>
      <c r="G734" s="6" t="n">
        <v>46242</v>
      </c>
      <c r="H734" s="23" t="n">
        <f aca="false">ABS(F734-G734)</f>
        <v>2</v>
      </c>
      <c r="I734" s="7" t="n">
        <v>-39017.79</v>
      </c>
      <c r="J734" s="7" t="n">
        <v>-39017.79</v>
      </c>
      <c r="K734" s="7" t="n">
        <f aca="false">I734-J734</f>
        <v>0</v>
      </c>
      <c r="L734" s="4" t="s">
        <v>4174</v>
      </c>
      <c r="M734" s="4" t="s">
        <v>4175</v>
      </c>
      <c r="N734" s="4"/>
    </row>
    <row r="735" customFormat="false" ht="15" hidden="false" customHeight="false" outlineLevel="0" collapsed="false">
      <c r="A735" s="4" t="s">
        <v>4176</v>
      </c>
      <c r="B735" s="4" t="s">
        <v>539</v>
      </c>
      <c r="C735" s="22" t="n">
        <v>0.99</v>
      </c>
      <c r="D735" s="16" t="s">
        <v>4177</v>
      </c>
      <c r="E735" s="16" t="s">
        <v>4178</v>
      </c>
      <c r="F735" s="6" t="n">
        <v>46245</v>
      </c>
      <c r="G735" s="6" t="n">
        <v>46243</v>
      </c>
      <c r="H735" s="23" t="n">
        <f aca="false">ABS(F735-G735)</f>
        <v>2</v>
      </c>
      <c r="I735" s="7" t="n">
        <v>70266.66</v>
      </c>
      <c r="J735" s="7" t="n">
        <v>70266.66</v>
      </c>
      <c r="K735" s="7" t="n">
        <f aca="false">I735-J735</f>
        <v>0</v>
      </c>
      <c r="L735" s="4" t="s">
        <v>4179</v>
      </c>
      <c r="M735" s="4" t="s">
        <v>4180</v>
      </c>
      <c r="N735" s="4"/>
    </row>
    <row r="736" customFormat="false" ht="15" hidden="false" customHeight="false" outlineLevel="0" collapsed="false">
      <c r="A736" s="4" t="s">
        <v>4181</v>
      </c>
      <c r="B736" s="4" t="s">
        <v>539</v>
      </c>
      <c r="C736" s="22" t="n">
        <v>0.99</v>
      </c>
      <c r="D736" s="16" t="s">
        <v>4182</v>
      </c>
      <c r="E736" s="16" t="s">
        <v>4183</v>
      </c>
      <c r="F736" s="6" t="n">
        <v>46245</v>
      </c>
      <c r="G736" s="6" t="n">
        <v>46243</v>
      </c>
      <c r="H736" s="23" t="n">
        <f aca="false">ABS(F736-G736)</f>
        <v>2</v>
      </c>
      <c r="I736" s="7" t="n">
        <v>78680.18</v>
      </c>
      <c r="J736" s="7" t="n">
        <v>78680.18</v>
      </c>
      <c r="K736" s="7" t="n">
        <f aca="false">I736-J736</f>
        <v>0</v>
      </c>
      <c r="L736" s="4" t="s">
        <v>4184</v>
      </c>
      <c r="M736" s="4" t="s">
        <v>4185</v>
      </c>
      <c r="N736" s="4"/>
    </row>
    <row r="737" customFormat="false" ht="15" hidden="false" customHeight="false" outlineLevel="0" collapsed="false">
      <c r="A737" s="4" t="s">
        <v>4186</v>
      </c>
      <c r="B737" s="4" t="s">
        <v>539</v>
      </c>
      <c r="C737" s="22" t="n">
        <v>0.99</v>
      </c>
      <c r="D737" s="16" t="s">
        <v>4187</v>
      </c>
      <c r="E737" s="16" t="s">
        <v>4188</v>
      </c>
      <c r="F737" s="6" t="n">
        <v>46247</v>
      </c>
      <c r="G737" s="6" t="n">
        <v>46245</v>
      </c>
      <c r="H737" s="23" t="n">
        <f aca="false">ABS(F737-G737)</f>
        <v>2</v>
      </c>
      <c r="I737" s="7" t="n">
        <v>35060.66</v>
      </c>
      <c r="J737" s="7" t="n">
        <v>35060.66</v>
      </c>
      <c r="K737" s="7" t="n">
        <f aca="false">I737-J737</f>
        <v>0</v>
      </c>
      <c r="L737" s="4" t="s">
        <v>4189</v>
      </c>
      <c r="M737" s="4" t="s">
        <v>4190</v>
      </c>
      <c r="N737" s="4"/>
    </row>
    <row r="738" customFormat="false" ht="15" hidden="false" customHeight="false" outlineLevel="0" collapsed="false">
      <c r="A738" s="4" t="s">
        <v>4191</v>
      </c>
      <c r="B738" s="4" t="s">
        <v>539</v>
      </c>
      <c r="C738" s="22" t="n">
        <v>0.99</v>
      </c>
      <c r="D738" s="16" t="s">
        <v>4192</v>
      </c>
      <c r="E738" s="16" t="s">
        <v>4193</v>
      </c>
      <c r="F738" s="6" t="n">
        <v>46247</v>
      </c>
      <c r="G738" s="6" t="n">
        <v>46245</v>
      </c>
      <c r="H738" s="23" t="n">
        <f aca="false">ABS(F738-G738)</f>
        <v>2</v>
      </c>
      <c r="I738" s="7" t="n">
        <v>92678.59</v>
      </c>
      <c r="J738" s="7" t="n">
        <v>92678.59</v>
      </c>
      <c r="K738" s="7" t="n">
        <f aca="false">I738-J738</f>
        <v>0</v>
      </c>
      <c r="L738" s="4" t="s">
        <v>4194</v>
      </c>
      <c r="M738" s="4" t="s">
        <v>4195</v>
      </c>
      <c r="N738" s="4"/>
    </row>
    <row r="739" customFormat="false" ht="15" hidden="false" customHeight="false" outlineLevel="0" collapsed="false">
      <c r="A739" s="4" t="s">
        <v>4196</v>
      </c>
      <c r="B739" s="4" t="s">
        <v>539</v>
      </c>
      <c r="C739" s="22" t="n">
        <v>0.99</v>
      </c>
      <c r="D739" s="16" t="s">
        <v>4197</v>
      </c>
      <c r="E739" s="16" t="s">
        <v>4198</v>
      </c>
      <c r="F739" s="6" t="n">
        <v>46250</v>
      </c>
      <c r="G739" s="6" t="n">
        <v>46248</v>
      </c>
      <c r="H739" s="23" t="n">
        <f aca="false">ABS(F739-G739)</f>
        <v>2</v>
      </c>
      <c r="I739" s="7" t="n">
        <v>61365.68</v>
      </c>
      <c r="J739" s="7" t="n">
        <v>61365.68</v>
      </c>
      <c r="K739" s="7" t="n">
        <f aca="false">I739-J739</f>
        <v>0</v>
      </c>
      <c r="L739" s="4" t="s">
        <v>4199</v>
      </c>
      <c r="M739" s="4" t="s">
        <v>4200</v>
      </c>
      <c r="N739" s="4"/>
    </row>
    <row r="740" customFormat="false" ht="15" hidden="false" customHeight="false" outlineLevel="0" collapsed="false">
      <c r="A740" s="4" t="s">
        <v>4201</v>
      </c>
      <c r="B740" s="4" t="s">
        <v>539</v>
      </c>
      <c r="C740" s="22" t="n">
        <v>0.99</v>
      </c>
      <c r="D740" s="16" t="s">
        <v>4202</v>
      </c>
      <c r="E740" s="16" t="s">
        <v>4203</v>
      </c>
      <c r="F740" s="6" t="n">
        <v>46251</v>
      </c>
      <c r="G740" s="6" t="n">
        <v>46249</v>
      </c>
      <c r="H740" s="23" t="n">
        <f aca="false">ABS(F740-G740)</f>
        <v>2</v>
      </c>
      <c r="I740" s="7" t="n">
        <v>81942.73</v>
      </c>
      <c r="J740" s="7" t="n">
        <v>81942.73</v>
      </c>
      <c r="K740" s="7" t="n">
        <f aca="false">I740-J740</f>
        <v>0</v>
      </c>
      <c r="L740" s="4" t="s">
        <v>4204</v>
      </c>
      <c r="M740" s="4" t="s">
        <v>4205</v>
      </c>
      <c r="N740" s="4"/>
    </row>
    <row r="741" customFormat="false" ht="15" hidden="false" customHeight="false" outlineLevel="0" collapsed="false">
      <c r="A741" s="4" t="s">
        <v>4206</v>
      </c>
      <c r="B741" s="4" t="s">
        <v>539</v>
      </c>
      <c r="C741" s="22" t="n">
        <v>0.99</v>
      </c>
      <c r="D741" s="16" t="s">
        <v>4207</v>
      </c>
      <c r="E741" s="16" t="s">
        <v>4208</v>
      </c>
      <c r="F741" s="6" t="n">
        <v>46251</v>
      </c>
      <c r="G741" s="6" t="n">
        <v>46249</v>
      </c>
      <c r="H741" s="23" t="n">
        <f aca="false">ABS(F741-G741)</f>
        <v>2</v>
      </c>
      <c r="I741" s="7" t="n">
        <v>-39014.65</v>
      </c>
      <c r="J741" s="7" t="n">
        <v>-39014.65</v>
      </c>
      <c r="K741" s="7" t="n">
        <f aca="false">I741-J741</f>
        <v>0</v>
      </c>
      <c r="L741" s="4" t="s">
        <v>4209</v>
      </c>
      <c r="M741" s="4" t="s">
        <v>4210</v>
      </c>
      <c r="N741" s="4"/>
    </row>
    <row r="742" customFormat="false" ht="15" hidden="false" customHeight="false" outlineLevel="0" collapsed="false">
      <c r="A742" s="4" t="s">
        <v>4211</v>
      </c>
      <c r="B742" s="4" t="s">
        <v>539</v>
      </c>
      <c r="C742" s="22" t="n">
        <v>0.99</v>
      </c>
      <c r="D742" s="16" t="s">
        <v>4212</v>
      </c>
      <c r="E742" s="16" t="s">
        <v>4213</v>
      </c>
      <c r="F742" s="6" t="n">
        <v>46252</v>
      </c>
      <c r="G742" s="6" t="n">
        <v>46250</v>
      </c>
      <c r="H742" s="23" t="n">
        <f aca="false">ABS(F742-G742)</f>
        <v>2</v>
      </c>
      <c r="I742" s="7" t="n">
        <v>15302.86</v>
      </c>
      <c r="J742" s="7" t="n">
        <v>15302.86</v>
      </c>
      <c r="K742" s="7" t="n">
        <f aca="false">I742-J742</f>
        <v>0</v>
      </c>
      <c r="L742" s="4" t="s">
        <v>4214</v>
      </c>
      <c r="M742" s="4" t="s">
        <v>4215</v>
      </c>
      <c r="N742" s="4"/>
    </row>
    <row r="743" customFormat="false" ht="15" hidden="false" customHeight="false" outlineLevel="0" collapsed="false">
      <c r="A743" s="4" t="s">
        <v>4216</v>
      </c>
      <c r="B743" s="4" t="s">
        <v>539</v>
      </c>
      <c r="C743" s="22" t="n">
        <v>0.99</v>
      </c>
      <c r="D743" s="16" t="s">
        <v>4217</v>
      </c>
      <c r="E743" s="16" t="s">
        <v>4218</v>
      </c>
      <c r="F743" s="6" t="n">
        <v>46252</v>
      </c>
      <c r="G743" s="6" t="n">
        <v>46250</v>
      </c>
      <c r="H743" s="23" t="n">
        <f aca="false">ABS(F743-G743)</f>
        <v>2</v>
      </c>
      <c r="I743" s="7" t="n">
        <v>-38260.09</v>
      </c>
      <c r="J743" s="7" t="n">
        <v>-38260.09</v>
      </c>
      <c r="K743" s="7" t="n">
        <f aca="false">I743-J743</f>
        <v>0</v>
      </c>
      <c r="L743" s="4" t="s">
        <v>4219</v>
      </c>
      <c r="M743" s="4" t="s">
        <v>4220</v>
      </c>
      <c r="N743" s="4"/>
    </row>
    <row r="744" customFormat="false" ht="15" hidden="false" customHeight="false" outlineLevel="0" collapsed="false">
      <c r="A744" s="4" t="s">
        <v>4221</v>
      </c>
      <c r="B744" s="4" t="s">
        <v>539</v>
      </c>
      <c r="C744" s="22" t="n">
        <v>0.99</v>
      </c>
      <c r="D744" s="16" t="s">
        <v>4222</v>
      </c>
      <c r="E744" s="16" t="s">
        <v>4223</v>
      </c>
      <c r="F744" s="6" t="n">
        <v>46253</v>
      </c>
      <c r="G744" s="6" t="n">
        <v>46251</v>
      </c>
      <c r="H744" s="23" t="n">
        <f aca="false">ABS(F744-G744)</f>
        <v>2</v>
      </c>
      <c r="I744" s="7" t="n">
        <v>60241.9</v>
      </c>
      <c r="J744" s="7" t="n">
        <v>60241.9</v>
      </c>
      <c r="K744" s="7" t="n">
        <f aca="false">I744-J744</f>
        <v>0</v>
      </c>
      <c r="L744" s="4" t="s">
        <v>157</v>
      </c>
      <c r="M744" s="4" t="s">
        <v>4224</v>
      </c>
      <c r="N744" s="4"/>
    </row>
    <row r="745" customFormat="false" ht="15" hidden="false" customHeight="false" outlineLevel="0" collapsed="false">
      <c r="A745" s="4" t="s">
        <v>4225</v>
      </c>
      <c r="B745" s="4" t="s">
        <v>539</v>
      </c>
      <c r="C745" s="22" t="n">
        <v>0.99</v>
      </c>
      <c r="D745" s="16" t="s">
        <v>4226</v>
      </c>
      <c r="E745" s="16" t="s">
        <v>4227</v>
      </c>
      <c r="F745" s="6" t="n">
        <v>46254</v>
      </c>
      <c r="G745" s="6" t="n">
        <v>46252</v>
      </c>
      <c r="H745" s="23" t="n">
        <f aca="false">ABS(F745-G745)</f>
        <v>2</v>
      </c>
      <c r="I745" s="7" t="n">
        <v>10772.61</v>
      </c>
      <c r="J745" s="7" t="n">
        <v>10772.61</v>
      </c>
      <c r="K745" s="7" t="n">
        <f aca="false">I745-J745</f>
        <v>0</v>
      </c>
      <c r="L745" s="4" t="s">
        <v>4228</v>
      </c>
      <c r="M745" s="4" t="s">
        <v>4229</v>
      </c>
      <c r="N745" s="4"/>
    </row>
    <row r="746" customFormat="false" ht="15" hidden="false" customHeight="false" outlineLevel="0" collapsed="false">
      <c r="A746" s="4" t="s">
        <v>4230</v>
      </c>
      <c r="B746" s="4" t="s">
        <v>539</v>
      </c>
      <c r="C746" s="22" t="n">
        <v>0.99</v>
      </c>
      <c r="D746" s="16" t="s">
        <v>4231</v>
      </c>
      <c r="E746" s="16" t="s">
        <v>4232</v>
      </c>
      <c r="F746" s="6" t="n">
        <v>46254</v>
      </c>
      <c r="G746" s="6" t="n">
        <v>46252</v>
      </c>
      <c r="H746" s="23" t="n">
        <f aca="false">ABS(F746-G746)</f>
        <v>2</v>
      </c>
      <c r="I746" s="7" t="n">
        <v>-47586.53</v>
      </c>
      <c r="J746" s="7" t="n">
        <v>-47586.53</v>
      </c>
      <c r="K746" s="7" t="n">
        <f aca="false">I746-J746</f>
        <v>0</v>
      </c>
      <c r="L746" s="4" t="s">
        <v>4233</v>
      </c>
      <c r="M746" s="4" t="s">
        <v>4234</v>
      </c>
      <c r="N746" s="4"/>
    </row>
    <row r="747" customFormat="false" ht="15" hidden="false" customHeight="false" outlineLevel="0" collapsed="false">
      <c r="A747" s="4" t="s">
        <v>4235</v>
      </c>
      <c r="B747" s="4" t="s">
        <v>539</v>
      </c>
      <c r="C747" s="22" t="n">
        <v>0.99</v>
      </c>
      <c r="D747" s="16" t="s">
        <v>4236</v>
      </c>
      <c r="E747" s="16" t="s">
        <v>4237</v>
      </c>
      <c r="F747" s="6" t="n">
        <v>46254</v>
      </c>
      <c r="G747" s="6" t="n">
        <v>46252</v>
      </c>
      <c r="H747" s="23" t="n">
        <f aca="false">ABS(F747-G747)</f>
        <v>2</v>
      </c>
      <c r="I747" s="7" t="n">
        <v>-43185.55</v>
      </c>
      <c r="J747" s="7" t="n">
        <v>-43185.55</v>
      </c>
      <c r="K747" s="7" t="n">
        <f aca="false">I747-J747</f>
        <v>0</v>
      </c>
      <c r="L747" s="4" t="s">
        <v>4238</v>
      </c>
      <c r="M747" s="4" t="s">
        <v>4239</v>
      </c>
      <c r="N747" s="4"/>
    </row>
    <row r="748" customFormat="false" ht="15" hidden="false" customHeight="false" outlineLevel="0" collapsed="false">
      <c r="A748" s="4" t="s">
        <v>4240</v>
      </c>
      <c r="B748" s="4" t="s">
        <v>539</v>
      </c>
      <c r="C748" s="22" t="n">
        <v>0.99</v>
      </c>
      <c r="D748" s="16" t="s">
        <v>4241</v>
      </c>
      <c r="E748" s="16" t="s">
        <v>4242</v>
      </c>
      <c r="F748" s="6" t="n">
        <v>46255</v>
      </c>
      <c r="G748" s="6" t="n">
        <v>46253</v>
      </c>
      <c r="H748" s="23" t="n">
        <f aca="false">ABS(F748-G748)</f>
        <v>2</v>
      </c>
      <c r="I748" s="7" t="n">
        <v>-32258.15</v>
      </c>
      <c r="J748" s="7" t="n">
        <v>-32258.15</v>
      </c>
      <c r="K748" s="7" t="n">
        <f aca="false">I748-J748</f>
        <v>0</v>
      </c>
      <c r="L748" s="4" t="s">
        <v>4243</v>
      </c>
      <c r="M748" s="4" t="s">
        <v>4244</v>
      </c>
      <c r="N748" s="4"/>
    </row>
    <row r="749" customFormat="false" ht="15" hidden="false" customHeight="false" outlineLevel="0" collapsed="false">
      <c r="A749" s="4" t="s">
        <v>4245</v>
      </c>
      <c r="B749" s="4" t="s">
        <v>539</v>
      </c>
      <c r="C749" s="22" t="n">
        <v>0.99</v>
      </c>
      <c r="D749" s="16" t="s">
        <v>4246</v>
      </c>
      <c r="E749" s="16" t="s">
        <v>4247</v>
      </c>
      <c r="F749" s="6" t="n">
        <v>46255</v>
      </c>
      <c r="G749" s="6" t="n">
        <v>46253</v>
      </c>
      <c r="H749" s="23" t="n">
        <f aca="false">ABS(F749-G749)</f>
        <v>2</v>
      </c>
      <c r="I749" s="7" t="n">
        <v>-34834.03</v>
      </c>
      <c r="J749" s="7" t="n">
        <v>-34834.03</v>
      </c>
      <c r="K749" s="7" t="n">
        <f aca="false">I749-J749</f>
        <v>0</v>
      </c>
      <c r="L749" s="4" t="s">
        <v>4248</v>
      </c>
      <c r="M749" s="4" t="s">
        <v>4249</v>
      </c>
      <c r="N749" s="4"/>
    </row>
    <row r="750" customFormat="false" ht="15" hidden="false" customHeight="false" outlineLevel="0" collapsed="false">
      <c r="A750" s="4" t="s">
        <v>4250</v>
      </c>
      <c r="B750" s="4" t="s">
        <v>539</v>
      </c>
      <c r="C750" s="22" t="n">
        <v>0.99</v>
      </c>
      <c r="D750" s="16" t="s">
        <v>4251</v>
      </c>
      <c r="E750" s="16" t="s">
        <v>4252</v>
      </c>
      <c r="F750" s="6" t="n">
        <v>46256</v>
      </c>
      <c r="G750" s="6" t="n">
        <v>46254</v>
      </c>
      <c r="H750" s="23" t="n">
        <f aca="false">ABS(F750-G750)</f>
        <v>2</v>
      </c>
      <c r="I750" s="7" t="n">
        <v>29948.53</v>
      </c>
      <c r="J750" s="7" t="n">
        <v>29948.53</v>
      </c>
      <c r="K750" s="7" t="n">
        <f aca="false">I750-J750</f>
        <v>0</v>
      </c>
      <c r="L750" s="4" t="s">
        <v>4253</v>
      </c>
      <c r="M750" s="4" t="s">
        <v>4254</v>
      </c>
      <c r="N750" s="4"/>
    </row>
    <row r="751" customFormat="false" ht="15" hidden="false" customHeight="false" outlineLevel="0" collapsed="false">
      <c r="A751" s="4" t="s">
        <v>4255</v>
      </c>
      <c r="B751" s="4" t="s">
        <v>539</v>
      </c>
      <c r="C751" s="22" t="n">
        <v>0.99</v>
      </c>
      <c r="D751" s="16" t="s">
        <v>4256</v>
      </c>
      <c r="E751" s="16" t="s">
        <v>4257</v>
      </c>
      <c r="F751" s="6" t="n">
        <v>46257</v>
      </c>
      <c r="G751" s="6" t="n">
        <v>46255</v>
      </c>
      <c r="H751" s="23" t="n">
        <f aca="false">ABS(F751-G751)</f>
        <v>2</v>
      </c>
      <c r="I751" s="7" t="n">
        <v>23068.59</v>
      </c>
      <c r="J751" s="7" t="n">
        <v>23068.59</v>
      </c>
      <c r="K751" s="7" t="n">
        <f aca="false">I751-J751</f>
        <v>0</v>
      </c>
      <c r="L751" s="4" t="s">
        <v>4258</v>
      </c>
      <c r="M751" s="4" t="s">
        <v>4259</v>
      </c>
      <c r="N751" s="4"/>
    </row>
    <row r="752" customFormat="false" ht="15" hidden="false" customHeight="false" outlineLevel="0" collapsed="false">
      <c r="A752" s="4" t="s">
        <v>4260</v>
      </c>
      <c r="B752" s="4" t="s">
        <v>539</v>
      </c>
      <c r="C752" s="22" t="n">
        <v>0.99</v>
      </c>
      <c r="D752" s="16" t="s">
        <v>4261</v>
      </c>
      <c r="E752" s="16" t="s">
        <v>4262</v>
      </c>
      <c r="F752" s="6" t="n">
        <v>46257</v>
      </c>
      <c r="G752" s="6" t="n">
        <v>46255</v>
      </c>
      <c r="H752" s="23" t="n">
        <f aca="false">ABS(F752-G752)</f>
        <v>2</v>
      </c>
      <c r="I752" s="7" t="n">
        <v>-17669.81</v>
      </c>
      <c r="J752" s="7" t="n">
        <v>-17669.81</v>
      </c>
      <c r="K752" s="7" t="n">
        <f aca="false">I752-J752</f>
        <v>0</v>
      </c>
      <c r="L752" s="4" t="s">
        <v>4263</v>
      </c>
      <c r="M752" s="4" t="s">
        <v>4264</v>
      </c>
      <c r="N752" s="4"/>
    </row>
    <row r="753" customFormat="false" ht="15" hidden="false" customHeight="false" outlineLevel="0" collapsed="false">
      <c r="A753" s="4" t="s">
        <v>4265</v>
      </c>
      <c r="B753" s="4" t="s">
        <v>539</v>
      </c>
      <c r="C753" s="22" t="n">
        <v>0.99</v>
      </c>
      <c r="D753" s="16" t="s">
        <v>4266</v>
      </c>
      <c r="E753" s="16" t="s">
        <v>4267</v>
      </c>
      <c r="F753" s="6" t="n">
        <v>46257</v>
      </c>
      <c r="G753" s="6" t="n">
        <v>46255</v>
      </c>
      <c r="H753" s="23" t="n">
        <f aca="false">ABS(F753-G753)</f>
        <v>2</v>
      </c>
      <c r="I753" s="7" t="n">
        <v>-59996.4</v>
      </c>
      <c r="J753" s="7" t="n">
        <v>-59996.4</v>
      </c>
      <c r="K753" s="7" t="n">
        <f aca="false">I753-J753</f>
        <v>0</v>
      </c>
      <c r="L753" s="4" t="s">
        <v>4268</v>
      </c>
      <c r="M753" s="4" t="s">
        <v>4269</v>
      </c>
      <c r="N753" s="4"/>
    </row>
    <row r="754" customFormat="false" ht="15" hidden="false" customHeight="false" outlineLevel="0" collapsed="false">
      <c r="A754" s="4" t="s">
        <v>4270</v>
      </c>
      <c r="B754" s="4" t="s">
        <v>539</v>
      </c>
      <c r="C754" s="22" t="n">
        <v>0.99</v>
      </c>
      <c r="D754" s="16" t="s">
        <v>4271</v>
      </c>
      <c r="E754" s="16" t="s">
        <v>4272</v>
      </c>
      <c r="F754" s="6" t="n">
        <v>46257</v>
      </c>
      <c r="G754" s="6" t="n">
        <v>46255</v>
      </c>
      <c r="H754" s="23" t="n">
        <f aca="false">ABS(F754-G754)</f>
        <v>2</v>
      </c>
      <c r="I754" s="7" t="n">
        <v>-59275.58</v>
      </c>
      <c r="J754" s="7" t="n">
        <v>-59275.58</v>
      </c>
      <c r="K754" s="7" t="n">
        <f aca="false">I754-J754</f>
        <v>0</v>
      </c>
      <c r="L754" s="4" t="s">
        <v>4273</v>
      </c>
      <c r="M754" s="4" t="s">
        <v>4274</v>
      </c>
      <c r="N754" s="4"/>
    </row>
    <row r="755" customFormat="false" ht="15" hidden="false" customHeight="false" outlineLevel="0" collapsed="false">
      <c r="A755" s="4" t="s">
        <v>4275</v>
      </c>
      <c r="B755" s="4" t="s">
        <v>539</v>
      </c>
      <c r="C755" s="22" t="n">
        <v>0.99</v>
      </c>
      <c r="D755" s="16" t="s">
        <v>4276</v>
      </c>
      <c r="E755" s="16" t="s">
        <v>4277</v>
      </c>
      <c r="F755" s="6" t="n">
        <v>46258</v>
      </c>
      <c r="G755" s="6" t="n">
        <v>46256</v>
      </c>
      <c r="H755" s="23" t="n">
        <f aca="false">ABS(F755-G755)</f>
        <v>2</v>
      </c>
      <c r="I755" s="7" t="n">
        <v>52138.41</v>
      </c>
      <c r="J755" s="7" t="n">
        <v>52138.41</v>
      </c>
      <c r="K755" s="7" t="n">
        <f aca="false">I755-J755</f>
        <v>0</v>
      </c>
      <c r="L755" s="4" t="s">
        <v>4278</v>
      </c>
      <c r="M755" s="4" t="s">
        <v>4279</v>
      </c>
      <c r="N755" s="4"/>
    </row>
    <row r="756" customFormat="false" ht="15" hidden="false" customHeight="false" outlineLevel="0" collapsed="false">
      <c r="A756" s="4" t="s">
        <v>4280</v>
      </c>
      <c r="B756" s="4" t="s">
        <v>539</v>
      </c>
      <c r="C756" s="22" t="n">
        <v>0.99</v>
      </c>
      <c r="D756" s="16" t="s">
        <v>4281</v>
      </c>
      <c r="E756" s="16" t="s">
        <v>4282</v>
      </c>
      <c r="F756" s="6" t="n">
        <v>46259</v>
      </c>
      <c r="G756" s="6" t="n">
        <v>46257</v>
      </c>
      <c r="H756" s="23" t="n">
        <f aca="false">ABS(F756-G756)</f>
        <v>2</v>
      </c>
      <c r="I756" s="7" t="n">
        <v>13933.92</v>
      </c>
      <c r="J756" s="7" t="n">
        <v>13933.92</v>
      </c>
      <c r="K756" s="7" t="n">
        <f aca="false">I756-J756</f>
        <v>0</v>
      </c>
      <c r="L756" s="4" t="s">
        <v>4283</v>
      </c>
      <c r="M756" s="4" t="s">
        <v>4284</v>
      </c>
      <c r="N756" s="4"/>
    </row>
    <row r="757" customFormat="false" ht="15" hidden="false" customHeight="false" outlineLevel="0" collapsed="false">
      <c r="A757" s="4" t="s">
        <v>4285</v>
      </c>
      <c r="B757" s="4" t="s">
        <v>539</v>
      </c>
      <c r="C757" s="22" t="n">
        <v>0.99</v>
      </c>
      <c r="D757" s="16" t="s">
        <v>4286</v>
      </c>
      <c r="E757" s="16" t="s">
        <v>4287</v>
      </c>
      <c r="F757" s="6" t="n">
        <v>46259</v>
      </c>
      <c r="G757" s="6" t="n">
        <v>46257</v>
      </c>
      <c r="H757" s="23" t="n">
        <f aca="false">ABS(F757-G757)</f>
        <v>2</v>
      </c>
      <c r="I757" s="7" t="n">
        <v>-31120.01</v>
      </c>
      <c r="J757" s="7" t="n">
        <v>-31120.01</v>
      </c>
      <c r="K757" s="7" t="n">
        <f aca="false">I757-J757</f>
        <v>0</v>
      </c>
      <c r="L757" s="4" t="s">
        <v>4288</v>
      </c>
      <c r="M757" s="4" t="s">
        <v>4289</v>
      </c>
      <c r="N757" s="4"/>
    </row>
    <row r="758" customFormat="false" ht="15" hidden="false" customHeight="false" outlineLevel="0" collapsed="false">
      <c r="A758" s="4" t="s">
        <v>4290</v>
      </c>
      <c r="B758" s="4" t="s">
        <v>539</v>
      </c>
      <c r="C758" s="22" t="n">
        <v>0.99</v>
      </c>
      <c r="D758" s="16" t="s">
        <v>4291</v>
      </c>
      <c r="E758" s="16" t="s">
        <v>4292</v>
      </c>
      <c r="F758" s="6" t="n">
        <v>46259</v>
      </c>
      <c r="G758" s="6" t="n">
        <v>46257</v>
      </c>
      <c r="H758" s="23" t="n">
        <f aca="false">ABS(F758-G758)</f>
        <v>2</v>
      </c>
      <c r="I758" s="7" t="n">
        <v>-35055.71</v>
      </c>
      <c r="J758" s="7" t="n">
        <v>-35055.71</v>
      </c>
      <c r="K758" s="7" t="n">
        <f aca="false">I758-J758</f>
        <v>0</v>
      </c>
      <c r="L758" s="4" t="s">
        <v>4293</v>
      </c>
      <c r="M758" s="4" t="s">
        <v>4294</v>
      </c>
      <c r="N758" s="4"/>
    </row>
    <row r="759" customFormat="false" ht="15" hidden="false" customHeight="false" outlineLevel="0" collapsed="false">
      <c r="A759" s="4" t="s">
        <v>4295</v>
      </c>
      <c r="B759" s="4" t="s">
        <v>539</v>
      </c>
      <c r="C759" s="22" t="n">
        <v>0.99</v>
      </c>
      <c r="D759" s="16" t="s">
        <v>4296</v>
      </c>
      <c r="E759" s="16" t="s">
        <v>4297</v>
      </c>
      <c r="F759" s="6" t="n">
        <v>46260</v>
      </c>
      <c r="G759" s="6" t="n">
        <v>46258</v>
      </c>
      <c r="H759" s="23" t="n">
        <f aca="false">ABS(F759-G759)</f>
        <v>2</v>
      </c>
      <c r="I759" s="7" t="n">
        <v>30888.97</v>
      </c>
      <c r="J759" s="7" t="n">
        <v>30888.97</v>
      </c>
      <c r="K759" s="7" t="n">
        <f aca="false">I759-J759</f>
        <v>0</v>
      </c>
      <c r="L759" s="4" t="s">
        <v>4298</v>
      </c>
      <c r="M759" s="4" t="s">
        <v>4299</v>
      </c>
      <c r="N759" s="4"/>
    </row>
    <row r="760" customFormat="false" ht="15" hidden="false" customHeight="false" outlineLevel="0" collapsed="false">
      <c r="A760" s="4" t="s">
        <v>4300</v>
      </c>
      <c r="B760" s="4" t="s">
        <v>539</v>
      </c>
      <c r="C760" s="22" t="n">
        <v>0.99</v>
      </c>
      <c r="D760" s="16" t="s">
        <v>4301</v>
      </c>
      <c r="E760" s="16" t="s">
        <v>4302</v>
      </c>
      <c r="F760" s="6" t="n">
        <v>46260</v>
      </c>
      <c r="G760" s="6" t="n">
        <v>46258</v>
      </c>
      <c r="H760" s="23" t="n">
        <f aca="false">ABS(F760-G760)</f>
        <v>2</v>
      </c>
      <c r="I760" s="7" t="n">
        <v>-48934.03</v>
      </c>
      <c r="J760" s="7" t="n">
        <v>-48934.03</v>
      </c>
      <c r="K760" s="7" t="n">
        <f aca="false">I760-J760</f>
        <v>0</v>
      </c>
      <c r="L760" s="4" t="s">
        <v>4303</v>
      </c>
      <c r="M760" s="4" t="s">
        <v>4304</v>
      </c>
      <c r="N760" s="4"/>
    </row>
    <row r="761" customFormat="false" ht="15" hidden="false" customHeight="false" outlineLevel="0" collapsed="false">
      <c r="A761" s="4" t="s">
        <v>4305</v>
      </c>
      <c r="B761" s="4" t="s">
        <v>539</v>
      </c>
      <c r="C761" s="22" t="n">
        <v>0.99</v>
      </c>
      <c r="D761" s="16" t="s">
        <v>4306</v>
      </c>
      <c r="E761" s="16" t="s">
        <v>4307</v>
      </c>
      <c r="F761" s="6" t="n">
        <v>46260</v>
      </c>
      <c r="G761" s="6" t="n">
        <v>46258</v>
      </c>
      <c r="H761" s="23" t="n">
        <f aca="false">ABS(F761-G761)</f>
        <v>2</v>
      </c>
      <c r="I761" s="7" t="n">
        <v>-12500.13</v>
      </c>
      <c r="J761" s="7" t="n">
        <v>-12500.13</v>
      </c>
      <c r="K761" s="7" t="n">
        <f aca="false">I761-J761</f>
        <v>0</v>
      </c>
      <c r="L761" s="4" t="s">
        <v>4308</v>
      </c>
      <c r="M761" s="4" t="s">
        <v>4309</v>
      </c>
      <c r="N761" s="4"/>
    </row>
    <row r="762" customFormat="false" ht="15" hidden="false" customHeight="false" outlineLevel="0" collapsed="false">
      <c r="A762" s="4" t="s">
        <v>4310</v>
      </c>
      <c r="B762" s="4" t="s">
        <v>539</v>
      </c>
      <c r="C762" s="22" t="n">
        <v>0.99</v>
      </c>
      <c r="D762" s="16" t="s">
        <v>4311</v>
      </c>
      <c r="E762" s="16" t="s">
        <v>4312</v>
      </c>
      <c r="F762" s="6" t="n">
        <v>46261</v>
      </c>
      <c r="G762" s="6" t="n">
        <v>46259</v>
      </c>
      <c r="H762" s="23" t="n">
        <f aca="false">ABS(F762-G762)</f>
        <v>2</v>
      </c>
      <c r="I762" s="7" t="n">
        <v>53948.47</v>
      </c>
      <c r="J762" s="7" t="n">
        <v>53948.47</v>
      </c>
      <c r="K762" s="7" t="n">
        <f aca="false">I762-J762</f>
        <v>0</v>
      </c>
      <c r="L762" s="4" t="s">
        <v>4313</v>
      </c>
      <c r="M762" s="4" t="s">
        <v>4314</v>
      </c>
      <c r="N762" s="4"/>
    </row>
    <row r="763" customFormat="false" ht="15" hidden="false" customHeight="false" outlineLevel="0" collapsed="false">
      <c r="A763" s="4" t="s">
        <v>4315</v>
      </c>
      <c r="B763" s="4" t="s">
        <v>539</v>
      </c>
      <c r="C763" s="22" t="n">
        <v>0.99</v>
      </c>
      <c r="D763" s="16" t="s">
        <v>4316</v>
      </c>
      <c r="E763" s="16" t="s">
        <v>4317</v>
      </c>
      <c r="F763" s="6" t="n">
        <v>46262</v>
      </c>
      <c r="G763" s="6" t="n">
        <v>46260</v>
      </c>
      <c r="H763" s="23" t="n">
        <f aca="false">ABS(F763-G763)</f>
        <v>2</v>
      </c>
      <c r="I763" s="7" t="n">
        <v>36610.57</v>
      </c>
      <c r="J763" s="7" t="n">
        <v>36610.57</v>
      </c>
      <c r="K763" s="7" t="n">
        <f aca="false">I763-J763</f>
        <v>0</v>
      </c>
      <c r="L763" s="4" t="s">
        <v>4318</v>
      </c>
      <c r="M763" s="4" t="s">
        <v>4319</v>
      </c>
      <c r="N763" s="4"/>
    </row>
    <row r="764" customFormat="false" ht="15" hidden="false" customHeight="false" outlineLevel="0" collapsed="false">
      <c r="A764" s="4" t="s">
        <v>4320</v>
      </c>
      <c r="B764" s="4" t="s">
        <v>539</v>
      </c>
      <c r="C764" s="22" t="n">
        <v>0.99</v>
      </c>
      <c r="D764" s="16" t="s">
        <v>4321</v>
      </c>
      <c r="E764" s="16" t="s">
        <v>4322</v>
      </c>
      <c r="F764" s="6" t="n">
        <v>46262</v>
      </c>
      <c r="G764" s="6" t="n">
        <v>46260</v>
      </c>
      <c r="H764" s="23" t="n">
        <f aca="false">ABS(F764-G764)</f>
        <v>2</v>
      </c>
      <c r="I764" s="7" t="n">
        <v>61862.47</v>
      </c>
      <c r="J764" s="7" t="n">
        <v>61862.47</v>
      </c>
      <c r="K764" s="7" t="n">
        <f aca="false">I764-J764</f>
        <v>0</v>
      </c>
      <c r="L764" s="4" t="s">
        <v>4323</v>
      </c>
      <c r="M764" s="4" t="s">
        <v>4324</v>
      </c>
      <c r="N764" s="4"/>
    </row>
    <row r="765" customFormat="false" ht="15" hidden="false" customHeight="false" outlineLevel="0" collapsed="false">
      <c r="A765" s="4" t="s">
        <v>4325</v>
      </c>
      <c r="B765" s="4" t="s">
        <v>539</v>
      </c>
      <c r="C765" s="22" t="n">
        <v>0.99</v>
      </c>
      <c r="D765" s="16" t="s">
        <v>4326</v>
      </c>
      <c r="E765" s="16" t="s">
        <v>4327</v>
      </c>
      <c r="F765" s="6" t="n">
        <v>46263</v>
      </c>
      <c r="G765" s="6" t="n">
        <v>46261</v>
      </c>
      <c r="H765" s="23" t="n">
        <f aca="false">ABS(F765-G765)</f>
        <v>2</v>
      </c>
      <c r="I765" s="7" t="n">
        <v>37648.88</v>
      </c>
      <c r="J765" s="7" t="n">
        <v>37648.88</v>
      </c>
      <c r="K765" s="7" t="n">
        <f aca="false">I765-J765</f>
        <v>0</v>
      </c>
      <c r="L765" s="4" t="s">
        <v>4328</v>
      </c>
      <c r="M765" s="4" t="s">
        <v>4329</v>
      </c>
      <c r="N765" s="4"/>
    </row>
    <row r="766" customFormat="false" ht="15" hidden="false" customHeight="false" outlineLevel="0" collapsed="false">
      <c r="A766" s="4" t="s">
        <v>4330</v>
      </c>
      <c r="B766" s="4" t="s">
        <v>539</v>
      </c>
      <c r="C766" s="22" t="n">
        <v>0.99</v>
      </c>
      <c r="D766" s="16" t="s">
        <v>4331</v>
      </c>
      <c r="E766" s="16" t="s">
        <v>4332</v>
      </c>
      <c r="F766" s="6" t="n">
        <v>46263</v>
      </c>
      <c r="G766" s="6" t="n">
        <v>46261</v>
      </c>
      <c r="H766" s="23" t="n">
        <f aca="false">ABS(F766-G766)</f>
        <v>2</v>
      </c>
      <c r="I766" s="7" t="n">
        <v>81962.59</v>
      </c>
      <c r="J766" s="7" t="n">
        <v>81962.59</v>
      </c>
      <c r="K766" s="7" t="n">
        <f aca="false">I766-J766</f>
        <v>0</v>
      </c>
      <c r="L766" s="4" t="s">
        <v>4333</v>
      </c>
      <c r="M766" s="4" t="s">
        <v>4334</v>
      </c>
      <c r="N766" s="4"/>
    </row>
    <row r="767" customFormat="false" ht="15" hidden="false" customHeight="false" outlineLevel="0" collapsed="false">
      <c r="A767" s="4" t="s">
        <v>4335</v>
      </c>
      <c r="B767" s="4" t="s">
        <v>539</v>
      </c>
      <c r="C767" s="22" t="n">
        <v>0.99</v>
      </c>
      <c r="D767" s="16" t="s">
        <v>4336</v>
      </c>
      <c r="E767" s="16" t="s">
        <v>4337</v>
      </c>
      <c r="F767" s="6" t="n">
        <v>46263</v>
      </c>
      <c r="G767" s="6" t="n">
        <v>46261</v>
      </c>
      <c r="H767" s="23" t="n">
        <f aca="false">ABS(F767-G767)</f>
        <v>2</v>
      </c>
      <c r="I767" s="7" t="n">
        <v>19582.05</v>
      </c>
      <c r="J767" s="7" t="n">
        <v>19582.05</v>
      </c>
      <c r="K767" s="7" t="n">
        <f aca="false">I767-J767</f>
        <v>0</v>
      </c>
      <c r="L767" s="4" t="s">
        <v>4338</v>
      </c>
      <c r="M767" s="4" t="s">
        <v>4339</v>
      </c>
      <c r="N767" s="4"/>
    </row>
    <row r="768" customFormat="false" ht="15" hidden="false" customHeight="false" outlineLevel="0" collapsed="false">
      <c r="A768" s="4" t="s">
        <v>4340</v>
      </c>
      <c r="B768" s="4" t="s">
        <v>539</v>
      </c>
      <c r="C768" s="22" t="n">
        <v>0.99</v>
      </c>
      <c r="D768" s="16" t="s">
        <v>4341</v>
      </c>
      <c r="E768" s="16" t="s">
        <v>4342</v>
      </c>
      <c r="F768" s="6" t="n">
        <v>46264</v>
      </c>
      <c r="G768" s="6" t="n">
        <v>46262</v>
      </c>
      <c r="H768" s="23" t="n">
        <f aca="false">ABS(F768-G768)</f>
        <v>2</v>
      </c>
      <c r="I768" s="7" t="n">
        <v>35548.13</v>
      </c>
      <c r="J768" s="7" t="n">
        <v>35548.13</v>
      </c>
      <c r="K768" s="7" t="n">
        <f aca="false">I768-J768</f>
        <v>0</v>
      </c>
      <c r="L768" s="4" t="s">
        <v>4343</v>
      </c>
      <c r="M768" s="4" t="s">
        <v>4344</v>
      </c>
      <c r="N768" s="4"/>
    </row>
    <row r="769" customFormat="false" ht="15" hidden="false" customHeight="false" outlineLevel="0" collapsed="false">
      <c r="A769" s="4" t="s">
        <v>4345</v>
      </c>
      <c r="B769" s="4" t="s">
        <v>539</v>
      </c>
      <c r="C769" s="22" t="n">
        <v>0.99</v>
      </c>
      <c r="D769" s="16" t="s">
        <v>4346</v>
      </c>
      <c r="E769" s="16" t="s">
        <v>4347</v>
      </c>
      <c r="F769" s="6" t="n">
        <v>46264</v>
      </c>
      <c r="G769" s="6" t="n">
        <v>46262</v>
      </c>
      <c r="H769" s="23" t="n">
        <f aca="false">ABS(F769-G769)</f>
        <v>2</v>
      </c>
      <c r="I769" s="7" t="n">
        <v>80938.67</v>
      </c>
      <c r="J769" s="7" t="n">
        <v>80938.67</v>
      </c>
      <c r="K769" s="7" t="n">
        <f aca="false">I769-J769</f>
        <v>0</v>
      </c>
      <c r="L769" s="4" t="s">
        <v>4348</v>
      </c>
      <c r="M769" s="4" t="s">
        <v>4349</v>
      </c>
      <c r="N769" s="4"/>
    </row>
    <row r="770" customFormat="false" ht="15" hidden="false" customHeight="false" outlineLevel="0" collapsed="false">
      <c r="A770" s="4" t="s">
        <v>4350</v>
      </c>
      <c r="B770" s="4" t="s">
        <v>539</v>
      </c>
      <c r="C770" s="22" t="n">
        <v>0.99</v>
      </c>
      <c r="D770" s="16" t="s">
        <v>4351</v>
      </c>
      <c r="E770" s="16" t="s">
        <v>4352</v>
      </c>
      <c r="F770" s="6" t="n">
        <v>46264</v>
      </c>
      <c r="G770" s="6" t="n">
        <v>46262</v>
      </c>
      <c r="H770" s="23" t="n">
        <f aca="false">ABS(F770-G770)</f>
        <v>2</v>
      </c>
      <c r="I770" s="7" t="n">
        <v>-866.72</v>
      </c>
      <c r="J770" s="7" t="n">
        <v>-866.72</v>
      </c>
      <c r="K770" s="7" t="n">
        <f aca="false">I770-J770</f>
        <v>0</v>
      </c>
      <c r="L770" s="4" t="s">
        <v>4353</v>
      </c>
      <c r="M770" s="4" t="s">
        <v>4354</v>
      </c>
      <c r="N770" s="4"/>
    </row>
    <row r="771" customFormat="false" ht="15" hidden="false" customHeight="false" outlineLevel="0" collapsed="false">
      <c r="A771" s="4" t="s">
        <v>4355</v>
      </c>
      <c r="B771" s="4" t="s">
        <v>539</v>
      </c>
      <c r="C771" s="22" t="n">
        <v>0.99</v>
      </c>
      <c r="D771" s="16" t="s">
        <v>4356</v>
      </c>
      <c r="E771" s="16" t="s">
        <v>4357</v>
      </c>
      <c r="F771" s="6" t="n">
        <v>46265</v>
      </c>
      <c r="G771" s="6" t="n">
        <v>46263</v>
      </c>
      <c r="H771" s="23" t="n">
        <f aca="false">ABS(F771-G771)</f>
        <v>2</v>
      </c>
      <c r="I771" s="7" t="n">
        <v>-49241.2</v>
      </c>
      <c r="J771" s="7" t="n">
        <v>-49241.2</v>
      </c>
      <c r="K771" s="7" t="n">
        <f aca="false">I771-J771</f>
        <v>0</v>
      </c>
      <c r="L771" s="4" t="s">
        <v>4358</v>
      </c>
      <c r="M771" s="4" t="s">
        <v>4359</v>
      </c>
      <c r="N771" s="4"/>
    </row>
    <row r="772" customFormat="false" ht="15" hidden="false" customHeight="false" outlineLevel="0" collapsed="false">
      <c r="A772" s="4" t="s">
        <v>4360</v>
      </c>
      <c r="B772" s="4" t="s">
        <v>539</v>
      </c>
      <c r="C772" s="22" t="n">
        <v>0.99</v>
      </c>
      <c r="D772" s="16" t="s">
        <v>4361</v>
      </c>
      <c r="E772" s="16" t="s">
        <v>4362</v>
      </c>
      <c r="F772" s="6" t="n">
        <v>46265</v>
      </c>
      <c r="G772" s="6" t="n">
        <v>46263</v>
      </c>
      <c r="H772" s="23" t="n">
        <f aca="false">ABS(F772-G772)</f>
        <v>2</v>
      </c>
      <c r="I772" s="7" t="n">
        <v>-21532.64</v>
      </c>
      <c r="J772" s="7" t="n">
        <v>-21532.64</v>
      </c>
      <c r="K772" s="7" t="n">
        <f aca="false">I772-J772</f>
        <v>0</v>
      </c>
      <c r="L772" s="4" t="s">
        <v>4363</v>
      </c>
      <c r="M772" s="4" t="s">
        <v>4364</v>
      </c>
      <c r="N772" s="4"/>
    </row>
    <row r="773" customFormat="false" ht="15" hidden="false" customHeight="false" outlineLevel="0" collapsed="false">
      <c r="A773" s="4" t="s">
        <v>4365</v>
      </c>
      <c r="B773" s="4" t="s">
        <v>539</v>
      </c>
      <c r="C773" s="22" t="n">
        <v>0.99</v>
      </c>
      <c r="D773" s="16" t="s">
        <v>4366</v>
      </c>
      <c r="E773" s="16" t="s">
        <v>4367</v>
      </c>
      <c r="F773" s="6" t="n">
        <v>46266</v>
      </c>
      <c r="G773" s="6" t="n">
        <v>46264</v>
      </c>
      <c r="H773" s="23" t="n">
        <f aca="false">ABS(F773-G773)</f>
        <v>2</v>
      </c>
      <c r="I773" s="7" t="n">
        <v>68275.08</v>
      </c>
      <c r="J773" s="7" t="n">
        <v>68275.08</v>
      </c>
      <c r="K773" s="7" t="n">
        <f aca="false">I773-J773</f>
        <v>0</v>
      </c>
      <c r="L773" s="4" t="s">
        <v>4368</v>
      </c>
      <c r="M773" s="4" t="s">
        <v>4369</v>
      </c>
      <c r="N773" s="4"/>
    </row>
    <row r="774" customFormat="false" ht="15" hidden="false" customHeight="false" outlineLevel="0" collapsed="false">
      <c r="A774" s="4" t="s">
        <v>4370</v>
      </c>
      <c r="B774" s="4" t="s">
        <v>539</v>
      </c>
      <c r="C774" s="22" t="n">
        <v>0.99</v>
      </c>
      <c r="D774" s="16" t="s">
        <v>4371</v>
      </c>
      <c r="E774" s="16" t="s">
        <v>4372</v>
      </c>
      <c r="F774" s="6" t="n">
        <v>46267</v>
      </c>
      <c r="G774" s="6" t="n">
        <v>46265</v>
      </c>
      <c r="H774" s="23" t="n">
        <f aca="false">ABS(F774-G774)</f>
        <v>2</v>
      </c>
      <c r="I774" s="7" t="n">
        <v>69636.16</v>
      </c>
      <c r="J774" s="7" t="n">
        <v>69636.16</v>
      </c>
      <c r="K774" s="7" t="n">
        <f aca="false">I774-J774</f>
        <v>0</v>
      </c>
      <c r="L774" s="4" t="s">
        <v>4373</v>
      </c>
      <c r="M774" s="4" t="s">
        <v>4374</v>
      </c>
      <c r="N774" s="4"/>
    </row>
    <row r="775" customFormat="false" ht="15" hidden="false" customHeight="false" outlineLevel="0" collapsed="false">
      <c r="A775" s="4" t="s">
        <v>4375</v>
      </c>
      <c r="B775" s="4" t="s">
        <v>539</v>
      </c>
      <c r="C775" s="22" t="n">
        <v>0.99</v>
      </c>
      <c r="D775" s="16" t="s">
        <v>4376</v>
      </c>
      <c r="E775" s="16" t="s">
        <v>4377</v>
      </c>
      <c r="F775" s="6" t="n">
        <v>46268</v>
      </c>
      <c r="G775" s="6" t="n">
        <v>46266</v>
      </c>
      <c r="H775" s="23" t="n">
        <f aca="false">ABS(F775-G775)</f>
        <v>2</v>
      </c>
      <c r="I775" s="7" t="n">
        <v>82679.59</v>
      </c>
      <c r="J775" s="7" t="n">
        <v>82679.59</v>
      </c>
      <c r="K775" s="7" t="n">
        <f aca="false">I775-J775</f>
        <v>0</v>
      </c>
      <c r="L775" s="4" t="s">
        <v>4378</v>
      </c>
      <c r="M775" s="4" t="s">
        <v>4379</v>
      </c>
      <c r="N775" s="4"/>
    </row>
    <row r="776" customFormat="false" ht="15" hidden="false" customHeight="false" outlineLevel="0" collapsed="false">
      <c r="A776" s="4" t="s">
        <v>4380</v>
      </c>
      <c r="B776" s="4" t="s">
        <v>539</v>
      </c>
      <c r="C776" s="22" t="n">
        <v>0.99</v>
      </c>
      <c r="D776" s="16" t="s">
        <v>4381</v>
      </c>
      <c r="E776" s="16" t="s">
        <v>4382</v>
      </c>
      <c r="F776" s="6" t="n">
        <v>46270</v>
      </c>
      <c r="G776" s="6" t="n">
        <v>46268</v>
      </c>
      <c r="H776" s="23" t="n">
        <f aca="false">ABS(F776-G776)</f>
        <v>2</v>
      </c>
      <c r="I776" s="7" t="n">
        <v>36133.36</v>
      </c>
      <c r="J776" s="7" t="n">
        <v>36133.36</v>
      </c>
      <c r="K776" s="7" t="n">
        <f aca="false">I776-J776</f>
        <v>0</v>
      </c>
      <c r="L776" s="4" t="s">
        <v>4383</v>
      </c>
      <c r="M776" s="4" t="s">
        <v>4384</v>
      </c>
      <c r="N776" s="4"/>
    </row>
    <row r="777" customFormat="false" ht="15" hidden="false" customHeight="false" outlineLevel="0" collapsed="false">
      <c r="A777" s="4" t="s">
        <v>4385</v>
      </c>
      <c r="B777" s="4" t="s">
        <v>539</v>
      </c>
      <c r="C777" s="22" t="n">
        <v>0.99</v>
      </c>
      <c r="D777" s="16" t="s">
        <v>4386</v>
      </c>
      <c r="E777" s="16" t="s">
        <v>4387</v>
      </c>
      <c r="F777" s="6" t="n">
        <v>46271</v>
      </c>
      <c r="G777" s="6" t="n">
        <v>46269</v>
      </c>
      <c r="H777" s="23" t="n">
        <f aca="false">ABS(F777-G777)</f>
        <v>2</v>
      </c>
      <c r="I777" s="7" t="n">
        <v>28501.07</v>
      </c>
      <c r="J777" s="7" t="n">
        <v>28501.07</v>
      </c>
      <c r="K777" s="7" t="n">
        <f aca="false">I777-J777</f>
        <v>0</v>
      </c>
      <c r="L777" s="4" t="s">
        <v>4388</v>
      </c>
      <c r="M777" s="4" t="s">
        <v>4389</v>
      </c>
      <c r="N777" s="4"/>
    </row>
    <row r="778" customFormat="false" ht="15" hidden="false" customHeight="false" outlineLevel="0" collapsed="false">
      <c r="A778" s="4" t="s">
        <v>4390</v>
      </c>
      <c r="B778" s="4" t="s">
        <v>539</v>
      </c>
      <c r="C778" s="22" t="n">
        <v>0.99</v>
      </c>
      <c r="D778" s="16" t="s">
        <v>4391</v>
      </c>
      <c r="E778" s="16" t="s">
        <v>4392</v>
      </c>
      <c r="F778" s="6" t="n">
        <v>46272</v>
      </c>
      <c r="G778" s="6" t="n">
        <v>46270</v>
      </c>
      <c r="H778" s="23" t="n">
        <f aca="false">ABS(F778-G778)</f>
        <v>2</v>
      </c>
      <c r="I778" s="7" t="n">
        <v>-30124.56</v>
      </c>
      <c r="J778" s="7" t="n">
        <v>-30124.56</v>
      </c>
      <c r="K778" s="7" t="n">
        <f aca="false">I778-J778</f>
        <v>0</v>
      </c>
      <c r="L778" s="4" t="s">
        <v>4393</v>
      </c>
      <c r="M778" s="4" t="s">
        <v>4394</v>
      </c>
      <c r="N778" s="4"/>
    </row>
    <row r="779" customFormat="false" ht="15" hidden="false" customHeight="false" outlineLevel="0" collapsed="false">
      <c r="A779" s="4" t="s">
        <v>4395</v>
      </c>
      <c r="B779" s="4" t="s">
        <v>539</v>
      </c>
      <c r="C779" s="22" t="n">
        <v>0.99</v>
      </c>
      <c r="D779" s="16" t="s">
        <v>4396</v>
      </c>
      <c r="E779" s="16" t="s">
        <v>4397</v>
      </c>
      <c r="F779" s="6" t="n">
        <v>46272</v>
      </c>
      <c r="G779" s="6" t="n">
        <v>46270</v>
      </c>
      <c r="H779" s="23" t="n">
        <f aca="false">ABS(F779-G779)</f>
        <v>2</v>
      </c>
      <c r="I779" s="7" t="n">
        <v>-37553.36</v>
      </c>
      <c r="J779" s="7" t="n">
        <v>-37553.36</v>
      </c>
      <c r="K779" s="7" t="n">
        <f aca="false">I779-J779</f>
        <v>0</v>
      </c>
      <c r="L779" s="4" t="s">
        <v>4398</v>
      </c>
      <c r="M779" s="4" t="s">
        <v>4399</v>
      </c>
      <c r="N779" s="4"/>
    </row>
    <row r="780" customFormat="false" ht="15" hidden="false" customHeight="false" outlineLevel="0" collapsed="false">
      <c r="A780" s="4" t="s">
        <v>4400</v>
      </c>
      <c r="B780" s="4" t="s">
        <v>539</v>
      </c>
      <c r="C780" s="22" t="n">
        <v>0.99</v>
      </c>
      <c r="D780" s="16" t="s">
        <v>4401</v>
      </c>
      <c r="E780" s="16" t="s">
        <v>4402</v>
      </c>
      <c r="F780" s="6" t="n">
        <v>46273</v>
      </c>
      <c r="G780" s="6" t="n">
        <v>46271</v>
      </c>
      <c r="H780" s="23" t="n">
        <f aca="false">ABS(F780-G780)</f>
        <v>2</v>
      </c>
      <c r="I780" s="7" t="n">
        <v>65774.49</v>
      </c>
      <c r="J780" s="7" t="n">
        <v>65774.49</v>
      </c>
      <c r="K780" s="7" t="n">
        <f aca="false">I780-J780</f>
        <v>0</v>
      </c>
      <c r="L780" s="4" t="s">
        <v>4403</v>
      </c>
      <c r="M780" s="4" t="s">
        <v>4404</v>
      </c>
      <c r="N780" s="4"/>
    </row>
    <row r="781" customFormat="false" ht="15" hidden="false" customHeight="false" outlineLevel="0" collapsed="false">
      <c r="A781" s="4" t="s">
        <v>4405</v>
      </c>
      <c r="B781" s="4" t="s">
        <v>539</v>
      </c>
      <c r="C781" s="22" t="n">
        <v>0.99</v>
      </c>
      <c r="D781" s="16" t="s">
        <v>4406</v>
      </c>
      <c r="E781" s="16" t="s">
        <v>4407</v>
      </c>
      <c r="F781" s="6" t="n">
        <v>46273</v>
      </c>
      <c r="G781" s="6" t="n">
        <v>46271</v>
      </c>
      <c r="H781" s="23" t="n">
        <f aca="false">ABS(F781-G781)</f>
        <v>2</v>
      </c>
      <c r="I781" s="7" t="n">
        <v>-38050.52</v>
      </c>
      <c r="J781" s="7" t="n">
        <v>-38050.52</v>
      </c>
      <c r="K781" s="7" t="n">
        <f aca="false">I781-J781</f>
        <v>0</v>
      </c>
      <c r="L781" s="4" t="s">
        <v>4408</v>
      </c>
      <c r="M781" s="4" t="s">
        <v>4409</v>
      </c>
      <c r="N781" s="4"/>
    </row>
    <row r="782" customFormat="false" ht="15" hidden="false" customHeight="false" outlineLevel="0" collapsed="false">
      <c r="A782" s="4" t="s">
        <v>4410</v>
      </c>
      <c r="B782" s="4" t="s">
        <v>539</v>
      </c>
      <c r="C782" s="22" t="n">
        <v>0.99</v>
      </c>
      <c r="D782" s="16" t="s">
        <v>4411</v>
      </c>
      <c r="E782" s="16" t="s">
        <v>4412</v>
      </c>
      <c r="F782" s="6" t="n">
        <v>46273</v>
      </c>
      <c r="G782" s="6" t="n">
        <v>46271</v>
      </c>
      <c r="H782" s="23" t="n">
        <f aca="false">ABS(F782-G782)</f>
        <v>2</v>
      </c>
      <c r="I782" s="7" t="n">
        <v>-55676.06</v>
      </c>
      <c r="J782" s="7" t="n">
        <v>-55676.06</v>
      </c>
      <c r="K782" s="7" t="n">
        <f aca="false">I782-J782</f>
        <v>0</v>
      </c>
      <c r="L782" s="4" t="s">
        <v>4413</v>
      </c>
      <c r="M782" s="4" t="s">
        <v>4414</v>
      </c>
      <c r="N782" s="4"/>
    </row>
    <row r="783" customFormat="false" ht="15" hidden="false" customHeight="false" outlineLevel="0" collapsed="false">
      <c r="A783" s="4" t="s">
        <v>4415</v>
      </c>
      <c r="B783" s="4" t="s">
        <v>539</v>
      </c>
      <c r="C783" s="22" t="n">
        <v>0.99</v>
      </c>
      <c r="D783" s="16" t="s">
        <v>4416</v>
      </c>
      <c r="E783" s="16" t="s">
        <v>4417</v>
      </c>
      <c r="F783" s="6" t="n">
        <v>46275</v>
      </c>
      <c r="G783" s="6" t="n">
        <v>46273</v>
      </c>
      <c r="H783" s="23" t="n">
        <f aca="false">ABS(F783-G783)</f>
        <v>2</v>
      </c>
      <c r="I783" s="7" t="n">
        <v>84475.32</v>
      </c>
      <c r="J783" s="7" t="n">
        <v>84475.32</v>
      </c>
      <c r="K783" s="7" t="n">
        <f aca="false">I783-J783</f>
        <v>0</v>
      </c>
      <c r="L783" s="4" t="s">
        <v>4418</v>
      </c>
      <c r="M783" s="4" t="s">
        <v>4419</v>
      </c>
      <c r="N783" s="4"/>
    </row>
    <row r="784" customFormat="false" ht="15" hidden="false" customHeight="false" outlineLevel="0" collapsed="false">
      <c r="A784" s="4" t="s">
        <v>4420</v>
      </c>
      <c r="B784" s="4" t="s">
        <v>539</v>
      </c>
      <c r="C784" s="22" t="n">
        <v>0.99</v>
      </c>
      <c r="D784" s="16" t="s">
        <v>4421</v>
      </c>
      <c r="E784" s="16" t="s">
        <v>4422</v>
      </c>
      <c r="F784" s="6" t="n">
        <v>46275</v>
      </c>
      <c r="G784" s="6" t="n">
        <v>46273</v>
      </c>
      <c r="H784" s="23" t="n">
        <f aca="false">ABS(F784-G784)</f>
        <v>2</v>
      </c>
      <c r="I784" s="7" t="n">
        <v>-11793.61</v>
      </c>
      <c r="J784" s="7" t="n">
        <v>-11793.61</v>
      </c>
      <c r="K784" s="7" t="n">
        <f aca="false">I784-J784</f>
        <v>0</v>
      </c>
      <c r="L784" s="4" t="s">
        <v>4423</v>
      </c>
      <c r="M784" s="4" t="s">
        <v>4424</v>
      </c>
      <c r="N784" s="4"/>
    </row>
    <row r="785" customFormat="false" ht="15" hidden="false" customHeight="false" outlineLevel="0" collapsed="false">
      <c r="A785" s="4" t="s">
        <v>4425</v>
      </c>
      <c r="B785" s="4" t="s">
        <v>539</v>
      </c>
      <c r="C785" s="22" t="n">
        <v>0.99</v>
      </c>
      <c r="D785" s="16" t="s">
        <v>4426</v>
      </c>
      <c r="E785" s="16" t="s">
        <v>4427</v>
      </c>
      <c r="F785" s="6" t="n">
        <v>46275</v>
      </c>
      <c r="G785" s="6" t="n">
        <v>46273</v>
      </c>
      <c r="H785" s="23" t="n">
        <f aca="false">ABS(F785-G785)</f>
        <v>2</v>
      </c>
      <c r="I785" s="7" t="n">
        <v>-18739.12</v>
      </c>
      <c r="J785" s="7" t="n">
        <v>-18739.12</v>
      </c>
      <c r="K785" s="7" t="n">
        <f aca="false">I785-J785</f>
        <v>0</v>
      </c>
      <c r="L785" s="4" t="s">
        <v>4428</v>
      </c>
      <c r="M785" s="4" t="s">
        <v>4429</v>
      </c>
      <c r="N785" s="4"/>
    </row>
    <row r="786" customFormat="false" ht="15" hidden="false" customHeight="false" outlineLevel="0" collapsed="false">
      <c r="A786" s="4" t="s">
        <v>4430</v>
      </c>
      <c r="B786" s="4" t="s">
        <v>539</v>
      </c>
      <c r="C786" s="22" t="n">
        <v>0.99</v>
      </c>
      <c r="D786" s="16" t="s">
        <v>4431</v>
      </c>
      <c r="E786" s="16" t="s">
        <v>4432</v>
      </c>
      <c r="F786" s="6" t="n">
        <v>46276</v>
      </c>
      <c r="G786" s="6" t="n">
        <v>46274</v>
      </c>
      <c r="H786" s="23" t="n">
        <f aca="false">ABS(F786-G786)</f>
        <v>2</v>
      </c>
      <c r="I786" s="7" t="n">
        <v>35237.49</v>
      </c>
      <c r="J786" s="7" t="n">
        <v>35237.49</v>
      </c>
      <c r="K786" s="7" t="n">
        <f aca="false">I786-J786</f>
        <v>0</v>
      </c>
      <c r="L786" s="4" t="s">
        <v>4433</v>
      </c>
      <c r="M786" s="4" t="s">
        <v>4434</v>
      </c>
      <c r="N786" s="4"/>
    </row>
    <row r="787" customFormat="false" ht="15" hidden="false" customHeight="false" outlineLevel="0" collapsed="false">
      <c r="A787" s="4" t="s">
        <v>4435</v>
      </c>
      <c r="B787" s="4" t="s">
        <v>539</v>
      </c>
      <c r="C787" s="22" t="n">
        <v>0.99</v>
      </c>
      <c r="D787" s="16" t="s">
        <v>4436</v>
      </c>
      <c r="E787" s="16" t="s">
        <v>4437</v>
      </c>
      <c r="F787" s="6" t="n">
        <v>46276</v>
      </c>
      <c r="G787" s="6" t="n">
        <v>46274</v>
      </c>
      <c r="H787" s="23" t="n">
        <f aca="false">ABS(F787-G787)</f>
        <v>2</v>
      </c>
      <c r="I787" s="7" t="n">
        <v>6115.46</v>
      </c>
      <c r="J787" s="7" t="n">
        <v>6115.46</v>
      </c>
      <c r="K787" s="7" t="n">
        <f aca="false">I787-J787</f>
        <v>0</v>
      </c>
      <c r="L787" s="4" t="s">
        <v>4438</v>
      </c>
      <c r="M787" s="4" t="s">
        <v>4439</v>
      </c>
      <c r="N787" s="4"/>
    </row>
    <row r="788" customFormat="false" ht="15" hidden="false" customHeight="false" outlineLevel="0" collapsed="false">
      <c r="A788" s="4" t="s">
        <v>4440</v>
      </c>
      <c r="B788" s="4" t="s">
        <v>539</v>
      </c>
      <c r="C788" s="22" t="n">
        <v>0.99</v>
      </c>
      <c r="D788" s="16" t="s">
        <v>4441</v>
      </c>
      <c r="E788" s="16" t="s">
        <v>4442</v>
      </c>
      <c r="F788" s="6" t="n">
        <v>46276</v>
      </c>
      <c r="G788" s="6" t="n">
        <v>46274</v>
      </c>
      <c r="H788" s="23" t="n">
        <f aca="false">ABS(F788-G788)</f>
        <v>2</v>
      </c>
      <c r="I788" s="7" t="n">
        <v>3397.79</v>
      </c>
      <c r="J788" s="7" t="n">
        <v>3397.79</v>
      </c>
      <c r="K788" s="7" t="n">
        <f aca="false">I788-J788</f>
        <v>0</v>
      </c>
      <c r="L788" s="4" t="s">
        <v>4443</v>
      </c>
      <c r="M788" s="4" t="s">
        <v>4444</v>
      </c>
      <c r="N788" s="4"/>
    </row>
    <row r="789" customFormat="false" ht="15" hidden="false" customHeight="false" outlineLevel="0" collapsed="false">
      <c r="A789" s="4" t="s">
        <v>4445</v>
      </c>
      <c r="B789" s="4" t="s">
        <v>539</v>
      </c>
      <c r="C789" s="22" t="n">
        <v>0.99</v>
      </c>
      <c r="D789" s="16" t="s">
        <v>4446</v>
      </c>
      <c r="E789" s="16" t="s">
        <v>4447</v>
      </c>
      <c r="F789" s="6" t="n">
        <v>46276</v>
      </c>
      <c r="G789" s="6" t="n">
        <v>46274</v>
      </c>
      <c r="H789" s="23" t="n">
        <f aca="false">ABS(F789-G789)</f>
        <v>2</v>
      </c>
      <c r="I789" s="7" t="n">
        <v>-6428.89</v>
      </c>
      <c r="J789" s="7" t="n">
        <v>-6428.89</v>
      </c>
      <c r="K789" s="7" t="n">
        <f aca="false">I789-J789</f>
        <v>0</v>
      </c>
      <c r="L789" s="4" t="s">
        <v>4448</v>
      </c>
      <c r="M789" s="4" t="s">
        <v>4449</v>
      </c>
      <c r="N789" s="4"/>
    </row>
    <row r="790" customFormat="false" ht="15" hidden="false" customHeight="false" outlineLevel="0" collapsed="false">
      <c r="A790" s="4" t="s">
        <v>4450</v>
      </c>
      <c r="B790" s="4" t="s">
        <v>539</v>
      </c>
      <c r="C790" s="22" t="n">
        <v>0.99</v>
      </c>
      <c r="D790" s="16" t="s">
        <v>4451</v>
      </c>
      <c r="E790" s="16" t="s">
        <v>4452</v>
      </c>
      <c r="F790" s="6" t="n">
        <v>46277</v>
      </c>
      <c r="G790" s="6" t="n">
        <v>46275</v>
      </c>
      <c r="H790" s="23" t="n">
        <f aca="false">ABS(F790-G790)</f>
        <v>2</v>
      </c>
      <c r="I790" s="7" t="n">
        <v>-49597.95</v>
      </c>
      <c r="J790" s="7" t="n">
        <v>-49597.95</v>
      </c>
      <c r="K790" s="7" t="n">
        <f aca="false">I790-J790</f>
        <v>0</v>
      </c>
      <c r="L790" s="4" t="s">
        <v>4453</v>
      </c>
      <c r="M790" s="4" t="s">
        <v>4454</v>
      </c>
      <c r="N790" s="4"/>
    </row>
    <row r="791" customFormat="false" ht="15" hidden="false" customHeight="false" outlineLevel="0" collapsed="false">
      <c r="A791" s="4" t="s">
        <v>4455</v>
      </c>
      <c r="B791" s="4" t="s">
        <v>539</v>
      </c>
      <c r="C791" s="22" t="n">
        <v>0.99</v>
      </c>
      <c r="D791" s="16" t="s">
        <v>4456</v>
      </c>
      <c r="E791" s="16" t="s">
        <v>4457</v>
      </c>
      <c r="F791" s="6" t="n">
        <v>46278</v>
      </c>
      <c r="G791" s="6" t="n">
        <v>46276</v>
      </c>
      <c r="H791" s="23" t="n">
        <f aca="false">ABS(F791-G791)</f>
        <v>2</v>
      </c>
      <c r="I791" s="7" t="n">
        <v>4876.07</v>
      </c>
      <c r="J791" s="7" t="n">
        <v>4876.07</v>
      </c>
      <c r="K791" s="7" t="n">
        <f aca="false">I791-J791</f>
        <v>0</v>
      </c>
      <c r="L791" s="4" t="s">
        <v>4458</v>
      </c>
      <c r="M791" s="4" t="s">
        <v>4459</v>
      </c>
      <c r="N791" s="4"/>
    </row>
    <row r="792" customFormat="false" ht="15" hidden="false" customHeight="false" outlineLevel="0" collapsed="false">
      <c r="A792" s="4" t="s">
        <v>4460</v>
      </c>
      <c r="B792" s="4" t="s">
        <v>539</v>
      </c>
      <c r="C792" s="22" t="n">
        <v>0.99</v>
      </c>
      <c r="D792" s="16" t="s">
        <v>4461</v>
      </c>
      <c r="E792" s="16" t="s">
        <v>4462</v>
      </c>
      <c r="F792" s="6" t="n">
        <v>46278</v>
      </c>
      <c r="G792" s="6" t="n">
        <v>46276</v>
      </c>
      <c r="H792" s="23" t="n">
        <f aca="false">ABS(F792-G792)</f>
        <v>2</v>
      </c>
      <c r="I792" s="7" t="n">
        <v>8024.84</v>
      </c>
      <c r="J792" s="7" t="n">
        <v>8024.84</v>
      </c>
      <c r="K792" s="7" t="n">
        <f aca="false">I792-J792</f>
        <v>0</v>
      </c>
      <c r="L792" s="4" t="s">
        <v>4463</v>
      </c>
      <c r="M792" s="4" t="s">
        <v>4464</v>
      </c>
      <c r="N792" s="4"/>
    </row>
    <row r="793" customFormat="false" ht="15" hidden="false" customHeight="false" outlineLevel="0" collapsed="false">
      <c r="A793" s="4" t="s">
        <v>4465</v>
      </c>
      <c r="B793" s="4" t="s">
        <v>539</v>
      </c>
      <c r="C793" s="22" t="n">
        <v>0.99</v>
      </c>
      <c r="D793" s="16" t="s">
        <v>4466</v>
      </c>
      <c r="E793" s="16" t="s">
        <v>4467</v>
      </c>
      <c r="F793" s="6" t="n">
        <v>46278</v>
      </c>
      <c r="G793" s="6" t="n">
        <v>46276</v>
      </c>
      <c r="H793" s="23" t="n">
        <f aca="false">ABS(F793-G793)</f>
        <v>2</v>
      </c>
      <c r="I793" s="7" t="n">
        <v>-26981.81</v>
      </c>
      <c r="J793" s="7" t="n">
        <v>-26981.81</v>
      </c>
      <c r="K793" s="7" t="n">
        <f aca="false">I793-J793</f>
        <v>0</v>
      </c>
      <c r="L793" s="4" t="s">
        <v>4468</v>
      </c>
      <c r="M793" s="4" t="s">
        <v>4469</v>
      </c>
      <c r="N793" s="4"/>
    </row>
    <row r="794" customFormat="false" ht="15" hidden="false" customHeight="false" outlineLevel="0" collapsed="false">
      <c r="A794" s="4" t="s">
        <v>4470</v>
      </c>
      <c r="B794" s="4" t="s">
        <v>539</v>
      </c>
      <c r="C794" s="22" t="n">
        <v>0.99</v>
      </c>
      <c r="D794" s="16" t="s">
        <v>4471</v>
      </c>
      <c r="E794" s="16" t="s">
        <v>4472</v>
      </c>
      <c r="F794" s="6" t="n">
        <v>46279</v>
      </c>
      <c r="G794" s="6" t="n">
        <v>46277</v>
      </c>
      <c r="H794" s="23" t="n">
        <f aca="false">ABS(F794-G794)</f>
        <v>2</v>
      </c>
      <c r="I794" s="7" t="n">
        <v>42562.61</v>
      </c>
      <c r="J794" s="7" t="n">
        <v>42562.61</v>
      </c>
      <c r="K794" s="7" t="n">
        <f aca="false">I794-J794</f>
        <v>0</v>
      </c>
      <c r="L794" s="4" t="s">
        <v>4473</v>
      </c>
      <c r="M794" s="4" t="s">
        <v>4474</v>
      </c>
      <c r="N794" s="4"/>
    </row>
    <row r="795" customFormat="false" ht="15" hidden="false" customHeight="false" outlineLevel="0" collapsed="false">
      <c r="A795" s="4" t="s">
        <v>4475</v>
      </c>
      <c r="B795" s="4" t="s">
        <v>539</v>
      </c>
      <c r="C795" s="22" t="n">
        <v>0.99</v>
      </c>
      <c r="D795" s="16" t="s">
        <v>4476</v>
      </c>
      <c r="E795" s="16" t="s">
        <v>4477</v>
      </c>
      <c r="F795" s="6" t="n">
        <v>46280</v>
      </c>
      <c r="G795" s="6" t="n">
        <v>46278</v>
      </c>
      <c r="H795" s="23" t="n">
        <f aca="false">ABS(F795-G795)</f>
        <v>2</v>
      </c>
      <c r="I795" s="7" t="n">
        <v>-1243.23</v>
      </c>
      <c r="J795" s="7" t="n">
        <v>-1243.23</v>
      </c>
      <c r="K795" s="7" t="n">
        <f aca="false">I795-J795</f>
        <v>0</v>
      </c>
      <c r="L795" s="4" t="s">
        <v>4478</v>
      </c>
      <c r="M795" s="4" t="s">
        <v>4479</v>
      </c>
      <c r="N795" s="4"/>
    </row>
    <row r="796" customFormat="false" ht="15" hidden="false" customHeight="false" outlineLevel="0" collapsed="false">
      <c r="A796" s="4" t="s">
        <v>4480</v>
      </c>
      <c r="B796" s="4" t="s">
        <v>539</v>
      </c>
      <c r="C796" s="22" t="n">
        <v>0.99</v>
      </c>
      <c r="D796" s="16" t="s">
        <v>4481</v>
      </c>
      <c r="E796" s="16" t="s">
        <v>4482</v>
      </c>
      <c r="F796" s="6" t="n">
        <v>46280</v>
      </c>
      <c r="G796" s="6" t="n">
        <v>46278</v>
      </c>
      <c r="H796" s="23" t="n">
        <f aca="false">ABS(F796-G796)</f>
        <v>2</v>
      </c>
      <c r="I796" s="7" t="n">
        <v>-58672.49</v>
      </c>
      <c r="J796" s="7" t="n">
        <v>-58672.49</v>
      </c>
      <c r="K796" s="7" t="n">
        <f aca="false">I796-J796</f>
        <v>0</v>
      </c>
      <c r="L796" s="4" t="s">
        <v>4483</v>
      </c>
      <c r="M796" s="4" t="s">
        <v>4484</v>
      </c>
      <c r="N796" s="4"/>
    </row>
    <row r="797" customFormat="false" ht="15" hidden="false" customHeight="false" outlineLevel="0" collapsed="false">
      <c r="A797" s="4" t="s">
        <v>4485</v>
      </c>
      <c r="B797" s="4" t="s">
        <v>539</v>
      </c>
      <c r="C797" s="22" t="n">
        <v>0.99</v>
      </c>
      <c r="D797" s="16" t="s">
        <v>4486</v>
      </c>
      <c r="E797" s="16" t="s">
        <v>4487</v>
      </c>
      <c r="F797" s="6" t="n">
        <v>46281</v>
      </c>
      <c r="G797" s="6" t="n">
        <v>46279</v>
      </c>
      <c r="H797" s="23" t="n">
        <f aca="false">ABS(F797-G797)</f>
        <v>2</v>
      </c>
      <c r="I797" s="7" t="n">
        <v>44111.28</v>
      </c>
      <c r="J797" s="7" t="n">
        <v>44111.28</v>
      </c>
      <c r="K797" s="7" t="n">
        <f aca="false">I797-J797</f>
        <v>0</v>
      </c>
      <c r="L797" s="4" t="s">
        <v>4488</v>
      </c>
      <c r="M797" s="4" t="s">
        <v>4489</v>
      </c>
      <c r="N797" s="4"/>
    </row>
    <row r="798" customFormat="false" ht="15" hidden="false" customHeight="false" outlineLevel="0" collapsed="false">
      <c r="A798" s="4" t="s">
        <v>4490</v>
      </c>
      <c r="B798" s="4" t="s">
        <v>539</v>
      </c>
      <c r="C798" s="22" t="n">
        <v>0.99</v>
      </c>
      <c r="D798" s="16" t="s">
        <v>4491</v>
      </c>
      <c r="E798" s="16" t="s">
        <v>4492</v>
      </c>
      <c r="F798" s="6" t="n">
        <v>46281</v>
      </c>
      <c r="G798" s="6" t="n">
        <v>46279</v>
      </c>
      <c r="H798" s="23" t="n">
        <f aca="false">ABS(F798-G798)</f>
        <v>2</v>
      </c>
      <c r="I798" s="7" t="n">
        <v>-53999.61</v>
      </c>
      <c r="J798" s="7" t="n">
        <v>-53999.61</v>
      </c>
      <c r="K798" s="7" t="n">
        <f aca="false">I798-J798</f>
        <v>0</v>
      </c>
      <c r="L798" s="4" t="s">
        <v>4493</v>
      </c>
      <c r="M798" s="4" t="s">
        <v>4494</v>
      </c>
      <c r="N798" s="4"/>
    </row>
    <row r="799" customFormat="false" ht="15" hidden="false" customHeight="false" outlineLevel="0" collapsed="false">
      <c r="A799" s="4" t="s">
        <v>4495</v>
      </c>
      <c r="B799" s="4" t="s">
        <v>539</v>
      </c>
      <c r="C799" s="22" t="n">
        <v>0.99</v>
      </c>
      <c r="D799" s="16" t="s">
        <v>4496</v>
      </c>
      <c r="E799" s="16" t="s">
        <v>4497</v>
      </c>
      <c r="F799" s="6" t="n">
        <v>46281</v>
      </c>
      <c r="G799" s="6" t="n">
        <v>46279</v>
      </c>
      <c r="H799" s="23" t="n">
        <f aca="false">ABS(F799-G799)</f>
        <v>2</v>
      </c>
      <c r="I799" s="7" t="n">
        <v>-54027.23</v>
      </c>
      <c r="J799" s="7" t="n">
        <v>-54027.23</v>
      </c>
      <c r="K799" s="7" t="n">
        <f aca="false">I799-J799</f>
        <v>0</v>
      </c>
      <c r="L799" s="4" t="s">
        <v>4498</v>
      </c>
      <c r="M799" s="4" t="s">
        <v>4499</v>
      </c>
      <c r="N799" s="4"/>
    </row>
    <row r="800" customFormat="false" ht="15" hidden="false" customHeight="false" outlineLevel="0" collapsed="false">
      <c r="A800" s="4" t="s">
        <v>4500</v>
      </c>
      <c r="B800" s="4" t="s">
        <v>539</v>
      </c>
      <c r="C800" s="22" t="n">
        <v>0.99</v>
      </c>
      <c r="D800" s="16" t="s">
        <v>4501</v>
      </c>
      <c r="E800" s="16" t="s">
        <v>4502</v>
      </c>
      <c r="F800" s="6" t="n">
        <v>46282</v>
      </c>
      <c r="G800" s="6" t="n">
        <v>46280</v>
      </c>
      <c r="H800" s="23" t="n">
        <f aca="false">ABS(F800-G800)</f>
        <v>2</v>
      </c>
      <c r="I800" s="7" t="n">
        <v>7635.99</v>
      </c>
      <c r="J800" s="7" t="n">
        <v>7635.99</v>
      </c>
      <c r="K800" s="7" t="n">
        <f aca="false">I800-J800</f>
        <v>0</v>
      </c>
      <c r="L800" s="4" t="s">
        <v>4503</v>
      </c>
      <c r="M800" s="4" t="s">
        <v>4504</v>
      </c>
      <c r="N800" s="4"/>
    </row>
    <row r="801" customFormat="false" ht="15" hidden="false" customHeight="false" outlineLevel="0" collapsed="false">
      <c r="A801" s="4" t="s">
        <v>4505</v>
      </c>
      <c r="B801" s="4" t="s">
        <v>539</v>
      </c>
      <c r="C801" s="22" t="n">
        <v>0.99</v>
      </c>
      <c r="D801" s="16" t="s">
        <v>4506</v>
      </c>
      <c r="E801" s="16" t="s">
        <v>4507</v>
      </c>
      <c r="F801" s="6" t="n">
        <v>46282</v>
      </c>
      <c r="G801" s="6" t="n">
        <v>46280</v>
      </c>
      <c r="H801" s="23" t="n">
        <f aca="false">ABS(F801-G801)</f>
        <v>2</v>
      </c>
      <c r="I801" s="7" t="n">
        <v>14673.01</v>
      </c>
      <c r="J801" s="7" t="n">
        <v>14673.01</v>
      </c>
      <c r="K801" s="7" t="n">
        <f aca="false">I801-J801</f>
        <v>0</v>
      </c>
      <c r="L801" s="4" t="s">
        <v>4508</v>
      </c>
      <c r="M801" s="4" t="s">
        <v>4509</v>
      </c>
      <c r="N801" s="4"/>
    </row>
    <row r="802" customFormat="false" ht="15" hidden="false" customHeight="false" outlineLevel="0" collapsed="false">
      <c r="A802" s="4" t="s">
        <v>4510</v>
      </c>
      <c r="B802" s="4" t="s">
        <v>539</v>
      </c>
      <c r="C802" s="22" t="n">
        <v>0.99</v>
      </c>
      <c r="D802" s="16" t="s">
        <v>4511</v>
      </c>
      <c r="E802" s="16" t="s">
        <v>4512</v>
      </c>
      <c r="F802" s="6" t="n">
        <v>46283</v>
      </c>
      <c r="G802" s="6" t="n">
        <v>46281</v>
      </c>
      <c r="H802" s="23" t="n">
        <f aca="false">ABS(F802-G802)</f>
        <v>2</v>
      </c>
      <c r="I802" s="7" t="n">
        <v>92549.14</v>
      </c>
      <c r="J802" s="7" t="n">
        <v>92549.14</v>
      </c>
      <c r="K802" s="7" t="n">
        <f aca="false">I802-J802</f>
        <v>0</v>
      </c>
      <c r="L802" s="4" t="s">
        <v>4513</v>
      </c>
      <c r="M802" s="4" t="s">
        <v>4514</v>
      </c>
      <c r="N802" s="4"/>
    </row>
    <row r="803" customFormat="false" ht="15" hidden="false" customHeight="false" outlineLevel="0" collapsed="false">
      <c r="A803" s="4" t="s">
        <v>4515</v>
      </c>
      <c r="B803" s="4" t="s">
        <v>539</v>
      </c>
      <c r="C803" s="22" t="n">
        <v>0.99</v>
      </c>
      <c r="D803" s="16" t="s">
        <v>4516</v>
      </c>
      <c r="E803" s="16" t="s">
        <v>4517</v>
      </c>
      <c r="F803" s="6" t="n">
        <v>46283</v>
      </c>
      <c r="G803" s="6" t="n">
        <v>46281</v>
      </c>
      <c r="H803" s="23" t="n">
        <f aca="false">ABS(F803-G803)</f>
        <v>2</v>
      </c>
      <c r="I803" s="7" t="n">
        <v>56219.47</v>
      </c>
      <c r="J803" s="7" t="n">
        <v>56219.47</v>
      </c>
      <c r="K803" s="7" t="n">
        <f aca="false">I803-J803</f>
        <v>0</v>
      </c>
      <c r="L803" s="4" t="s">
        <v>4518</v>
      </c>
      <c r="M803" s="4" t="s">
        <v>4519</v>
      </c>
      <c r="N803" s="4"/>
    </row>
    <row r="804" customFormat="false" ht="15" hidden="false" customHeight="false" outlineLevel="0" collapsed="false">
      <c r="A804" s="4" t="s">
        <v>4520</v>
      </c>
      <c r="B804" s="4" t="s">
        <v>539</v>
      </c>
      <c r="C804" s="22" t="n">
        <v>0.99</v>
      </c>
      <c r="D804" s="16" t="s">
        <v>4521</v>
      </c>
      <c r="E804" s="16" t="s">
        <v>4522</v>
      </c>
      <c r="F804" s="6" t="n">
        <v>46283</v>
      </c>
      <c r="G804" s="6" t="n">
        <v>46281</v>
      </c>
      <c r="H804" s="23" t="n">
        <f aca="false">ABS(F804-G804)</f>
        <v>2</v>
      </c>
      <c r="I804" s="7" t="n">
        <v>73769.85</v>
      </c>
      <c r="J804" s="7" t="n">
        <v>73769.85</v>
      </c>
      <c r="K804" s="7" t="n">
        <f aca="false">I804-J804</f>
        <v>0</v>
      </c>
      <c r="L804" s="4" t="s">
        <v>4523</v>
      </c>
      <c r="M804" s="4" t="s">
        <v>4524</v>
      </c>
      <c r="N804" s="4"/>
    </row>
    <row r="805" customFormat="false" ht="15" hidden="false" customHeight="false" outlineLevel="0" collapsed="false">
      <c r="A805" s="4" t="s">
        <v>4525</v>
      </c>
      <c r="B805" s="4" t="s">
        <v>539</v>
      </c>
      <c r="C805" s="22" t="n">
        <v>0.99</v>
      </c>
      <c r="D805" s="16" t="s">
        <v>4526</v>
      </c>
      <c r="E805" s="16" t="s">
        <v>4527</v>
      </c>
      <c r="F805" s="6" t="n">
        <v>46283</v>
      </c>
      <c r="G805" s="6" t="n">
        <v>46281</v>
      </c>
      <c r="H805" s="23" t="n">
        <f aca="false">ABS(F805-G805)</f>
        <v>2</v>
      </c>
      <c r="I805" s="7" t="n">
        <v>57927.7</v>
      </c>
      <c r="J805" s="7" t="n">
        <v>57927.7</v>
      </c>
      <c r="K805" s="7" t="n">
        <f aca="false">I805-J805</f>
        <v>0</v>
      </c>
      <c r="L805" s="4" t="s">
        <v>4528</v>
      </c>
      <c r="M805" s="4" t="s">
        <v>4529</v>
      </c>
      <c r="N805" s="4"/>
    </row>
    <row r="806" customFormat="false" ht="15" hidden="false" customHeight="false" outlineLevel="0" collapsed="false">
      <c r="A806" s="4" t="s">
        <v>4530</v>
      </c>
      <c r="B806" s="4" t="s">
        <v>539</v>
      </c>
      <c r="C806" s="22" t="n">
        <v>0.99</v>
      </c>
      <c r="D806" s="16" t="s">
        <v>4531</v>
      </c>
      <c r="E806" s="16" t="s">
        <v>4532</v>
      </c>
      <c r="F806" s="6" t="n">
        <v>46283</v>
      </c>
      <c r="G806" s="6" t="n">
        <v>46281</v>
      </c>
      <c r="H806" s="23" t="n">
        <f aca="false">ABS(F806-G806)</f>
        <v>2</v>
      </c>
      <c r="I806" s="7" t="n">
        <v>-29594.79</v>
      </c>
      <c r="J806" s="7" t="n">
        <v>-29594.79</v>
      </c>
      <c r="K806" s="7" t="n">
        <f aca="false">I806-J806</f>
        <v>0</v>
      </c>
      <c r="L806" s="4" t="s">
        <v>4533</v>
      </c>
      <c r="M806" s="4" t="s">
        <v>4534</v>
      </c>
      <c r="N806" s="4"/>
    </row>
    <row r="807" customFormat="false" ht="15" hidden="false" customHeight="false" outlineLevel="0" collapsed="false">
      <c r="A807" s="4" t="s">
        <v>4535</v>
      </c>
      <c r="B807" s="4" t="s">
        <v>539</v>
      </c>
      <c r="C807" s="22" t="n">
        <v>0.99</v>
      </c>
      <c r="D807" s="16" t="s">
        <v>4536</v>
      </c>
      <c r="E807" s="16" t="s">
        <v>4537</v>
      </c>
      <c r="F807" s="6" t="n">
        <v>46283</v>
      </c>
      <c r="G807" s="6" t="n">
        <v>46281</v>
      </c>
      <c r="H807" s="23" t="n">
        <f aca="false">ABS(F807-G807)</f>
        <v>2</v>
      </c>
      <c r="I807" s="7" t="n">
        <v>-15917.23</v>
      </c>
      <c r="J807" s="7" t="n">
        <v>-15917.23</v>
      </c>
      <c r="K807" s="7" t="n">
        <f aca="false">I807-J807</f>
        <v>0</v>
      </c>
      <c r="L807" s="4" t="s">
        <v>4538</v>
      </c>
      <c r="M807" s="4" t="s">
        <v>4539</v>
      </c>
      <c r="N807" s="4"/>
    </row>
    <row r="808" customFormat="false" ht="15" hidden="false" customHeight="false" outlineLevel="0" collapsed="false">
      <c r="A808" s="4" t="s">
        <v>4540</v>
      </c>
      <c r="B808" s="4" t="s">
        <v>539</v>
      </c>
      <c r="C808" s="22" t="n">
        <v>0.99</v>
      </c>
      <c r="D808" s="16" t="s">
        <v>4541</v>
      </c>
      <c r="E808" s="16" t="s">
        <v>4542</v>
      </c>
      <c r="F808" s="6" t="n">
        <v>46283</v>
      </c>
      <c r="G808" s="6" t="n">
        <v>46281</v>
      </c>
      <c r="H808" s="23" t="n">
        <f aca="false">ABS(F808-G808)</f>
        <v>2</v>
      </c>
      <c r="I808" s="7" t="n">
        <v>-26142.54</v>
      </c>
      <c r="J808" s="7" t="n">
        <v>-26142.54</v>
      </c>
      <c r="K808" s="7" t="n">
        <f aca="false">I808-J808</f>
        <v>0</v>
      </c>
      <c r="L808" s="4" t="s">
        <v>4543</v>
      </c>
      <c r="M808" s="4" t="s">
        <v>4544</v>
      </c>
      <c r="N808" s="4"/>
    </row>
    <row r="809" customFormat="false" ht="15" hidden="false" customHeight="false" outlineLevel="0" collapsed="false">
      <c r="A809" s="4" t="s">
        <v>4545</v>
      </c>
      <c r="B809" s="4" t="s">
        <v>539</v>
      </c>
      <c r="C809" s="22" t="n">
        <v>0.99</v>
      </c>
      <c r="D809" s="16" t="s">
        <v>4546</v>
      </c>
      <c r="E809" s="16" t="s">
        <v>4547</v>
      </c>
      <c r="F809" s="6" t="n">
        <v>46285</v>
      </c>
      <c r="G809" s="6" t="n">
        <v>46283</v>
      </c>
      <c r="H809" s="23" t="n">
        <f aca="false">ABS(F809-G809)</f>
        <v>2</v>
      </c>
      <c r="I809" s="7" t="n">
        <v>28751.45</v>
      </c>
      <c r="J809" s="7" t="n">
        <v>28751.45</v>
      </c>
      <c r="K809" s="7" t="n">
        <f aca="false">I809-J809</f>
        <v>0</v>
      </c>
      <c r="L809" s="4" t="s">
        <v>4548</v>
      </c>
      <c r="M809" s="4" t="s">
        <v>4549</v>
      </c>
      <c r="N809" s="4"/>
    </row>
    <row r="810" customFormat="false" ht="15" hidden="false" customHeight="false" outlineLevel="0" collapsed="false">
      <c r="A810" s="4" t="s">
        <v>4550</v>
      </c>
      <c r="B810" s="4" t="s">
        <v>539</v>
      </c>
      <c r="C810" s="22" t="n">
        <v>0.99</v>
      </c>
      <c r="D810" s="16" t="s">
        <v>4551</v>
      </c>
      <c r="E810" s="16" t="s">
        <v>4552</v>
      </c>
      <c r="F810" s="6" t="n">
        <v>46285</v>
      </c>
      <c r="G810" s="6" t="n">
        <v>46283</v>
      </c>
      <c r="H810" s="23" t="n">
        <f aca="false">ABS(F810-G810)</f>
        <v>2</v>
      </c>
      <c r="I810" s="7" t="n">
        <v>75099.12</v>
      </c>
      <c r="J810" s="7" t="n">
        <v>75099.12</v>
      </c>
      <c r="K810" s="7" t="n">
        <f aca="false">I810-J810</f>
        <v>0</v>
      </c>
      <c r="L810" s="4" t="s">
        <v>4553</v>
      </c>
      <c r="M810" s="4" t="s">
        <v>4554</v>
      </c>
      <c r="N810" s="4"/>
    </row>
    <row r="811" customFormat="false" ht="15" hidden="false" customHeight="false" outlineLevel="0" collapsed="false">
      <c r="A811" s="4" t="s">
        <v>4555</v>
      </c>
      <c r="B811" s="4" t="s">
        <v>539</v>
      </c>
      <c r="C811" s="22" t="n">
        <v>0.99</v>
      </c>
      <c r="D811" s="16" t="s">
        <v>4556</v>
      </c>
      <c r="E811" s="16" t="s">
        <v>4557</v>
      </c>
      <c r="F811" s="6" t="n">
        <v>46285</v>
      </c>
      <c r="G811" s="6" t="n">
        <v>46283</v>
      </c>
      <c r="H811" s="23" t="n">
        <f aca="false">ABS(F811-G811)</f>
        <v>2</v>
      </c>
      <c r="I811" s="7" t="n">
        <v>-20184.94</v>
      </c>
      <c r="J811" s="7" t="n">
        <v>-20184.94</v>
      </c>
      <c r="K811" s="7" t="n">
        <f aca="false">I811-J811</f>
        <v>0</v>
      </c>
      <c r="L811" s="4" t="s">
        <v>4558</v>
      </c>
      <c r="M811" s="4" t="s">
        <v>4559</v>
      </c>
      <c r="N811" s="4"/>
    </row>
    <row r="812" customFormat="false" ht="15" hidden="false" customHeight="false" outlineLevel="0" collapsed="false">
      <c r="A812" s="4" t="s">
        <v>4560</v>
      </c>
      <c r="B812" s="4" t="s">
        <v>539</v>
      </c>
      <c r="C812" s="22" t="n">
        <v>0.99</v>
      </c>
      <c r="D812" s="16" t="s">
        <v>4561</v>
      </c>
      <c r="E812" s="16" t="s">
        <v>4562</v>
      </c>
      <c r="F812" s="6" t="n">
        <v>46286</v>
      </c>
      <c r="G812" s="6" t="n">
        <v>46284</v>
      </c>
      <c r="H812" s="23" t="n">
        <f aca="false">ABS(F812-G812)</f>
        <v>2</v>
      </c>
      <c r="I812" s="7" t="n">
        <v>15199.67</v>
      </c>
      <c r="J812" s="7" t="n">
        <v>15199.67</v>
      </c>
      <c r="K812" s="7" t="n">
        <f aca="false">I812-J812</f>
        <v>0</v>
      </c>
      <c r="L812" s="4" t="s">
        <v>4563</v>
      </c>
      <c r="M812" s="4" t="s">
        <v>4564</v>
      </c>
      <c r="N812" s="4"/>
    </row>
    <row r="813" customFormat="false" ht="15" hidden="false" customHeight="false" outlineLevel="0" collapsed="false">
      <c r="A813" s="4" t="s">
        <v>4565</v>
      </c>
      <c r="B813" s="4" t="s">
        <v>539</v>
      </c>
      <c r="C813" s="22" t="n">
        <v>0.99</v>
      </c>
      <c r="D813" s="16" t="s">
        <v>4566</v>
      </c>
      <c r="E813" s="16" t="s">
        <v>4567</v>
      </c>
      <c r="F813" s="6" t="n">
        <v>46286</v>
      </c>
      <c r="G813" s="6" t="n">
        <v>46284</v>
      </c>
      <c r="H813" s="23" t="n">
        <f aca="false">ABS(F813-G813)</f>
        <v>2</v>
      </c>
      <c r="I813" s="7" t="n">
        <v>-45630.26</v>
      </c>
      <c r="J813" s="7" t="n">
        <v>-45630.26</v>
      </c>
      <c r="K813" s="7" t="n">
        <f aca="false">I813-J813</f>
        <v>0</v>
      </c>
      <c r="L813" s="4" t="s">
        <v>4568</v>
      </c>
      <c r="M813" s="4" t="s">
        <v>4569</v>
      </c>
      <c r="N813" s="4"/>
    </row>
    <row r="814" customFormat="false" ht="15" hidden="false" customHeight="false" outlineLevel="0" collapsed="false">
      <c r="A814" s="4" t="s">
        <v>4570</v>
      </c>
      <c r="B814" s="4" t="s">
        <v>539</v>
      </c>
      <c r="C814" s="22" t="n">
        <v>0.99</v>
      </c>
      <c r="D814" s="16" t="s">
        <v>4571</v>
      </c>
      <c r="E814" s="16" t="s">
        <v>4572</v>
      </c>
      <c r="F814" s="6" t="n">
        <v>46287</v>
      </c>
      <c r="G814" s="6" t="n">
        <v>46285</v>
      </c>
      <c r="H814" s="23" t="n">
        <f aca="false">ABS(F814-G814)</f>
        <v>2</v>
      </c>
      <c r="I814" s="7" t="n">
        <v>26336.03</v>
      </c>
      <c r="J814" s="7" t="n">
        <v>26336.03</v>
      </c>
      <c r="K814" s="7" t="n">
        <f aca="false">I814-J814</f>
        <v>0</v>
      </c>
      <c r="L814" s="4" t="s">
        <v>4573</v>
      </c>
      <c r="M814" s="4" t="s">
        <v>4574</v>
      </c>
      <c r="N814" s="4"/>
    </row>
    <row r="815" customFormat="false" ht="15" hidden="false" customHeight="false" outlineLevel="0" collapsed="false">
      <c r="A815" s="4" t="s">
        <v>4575</v>
      </c>
      <c r="B815" s="4" t="s">
        <v>539</v>
      </c>
      <c r="C815" s="22" t="n">
        <v>0.99</v>
      </c>
      <c r="D815" s="16" t="s">
        <v>4576</v>
      </c>
      <c r="E815" s="16" t="s">
        <v>4577</v>
      </c>
      <c r="F815" s="6" t="n">
        <v>46287</v>
      </c>
      <c r="G815" s="6" t="n">
        <v>46285</v>
      </c>
      <c r="H815" s="23" t="n">
        <f aca="false">ABS(F815-G815)</f>
        <v>2</v>
      </c>
      <c r="I815" s="7" t="n">
        <v>-52588.81</v>
      </c>
      <c r="J815" s="7" t="n">
        <v>-52588.81</v>
      </c>
      <c r="K815" s="7" t="n">
        <f aca="false">I815-J815</f>
        <v>0</v>
      </c>
      <c r="L815" s="4" t="s">
        <v>4578</v>
      </c>
      <c r="M815" s="4" t="s">
        <v>4579</v>
      </c>
      <c r="N815" s="4"/>
    </row>
    <row r="816" customFormat="false" ht="15" hidden="false" customHeight="false" outlineLevel="0" collapsed="false">
      <c r="A816" s="4" t="s">
        <v>4580</v>
      </c>
      <c r="B816" s="4" t="s">
        <v>539</v>
      </c>
      <c r="C816" s="22" t="n">
        <v>0.99</v>
      </c>
      <c r="D816" s="16" t="s">
        <v>4581</v>
      </c>
      <c r="E816" s="16" t="s">
        <v>4582</v>
      </c>
      <c r="F816" s="6" t="n">
        <v>46288</v>
      </c>
      <c r="G816" s="6" t="n">
        <v>46286</v>
      </c>
      <c r="H816" s="23" t="n">
        <f aca="false">ABS(F816-G816)</f>
        <v>2</v>
      </c>
      <c r="I816" s="7" t="n">
        <v>50679.74</v>
      </c>
      <c r="J816" s="7" t="n">
        <v>50679.74</v>
      </c>
      <c r="K816" s="7" t="n">
        <f aca="false">I816-J816</f>
        <v>0</v>
      </c>
      <c r="L816" s="4" t="s">
        <v>4583</v>
      </c>
      <c r="M816" s="4" t="s">
        <v>4584</v>
      </c>
      <c r="N816" s="4"/>
    </row>
    <row r="817" customFormat="false" ht="15" hidden="false" customHeight="false" outlineLevel="0" collapsed="false">
      <c r="A817" s="4" t="s">
        <v>4585</v>
      </c>
      <c r="B817" s="4" t="s">
        <v>539</v>
      </c>
      <c r="C817" s="22" t="n">
        <v>0.99</v>
      </c>
      <c r="D817" s="16" t="s">
        <v>4586</v>
      </c>
      <c r="E817" s="16" t="s">
        <v>4587</v>
      </c>
      <c r="F817" s="6" t="n">
        <v>46289</v>
      </c>
      <c r="G817" s="6" t="n">
        <v>46287</v>
      </c>
      <c r="H817" s="23" t="n">
        <f aca="false">ABS(F817-G817)</f>
        <v>2</v>
      </c>
      <c r="I817" s="7" t="n">
        <v>4355.12</v>
      </c>
      <c r="J817" s="7" t="n">
        <v>4355.12</v>
      </c>
      <c r="K817" s="7" t="n">
        <f aca="false">I817-J817</f>
        <v>0</v>
      </c>
      <c r="L817" s="4" t="s">
        <v>4588</v>
      </c>
      <c r="M817" s="4" t="s">
        <v>4589</v>
      </c>
      <c r="N817" s="4"/>
    </row>
    <row r="818" customFormat="false" ht="15" hidden="false" customHeight="false" outlineLevel="0" collapsed="false">
      <c r="A818" s="4" t="s">
        <v>4590</v>
      </c>
      <c r="B818" s="4" t="s">
        <v>539</v>
      </c>
      <c r="C818" s="22" t="n">
        <v>0.99</v>
      </c>
      <c r="D818" s="16" t="s">
        <v>4591</v>
      </c>
      <c r="E818" s="16" t="s">
        <v>4592</v>
      </c>
      <c r="F818" s="6" t="n">
        <v>46289</v>
      </c>
      <c r="G818" s="6" t="n">
        <v>46287</v>
      </c>
      <c r="H818" s="23" t="n">
        <f aca="false">ABS(F818-G818)</f>
        <v>2</v>
      </c>
      <c r="I818" s="7" t="n">
        <v>-50139.34</v>
      </c>
      <c r="J818" s="7" t="n">
        <v>-50139.34</v>
      </c>
      <c r="K818" s="7" t="n">
        <f aca="false">I818-J818</f>
        <v>0</v>
      </c>
      <c r="L818" s="4" t="s">
        <v>4593</v>
      </c>
      <c r="M818" s="4" t="s">
        <v>4594</v>
      </c>
      <c r="N818" s="4"/>
    </row>
    <row r="819" customFormat="false" ht="15" hidden="false" customHeight="false" outlineLevel="0" collapsed="false">
      <c r="A819" s="4" t="s">
        <v>4595</v>
      </c>
      <c r="B819" s="4" t="s">
        <v>539</v>
      </c>
      <c r="C819" s="22" t="n">
        <v>0.99</v>
      </c>
      <c r="D819" s="16" t="s">
        <v>4596</v>
      </c>
      <c r="E819" s="16" t="s">
        <v>4597</v>
      </c>
      <c r="F819" s="6" t="n">
        <v>46290</v>
      </c>
      <c r="G819" s="6" t="n">
        <v>46288</v>
      </c>
      <c r="H819" s="23" t="n">
        <f aca="false">ABS(F819-G819)</f>
        <v>2</v>
      </c>
      <c r="I819" s="7" t="n">
        <v>80565.76</v>
      </c>
      <c r="J819" s="7" t="n">
        <v>80565.76</v>
      </c>
      <c r="K819" s="7" t="n">
        <f aca="false">I819-J819</f>
        <v>0</v>
      </c>
      <c r="L819" s="4" t="s">
        <v>4598</v>
      </c>
      <c r="M819" s="4" t="s">
        <v>4599</v>
      </c>
      <c r="N819" s="4"/>
    </row>
    <row r="820" customFormat="false" ht="15" hidden="false" customHeight="false" outlineLevel="0" collapsed="false">
      <c r="A820" s="4" t="s">
        <v>4600</v>
      </c>
      <c r="B820" s="4" t="s">
        <v>539</v>
      </c>
      <c r="C820" s="22" t="n">
        <v>0.99</v>
      </c>
      <c r="D820" s="16" t="s">
        <v>4601</v>
      </c>
      <c r="E820" s="16" t="s">
        <v>4602</v>
      </c>
      <c r="F820" s="6" t="n">
        <v>46291</v>
      </c>
      <c r="G820" s="6" t="n">
        <v>46289</v>
      </c>
      <c r="H820" s="23" t="n">
        <f aca="false">ABS(F820-G820)</f>
        <v>2</v>
      </c>
      <c r="I820" s="7" t="n">
        <v>81377.37</v>
      </c>
      <c r="J820" s="7" t="n">
        <v>81377.37</v>
      </c>
      <c r="K820" s="7" t="n">
        <f aca="false">I820-J820</f>
        <v>0</v>
      </c>
      <c r="L820" s="4" t="s">
        <v>4603</v>
      </c>
      <c r="M820" s="4" t="s">
        <v>4604</v>
      </c>
      <c r="N820" s="4"/>
    </row>
    <row r="821" customFormat="false" ht="15" hidden="false" customHeight="false" outlineLevel="0" collapsed="false">
      <c r="A821" s="4" t="s">
        <v>4605</v>
      </c>
      <c r="B821" s="4" t="s">
        <v>539</v>
      </c>
      <c r="C821" s="22" t="n">
        <v>0.985</v>
      </c>
      <c r="D821" s="16" t="s">
        <v>4606</v>
      </c>
      <c r="E821" s="16" t="s">
        <v>4607</v>
      </c>
      <c r="F821" s="6" t="n">
        <v>46209</v>
      </c>
      <c r="G821" s="6" t="n">
        <v>46206</v>
      </c>
      <c r="H821" s="23" t="n">
        <f aca="false">ABS(F821-G821)</f>
        <v>3</v>
      </c>
      <c r="I821" s="7" t="n">
        <v>-7257.78</v>
      </c>
      <c r="J821" s="7" t="n">
        <v>-7257.78</v>
      </c>
      <c r="K821" s="7" t="n">
        <f aca="false">I821-J821</f>
        <v>0</v>
      </c>
      <c r="L821" s="4" t="s">
        <v>4608</v>
      </c>
      <c r="M821" s="4" t="s">
        <v>4609</v>
      </c>
      <c r="N821" s="4"/>
    </row>
    <row r="822" customFormat="false" ht="15" hidden="false" customHeight="false" outlineLevel="0" collapsed="false">
      <c r="A822" s="4" t="s">
        <v>4610</v>
      </c>
      <c r="B822" s="4" t="s">
        <v>539</v>
      </c>
      <c r="C822" s="22" t="n">
        <v>0.985</v>
      </c>
      <c r="D822" s="16" t="s">
        <v>4611</v>
      </c>
      <c r="E822" s="16" t="s">
        <v>4612</v>
      </c>
      <c r="F822" s="6" t="n">
        <v>46212</v>
      </c>
      <c r="G822" s="6" t="n">
        <v>46209</v>
      </c>
      <c r="H822" s="23" t="n">
        <f aca="false">ABS(F822-G822)</f>
        <v>3</v>
      </c>
      <c r="I822" s="7" t="n">
        <v>-44176.18</v>
      </c>
      <c r="J822" s="7" t="n">
        <v>-44176.18</v>
      </c>
      <c r="K822" s="7" t="n">
        <f aca="false">I822-J822</f>
        <v>0</v>
      </c>
      <c r="L822" s="4" t="s">
        <v>4613</v>
      </c>
      <c r="M822" s="4" t="s">
        <v>4614</v>
      </c>
      <c r="N822" s="4"/>
    </row>
    <row r="823" customFormat="false" ht="15" hidden="false" customHeight="false" outlineLevel="0" collapsed="false">
      <c r="A823" s="4" t="s">
        <v>4615</v>
      </c>
      <c r="B823" s="4" t="s">
        <v>539</v>
      </c>
      <c r="C823" s="22" t="n">
        <v>0.985</v>
      </c>
      <c r="D823" s="16" t="s">
        <v>4616</v>
      </c>
      <c r="E823" s="16" t="s">
        <v>4617</v>
      </c>
      <c r="F823" s="6" t="n">
        <v>46212</v>
      </c>
      <c r="G823" s="6" t="n">
        <v>46209</v>
      </c>
      <c r="H823" s="23" t="n">
        <f aca="false">ABS(F823-G823)</f>
        <v>3</v>
      </c>
      <c r="I823" s="7" t="n">
        <v>-5834.84</v>
      </c>
      <c r="J823" s="7" t="n">
        <v>-5834.84</v>
      </c>
      <c r="K823" s="7" t="n">
        <f aca="false">I823-J823</f>
        <v>0</v>
      </c>
      <c r="L823" s="4" t="s">
        <v>4618</v>
      </c>
      <c r="M823" s="4" t="s">
        <v>4619</v>
      </c>
      <c r="N823" s="4"/>
    </row>
    <row r="824" customFormat="false" ht="15" hidden="false" customHeight="false" outlineLevel="0" collapsed="false">
      <c r="A824" s="4" t="s">
        <v>4620</v>
      </c>
      <c r="B824" s="4" t="s">
        <v>539</v>
      </c>
      <c r="C824" s="22" t="n">
        <v>0.985</v>
      </c>
      <c r="D824" s="16" t="s">
        <v>4621</v>
      </c>
      <c r="E824" s="16" t="s">
        <v>4622</v>
      </c>
      <c r="F824" s="6" t="n">
        <v>46213</v>
      </c>
      <c r="G824" s="6" t="n">
        <v>46210</v>
      </c>
      <c r="H824" s="23" t="n">
        <f aca="false">ABS(F824-G824)</f>
        <v>3</v>
      </c>
      <c r="I824" s="7" t="n">
        <v>-54556.99</v>
      </c>
      <c r="J824" s="7" t="n">
        <v>-54556.99</v>
      </c>
      <c r="K824" s="7" t="n">
        <f aca="false">I824-J824</f>
        <v>0</v>
      </c>
      <c r="L824" s="4" t="s">
        <v>4623</v>
      </c>
      <c r="M824" s="4" t="s">
        <v>4624</v>
      </c>
      <c r="N824" s="4"/>
    </row>
    <row r="825" customFormat="false" ht="15" hidden="false" customHeight="false" outlineLevel="0" collapsed="false">
      <c r="A825" s="4" t="s">
        <v>4625</v>
      </c>
      <c r="B825" s="4" t="s">
        <v>539</v>
      </c>
      <c r="C825" s="22" t="n">
        <v>0.985</v>
      </c>
      <c r="D825" s="16" t="s">
        <v>4626</v>
      </c>
      <c r="E825" s="16" t="s">
        <v>4627</v>
      </c>
      <c r="F825" s="6" t="n">
        <v>46214</v>
      </c>
      <c r="G825" s="6" t="n">
        <v>46211</v>
      </c>
      <c r="H825" s="23" t="n">
        <f aca="false">ABS(F825-G825)</f>
        <v>3</v>
      </c>
      <c r="I825" s="7" t="n">
        <v>-59257.72</v>
      </c>
      <c r="J825" s="7" t="n">
        <v>-59257.72</v>
      </c>
      <c r="K825" s="7" t="n">
        <f aca="false">I825-J825</f>
        <v>0</v>
      </c>
      <c r="L825" s="4" t="s">
        <v>4628</v>
      </c>
      <c r="M825" s="4" t="s">
        <v>4629</v>
      </c>
      <c r="N825" s="4"/>
    </row>
    <row r="826" customFormat="false" ht="15" hidden="false" customHeight="false" outlineLevel="0" collapsed="false">
      <c r="A826" s="4" t="s">
        <v>4630</v>
      </c>
      <c r="B826" s="4" t="s">
        <v>539</v>
      </c>
      <c r="C826" s="22" t="n">
        <v>0.985</v>
      </c>
      <c r="D826" s="16" t="s">
        <v>4631</v>
      </c>
      <c r="E826" s="16" t="s">
        <v>4632</v>
      </c>
      <c r="F826" s="6" t="n">
        <v>46215</v>
      </c>
      <c r="G826" s="6" t="n">
        <v>46212</v>
      </c>
      <c r="H826" s="23" t="n">
        <f aca="false">ABS(F826-G826)</f>
        <v>3</v>
      </c>
      <c r="I826" s="7" t="n">
        <v>-52164.29</v>
      </c>
      <c r="J826" s="7" t="n">
        <v>-52164.29</v>
      </c>
      <c r="K826" s="7" t="n">
        <f aca="false">I826-J826</f>
        <v>0</v>
      </c>
      <c r="L826" s="4" t="s">
        <v>4633</v>
      </c>
      <c r="M826" s="4" t="s">
        <v>4634</v>
      </c>
      <c r="N826" s="4"/>
    </row>
    <row r="827" customFormat="false" ht="15" hidden="false" customHeight="false" outlineLevel="0" collapsed="false">
      <c r="A827" s="4" t="s">
        <v>4635</v>
      </c>
      <c r="B827" s="4" t="s">
        <v>539</v>
      </c>
      <c r="C827" s="22" t="n">
        <v>0.985</v>
      </c>
      <c r="D827" s="16" t="s">
        <v>4636</v>
      </c>
      <c r="E827" s="16" t="s">
        <v>4637</v>
      </c>
      <c r="F827" s="6" t="n">
        <v>46217</v>
      </c>
      <c r="G827" s="6" t="n">
        <v>46214</v>
      </c>
      <c r="H827" s="23" t="n">
        <f aca="false">ABS(F827-G827)</f>
        <v>3</v>
      </c>
      <c r="I827" s="7" t="n">
        <v>-51680.64</v>
      </c>
      <c r="J827" s="7" t="n">
        <v>-51680.64</v>
      </c>
      <c r="K827" s="7" t="n">
        <f aca="false">I827-J827</f>
        <v>0</v>
      </c>
      <c r="L827" s="4" t="s">
        <v>4638</v>
      </c>
      <c r="M827" s="4" t="s">
        <v>4639</v>
      </c>
      <c r="N827" s="4"/>
    </row>
    <row r="828" customFormat="false" ht="15" hidden="false" customHeight="false" outlineLevel="0" collapsed="false">
      <c r="A828" s="4" t="s">
        <v>4640</v>
      </c>
      <c r="B828" s="4" t="s">
        <v>539</v>
      </c>
      <c r="C828" s="22" t="n">
        <v>0.985</v>
      </c>
      <c r="D828" s="16" t="s">
        <v>4641</v>
      </c>
      <c r="E828" s="16" t="s">
        <v>4642</v>
      </c>
      <c r="F828" s="6" t="n">
        <v>46222</v>
      </c>
      <c r="G828" s="6" t="n">
        <v>46219</v>
      </c>
      <c r="H828" s="23" t="n">
        <f aca="false">ABS(F828-G828)</f>
        <v>3</v>
      </c>
      <c r="I828" s="7" t="n">
        <v>-52775.04</v>
      </c>
      <c r="J828" s="7" t="n">
        <v>-52775.04</v>
      </c>
      <c r="K828" s="7" t="n">
        <f aca="false">I828-J828</f>
        <v>0</v>
      </c>
      <c r="L828" s="4" t="s">
        <v>4643</v>
      </c>
      <c r="M828" s="4" t="s">
        <v>4644</v>
      </c>
      <c r="N828" s="4"/>
    </row>
    <row r="829" customFormat="false" ht="15" hidden="false" customHeight="false" outlineLevel="0" collapsed="false">
      <c r="A829" s="4" t="s">
        <v>4645</v>
      </c>
      <c r="B829" s="4" t="s">
        <v>539</v>
      </c>
      <c r="C829" s="22" t="n">
        <v>0.985</v>
      </c>
      <c r="D829" s="16" t="s">
        <v>4646</v>
      </c>
      <c r="E829" s="16" t="s">
        <v>4647</v>
      </c>
      <c r="F829" s="6" t="n">
        <v>46223</v>
      </c>
      <c r="G829" s="6" t="n">
        <v>46220</v>
      </c>
      <c r="H829" s="23" t="n">
        <f aca="false">ABS(F829-G829)</f>
        <v>3</v>
      </c>
      <c r="I829" s="7" t="n">
        <v>-30956.92</v>
      </c>
      <c r="J829" s="7" t="n">
        <v>-30956.92</v>
      </c>
      <c r="K829" s="7" t="n">
        <f aca="false">I829-J829</f>
        <v>0</v>
      </c>
      <c r="L829" s="4" t="s">
        <v>4648</v>
      </c>
      <c r="M829" s="4" t="s">
        <v>4649</v>
      </c>
      <c r="N829" s="4"/>
    </row>
    <row r="830" customFormat="false" ht="15" hidden="false" customHeight="false" outlineLevel="0" collapsed="false">
      <c r="A830" s="4" t="s">
        <v>4650</v>
      </c>
      <c r="B830" s="4" t="s">
        <v>539</v>
      </c>
      <c r="C830" s="22" t="n">
        <v>0.985</v>
      </c>
      <c r="D830" s="16" t="s">
        <v>4651</v>
      </c>
      <c r="E830" s="16" t="s">
        <v>4652</v>
      </c>
      <c r="F830" s="6" t="n">
        <v>46227</v>
      </c>
      <c r="G830" s="6" t="n">
        <v>46224</v>
      </c>
      <c r="H830" s="23" t="n">
        <f aca="false">ABS(F830-G830)</f>
        <v>3</v>
      </c>
      <c r="I830" s="7" t="n">
        <v>-2879.91</v>
      </c>
      <c r="J830" s="7" t="n">
        <v>-2879.91</v>
      </c>
      <c r="K830" s="7" t="n">
        <f aca="false">I830-J830</f>
        <v>0</v>
      </c>
      <c r="L830" s="4" t="s">
        <v>4653</v>
      </c>
      <c r="M830" s="4" t="s">
        <v>4654</v>
      </c>
      <c r="N830" s="4"/>
    </row>
    <row r="831" customFormat="false" ht="15" hidden="false" customHeight="false" outlineLevel="0" collapsed="false">
      <c r="A831" s="4" t="s">
        <v>4655</v>
      </c>
      <c r="B831" s="4" t="s">
        <v>539</v>
      </c>
      <c r="C831" s="22" t="n">
        <v>0.985</v>
      </c>
      <c r="D831" s="16" t="s">
        <v>4656</v>
      </c>
      <c r="E831" s="16" t="s">
        <v>4657</v>
      </c>
      <c r="F831" s="6" t="n">
        <v>46231</v>
      </c>
      <c r="G831" s="6" t="n">
        <v>46228</v>
      </c>
      <c r="H831" s="23" t="n">
        <f aca="false">ABS(F831-G831)</f>
        <v>3</v>
      </c>
      <c r="I831" s="7" t="n">
        <v>-9676.11</v>
      </c>
      <c r="J831" s="7" t="n">
        <v>-9676.11</v>
      </c>
      <c r="K831" s="7" t="n">
        <f aca="false">I831-J831</f>
        <v>0</v>
      </c>
      <c r="L831" s="4" t="s">
        <v>4658</v>
      </c>
      <c r="M831" s="4" t="s">
        <v>4659</v>
      </c>
      <c r="N831" s="4"/>
    </row>
    <row r="832" customFormat="false" ht="15" hidden="false" customHeight="false" outlineLevel="0" collapsed="false">
      <c r="A832" s="4" t="s">
        <v>4660</v>
      </c>
      <c r="B832" s="4" t="s">
        <v>539</v>
      </c>
      <c r="C832" s="22" t="n">
        <v>0.985</v>
      </c>
      <c r="D832" s="16" t="s">
        <v>4661</v>
      </c>
      <c r="E832" s="16" t="s">
        <v>4662</v>
      </c>
      <c r="F832" s="6" t="n">
        <v>46231</v>
      </c>
      <c r="G832" s="6" t="n">
        <v>46228</v>
      </c>
      <c r="H832" s="23" t="n">
        <f aca="false">ABS(F832-G832)</f>
        <v>3</v>
      </c>
      <c r="I832" s="7" t="n">
        <v>-15073.69</v>
      </c>
      <c r="J832" s="7" t="n">
        <v>-15073.69</v>
      </c>
      <c r="K832" s="7" t="n">
        <f aca="false">I832-J832</f>
        <v>0</v>
      </c>
      <c r="L832" s="4" t="s">
        <v>4663</v>
      </c>
      <c r="M832" s="4" t="s">
        <v>4664</v>
      </c>
      <c r="N832" s="4"/>
    </row>
    <row r="833" customFormat="false" ht="15" hidden="false" customHeight="false" outlineLevel="0" collapsed="false">
      <c r="A833" s="4" t="s">
        <v>4665</v>
      </c>
      <c r="B833" s="4" t="s">
        <v>539</v>
      </c>
      <c r="C833" s="22" t="n">
        <v>0.985</v>
      </c>
      <c r="D833" s="16" t="s">
        <v>4666</v>
      </c>
      <c r="E833" s="16" t="s">
        <v>4667</v>
      </c>
      <c r="F833" s="6" t="n">
        <v>46232</v>
      </c>
      <c r="G833" s="6" t="n">
        <v>46229</v>
      </c>
      <c r="H833" s="23" t="n">
        <f aca="false">ABS(F833-G833)</f>
        <v>3</v>
      </c>
      <c r="I833" s="7" t="n">
        <v>-21212.1</v>
      </c>
      <c r="J833" s="7" t="n">
        <v>-21212.1</v>
      </c>
      <c r="K833" s="7" t="n">
        <f aca="false">I833-J833</f>
        <v>0</v>
      </c>
      <c r="L833" s="4" t="s">
        <v>4668</v>
      </c>
      <c r="M833" s="4" t="s">
        <v>4669</v>
      </c>
      <c r="N833" s="4"/>
    </row>
    <row r="834" customFormat="false" ht="15" hidden="false" customHeight="false" outlineLevel="0" collapsed="false">
      <c r="A834" s="4" t="s">
        <v>4670</v>
      </c>
      <c r="B834" s="4" t="s">
        <v>539</v>
      </c>
      <c r="C834" s="22" t="n">
        <v>0.985</v>
      </c>
      <c r="D834" s="16" t="s">
        <v>4671</v>
      </c>
      <c r="E834" s="16" t="s">
        <v>4672</v>
      </c>
      <c r="F834" s="6" t="n">
        <v>46232</v>
      </c>
      <c r="G834" s="6" t="n">
        <v>46229</v>
      </c>
      <c r="H834" s="23" t="n">
        <f aca="false">ABS(F834-G834)</f>
        <v>3</v>
      </c>
      <c r="I834" s="7" t="n">
        <v>-14328.73</v>
      </c>
      <c r="J834" s="7" t="n">
        <v>-14328.73</v>
      </c>
      <c r="K834" s="7" t="n">
        <f aca="false">I834-J834</f>
        <v>0</v>
      </c>
      <c r="L834" s="4" t="s">
        <v>4673</v>
      </c>
      <c r="M834" s="4" t="s">
        <v>4674</v>
      </c>
      <c r="N834" s="4"/>
    </row>
    <row r="835" customFormat="false" ht="15" hidden="false" customHeight="false" outlineLevel="0" collapsed="false">
      <c r="A835" s="4" t="s">
        <v>4675</v>
      </c>
      <c r="B835" s="4" t="s">
        <v>539</v>
      </c>
      <c r="C835" s="22" t="n">
        <v>0.985</v>
      </c>
      <c r="D835" s="16" t="s">
        <v>4676</v>
      </c>
      <c r="E835" s="16" t="s">
        <v>4677</v>
      </c>
      <c r="F835" s="6" t="n">
        <v>46236</v>
      </c>
      <c r="G835" s="6" t="n">
        <v>46233</v>
      </c>
      <c r="H835" s="23" t="n">
        <f aca="false">ABS(F835-G835)</f>
        <v>3</v>
      </c>
      <c r="I835" s="7" t="n">
        <v>-59376.75</v>
      </c>
      <c r="J835" s="7" t="n">
        <v>-59376.75</v>
      </c>
      <c r="K835" s="7" t="n">
        <f aca="false">I835-J835</f>
        <v>0</v>
      </c>
      <c r="L835" s="4" t="s">
        <v>4678</v>
      </c>
      <c r="M835" s="4" t="s">
        <v>4679</v>
      </c>
      <c r="N835" s="4"/>
    </row>
    <row r="836" customFormat="false" ht="15" hidden="false" customHeight="false" outlineLevel="0" collapsed="false">
      <c r="A836" s="4" t="s">
        <v>4680</v>
      </c>
      <c r="B836" s="4" t="s">
        <v>539</v>
      </c>
      <c r="C836" s="22" t="n">
        <v>0.985</v>
      </c>
      <c r="D836" s="16" t="s">
        <v>4681</v>
      </c>
      <c r="E836" s="16" t="s">
        <v>4682</v>
      </c>
      <c r="F836" s="6" t="n">
        <v>46237</v>
      </c>
      <c r="G836" s="6" t="n">
        <v>46234</v>
      </c>
      <c r="H836" s="23" t="n">
        <f aca="false">ABS(F836-G836)</f>
        <v>3</v>
      </c>
      <c r="I836" s="7" t="n">
        <v>-17373.42</v>
      </c>
      <c r="J836" s="7" t="n">
        <v>-17373.42</v>
      </c>
      <c r="K836" s="7" t="n">
        <f aca="false">I836-J836</f>
        <v>0</v>
      </c>
      <c r="L836" s="4" t="s">
        <v>4683</v>
      </c>
      <c r="M836" s="4" t="s">
        <v>4684</v>
      </c>
      <c r="N836" s="4"/>
    </row>
    <row r="837" customFormat="false" ht="15" hidden="false" customHeight="false" outlineLevel="0" collapsed="false">
      <c r="A837" s="4" t="s">
        <v>4685</v>
      </c>
      <c r="B837" s="4" t="s">
        <v>539</v>
      </c>
      <c r="C837" s="22" t="n">
        <v>0.985</v>
      </c>
      <c r="D837" s="16" t="s">
        <v>4686</v>
      </c>
      <c r="E837" s="16" t="s">
        <v>4687</v>
      </c>
      <c r="F837" s="6" t="n">
        <v>46238</v>
      </c>
      <c r="G837" s="6" t="n">
        <v>46235</v>
      </c>
      <c r="H837" s="23" t="n">
        <f aca="false">ABS(F837-G837)</f>
        <v>3</v>
      </c>
      <c r="I837" s="7" t="n">
        <v>-2228.06</v>
      </c>
      <c r="J837" s="7" t="n">
        <v>-2228.06</v>
      </c>
      <c r="K837" s="7" t="n">
        <f aca="false">I837-J837</f>
        <v>0</v>
      </c>
      <c r="L837" s="4" t="s">
        <v>4688</v>
      </c>
      <c r="M837" s="4" t="s">
        <v>4689</v>
      </c>
      <c r="N837" s="4"/>
    </row>
    <row r="838" customFormat="false" ht="15" hidden="false" customHeight="false" outlineLevel="0" collapsed="false">
      <c r="A838" s="4" t="s">
        <v>4690</v>
      </c>
      <c r="B838" s="4" t="s">
        <v>539</v>
      </c>
      <c r="C838" s="22" t="n">
        <v>0.985</v>
      </c>
      <c r="D838" s="16" t="s">
        <v>4691</v>
      </c>
      <c r="E838" s="16" t="s">
        <v>4692</v>
      </c>
      <c r="F838" s="6" t="n">
        <v>46239</v>
      </c>
      <c r="G838" s="6" t="n">
        <v>46236</v>
      </c>
      <c r="H838" s="23" t="n">
        <f aca="false">ABS(F838-G838)</f>
        <v>3</v>
      </c>
      <c r="I838" s="7" t="n">
        <v>-25393.4</v>
      </c>
      <c r="J838" s="7" t="n">
        <v>-25393.4</v>
      </c>
      <c r="K838" s="7" t="n">
        <f aca="false">I838-J838</f>
        <v>0</v>
      </c>
      <c r="L838" s="4" t="s">
        <v>4693</v>
      </c>
      <c r="M838" s="4" t="s">
        <v>4694</v>
      </c>
      <c r="N838" s="4"/>
    </row>
    <row r="839" customFormat="false" ht="15" hidden="false" customHeight="false" outlineLevel="0" collapsed="false">
      <c r="A839" s="4" t="s">
        <v>4695</v>
      </c>
      <c r="B839" s="4" t="s">
        <v>539</v>
      </c>
      <c r="C839" s="22" t="n">
        <v>0.985</v>
      </c>
      <c r="D839" s="16" t="s">
        <v>4696</v>
      </c>
      <c r="E839" s="16" t="s">
        <v>4697</v>
      </c>
      <c r="F839" s="6" t="n">
        <v>46241</v>
      </c>
      <c r="G839" s="6" t="n">
        <v>46238</v>
      </c>
      <c r="H839" s="23" t="n">
        <f aca="false">ABS(F839-G839)</f>
        <v>3</v>
      </c>
      <c r="I839" s="7" t="n">
        <v>-45805.9</v>
      </c>
      <c r="J839" s="7" t="n">
        <v>-45805.9</v>
      </c>
      <c r="K839" s="7" t="n">
        <f aca="false">I839-J839</f>
        <v>0</v>
      </c>
      <c r="L839" s="4" t="s">
        <v>4698</v>
      </c>
      <c r="M839" s="4" t="s">
        <v>4699</v>
      </c>
      <c r="N839" s="4"/>
    </row>
    <row r="840" customFormat="false" ht="15" hidden="false" customHeight="false" outlineLevel="0" collapsed="false">
      <c r="A840" s="4" t="s">
        <v>4700</v>
      </c>
      <c r="B840" s="4" t="s">
        <v>539</v>
      </c>
      <c r="C840" s="22" t="n">
        <v>0.985</v>
      </c>
      <c r="D840" s="16" t="s">
        <v>4701</v>
      </c>
      <c r="E840" s="16" t="s">
        <v>4702</v>
      </c>
      <c r="F840" s="6" t="n">
        <v>46244</v>
      </c>
      <c r="G840" s="6" t="n">
        <v>46241</v>
      </c>
      <c r="H840" s="23" t="n">
        <f aca="false">ABS(F840-G840)</f>
        <v>3</v>
      </c>
      <c r="I840" s="7" t="n">
        <v>-11599.89</v>
      </c>
      <c r="J840" s="7" t="n">
        <v>-11599.89</v>
      </c>
      <c r="K840" s="7" t="n">
        <f aca="false">I840-J840</f>
        <v>0</v>
      </c>
      <c r="L840" s="4" t="s">
        <v>4703</v>
      </c>
      <c r="M840" s="4" t="s">
        <v>4704</v>
      </c>
      <c r="N840" s="4"/>
    </row>
    <row r="841" customFormat="false" ht="15" hidden="false" customHeight="false" outlineLevel="0" collapsed="false">
      <c r="A841" s="4" t="s">
        <v>4705</v>
      </c>
      <c r="B841" s="4" t="s">
        <v>539</v>
      </c>
      <c r="C841" s="22" t="n">
        <v>0.985</v>
      </c>
      <c r="D841" s="16" t="s">
        <v>4706</v>
      </c>
      <c r="E841" s="16" t="s">
        <v>4707</v>
      </c>
      <c r="F841" s="6" t="n">
        <v>46244</v>
      </c>
      <c r="G841" s="6" t="n">
        <v>46241</v>
      </c>
      <c r="H841" s="23" t="n">
        <f aca="false">ABS(F841-G841)</f>
        <v>3</v>
      </c>
      <c r="I841" s="7" t="n">
        <v>-16863.31</v>
      </c>
      <c r="J841" s="7" t="n">
        <v>-16863.31</v>
      </c>
      <c r="K841" s="7" t="n">
        <f aca="false">I841-J841</f>
        <v>0</v>
      </c>
      <c r="L841" s="4" t="s">
        <v>4708</v>
      </c>
      <c r="M841" s="4" t="s">
        <v>4709</v>
      </c>
      <c r="N841" s="4"/>
    </row>
    <row r="842" customFormat="false" ht="15" hidden="false" customHeight="false" outlineLevel="0" collapsed="false">
      <c r="A842" s="4" t="s">
        <v>4710</v>
      </c>
      <c r="B842" s="4" t="s">
        <v>539</v>
      </c>
      <c r="C842" s="22" t="n">
        <v>0.985</v>
      </c>
      <c r="D842" s="16" t="s">
        <v>4711</v>
      </c>
      <c r="E842" s="16" t="s">
        <v>4712</v>
      </c>
      <c r="F842" s="6" t="n">
        <v>46244</v>
      </c>
      <c r="G842" s="6" t="n">
        <v>46241</v>
      </c>
      <c r="H842" s="23" t="n">
        <f aca="false">ABS(F842-G842)</f>
        <v>3</v>
      </c>
      <c r="I842" s="7" t="n">
        <v>-2984.27</v>
      </c>
      <c r="J842" s="7" t="n">
        <v>-2984.27</v>
      </c>
      <c r="K842" s="7" t="n">
        <f aca="false">I842-J842</f>
        <v>0</v>
      </c>
      <c r="L842" s="4" t="s">
        <v>4713</v>
      </c>
      <c r="M842" s="4" t="s">
        <v>4714</v>
      </c>
      <c r="N842" s="4"/>
    </row>
    <row r="843" customFormat="false" ht="15" hidden="false" customHeight="false" outlineLevel="0" collapsed="false">
      <c r="A843" s="4" t="s">
        <v>4715</v>
      </c>
      <c r="B843" s="4" t="s">
        <v>539</v>
      </c>
      <c r="C843" s="22" t="n">
        <v>0.985</v>
      </c>
      <c r="D843" s="16" t="s">
        <v>4716</v>
      </c>
      <c r="E843" s="16" t="s">
        <v>4717</v>
      </c>
      <c r="F843" s="6" t="n">
        <v>46245</v>
      </c>
      <c r="G843" s="6" t="n">
        <v>46242</v>
      </c>
      <c r="H843" s="23" t="n">
        <f aca="false">ABS(F843-G843)</f>
        <v>3</v>
      </c>
      <c r="I843" s="7" t="n">
        <v>-38741.23</v>
      </c>
      <c r="J843" s="7" t="n">
        <v>-38741.23</v>
      </c>
      <c r="K843" s="7" t="n">
        <f aca="false">I843-J843</f>
        <v>0</v>
      </c>
      <c r="L843" s="4" t="s">
        <v>4718</v>
      </c>
      <c r="M843" s="4" t="s">
        <v>4719</v>
      </c>
      <c r="N843" s="4"/>
    </row>
    <row r="844" customFormat="false" ht="15" hidden="false" customHeight="false" outlineLevel="0" collapsed="false">
      <c r="A844" s="4" t="s">
        <v>4720</v>
      </c>
      <c r="B844" s="4" t="s">
        <v>539</v>
      </c>
      <c r="C844" s="22" t="n">
        <v>0.985</v>
      </c>
      <c r="D844" s="16" t="s">
        <v>4721</v>
      </c>
      <c r="E844" s="16" t="s">
        <v>4722</v>
      </c>
      <c r="F844" s="6" t="n">
        <v>46246</v>
      </c>
      <c r="G844" s="6" t="n">
        <v>46243</v>
      </c>
      <c r="H844" s="23" t="n">
        <f aca="false">ABS(F844-G844)</f>
        <v>3</v>
      </c>
      <c r="I844" s="7" t="n">
        <v>-12228.23</v>
      </c>
      <c r="J844" s="7" t="n">
        <v>-12228.23</v>
      </c>
      <c r="K844" s="7" t="n">
        <f aca="false">I844-J844</f>
        <v>0</v>
      </c>
      <c r="L844" s="4" t="s">
        <v>4723</v>
      </c>
      <c r="M844" s="4" t="s">
        <v>4724</v>
      </c>
      <c r="N844" s="4"/>
    </row>
    <row r="845" customFormat="false" ht="15" hidden="false" customHeight="false" outlineLevel="0" collapsed="false">
      <c r="A845" s="4" t="s">
        <v>4725</v>
      </c>
      <c r="B845" s="4" t="s">
        <v>539</v>
      </c>
      <c r="C845" s="22" t="n">
        <v>0.985</v>
      </c>
      <c r="D845" s="16" t="s">
        <v>4726</v>
      </c>
      <c r="E845" s="16" t="s">
        <v>4727</v>
      </c>
      <c r="F845" s="6" t="n">
        <v>46247</v>
      </c>
      <c r="G845" s="6" t="n">
        <v>46244</v>
      </c>
      <c r="H845" s="23" t="n">
        <f aca="false">ABS(F845-G845)</f>
        <v>3</v>
      </c>
      <c r="I845" s="7" t="n">
        <v>-16109.42</v>
      </c>
      <c r="J845" s="7" t="n">
        <v>-16109.42</v>
      </c>
      <c r="K845" s="7" t="n">
        <f aca="false">I845-J845</f>
        <v>0</v>
      </c>
      <c r="L845" s="4" t="s">
        <v>4728</v>
      </c>
      <c r="M845" s="4" t="s">
        <v>4729</v>
      </c>
      <c r="N845" s="4"/>
    </row>
    <row r="846" customFormat="false" ht="15" hidden="false" customHeight="false" outlineLevel="0" collapsed="false">
      <c r="A846" s="4" t="s">
        <v>4730</v>
      </c>
      <c r="B846" s="4" t="s">
        <v>539</v>
      </c>
      <c r="C846" s="22" t="n">
        <v>0.985</v>
      </c>
      <c r="D846" s="16" t="s">
        <v>4731</v>
      </c>
      <c r="E846" s="16" t="s">
        <v>4732</v>
      </c>
      <c r="F846" s="6" t="n">
        <v>46248</v>
      </c>
      <c r="G846" s="6" t="n">
        <v>46245</v>
      </c>
      <c r="H846" s="23" t="n">
        <f aca="false">ABS(F846-G846)</f>
        <v>3</v>
      </c>
      <c r="I846" s="7" t="n">
        <v>-20564.37</v>
      </c>
      <c r="J846" s="7" t="n">
        <v>-20564.37</v>
      </c>
      <c r="K846" s="7" t="n">
        <f aca="false">I846-J846</f>
        <v>0</v>
      </c>
      <c r="L846" s="4" t="s">
        <v>4733</v>
      </c>
      <c r="M846" s="4" t="s">
        <v>4734</v>
      </c>
      <c r="N846" s="4"/>
    </row>
    <row r="847" customFormat="false" ht="15" hidden="false" customHeight="false" outlineLevel="0" collapsed="false">
      <c r="A847" s="4" t="s">
        <v>4735</v>
      </c>
      <c r="B847" s="4" t="s">
        <v>539</v>
      </c>
      <c r="C847" s="22" t="n">
        <v>0.985</v>
      </c>
      <c r="D847" s="16" t="s">
        <v>4736</v>
      </c>
      <c r="E847" s="16" t="s">
        <v>4737</v>
      </c>
      <c r="F847" s="6" t="n">
        <v>46248</v>
      </c>
      <c r="G847" s="6" t="n">
        <v>46245</v>
      </c>
      <c r="H847" s="23" t="n">
        <f aca="false">ABS(F847-G847)</f>
        <v>3</v>
      </c>
      <c r="I847" s="7" t="n">
        <v>-21581.1</v>
      </c>
      <c r="J847" s="7" t="n">
        <v>-21581.1</v>
      </c>
      <c r="K847" s="7" t="n">
        <f aca="false">I847-J847</f>
        <v>0</v>
      </c>
      <c r="L847" s="4" t="s">
        <v>4738</v>
      </c>
      <c r="M847" s="4" t="s">
        <v>4739</v>
      </c>
      <c r="N847" s="4"/>
    </row>
    <row r="848" customFormat="false" ht="15" hidden="false" customHeight="false" outlineLevel="0" collapsed="false">
      <c r="A848" s="4" t="s">
        <v>4740</v>
      </c>
      <c r="B848" s="4" t="s">
        <v>539</v>
      </c>
      <c r="C848" s="22" t="n">
        <v>0.985</v>
      </c>
      <c r="D848" s="16" t="s">
        <v>4741</v>
      </c>
      <c r="E848" s="16" t="s">
        <v>4742</v>
      </c>
      <c r="F848" s="6" t="n">
        <v>46249</v>
      </c>
      <c r="G848" s="6" t="n">
        <v>46246</v>
      </c>
      <c r="H848" s="23" t="n">
        <f aca="false">ABS(F848-G848)</f>
        <v>3</v>
      </c>
      <c r="I848" s="7" t="n">
        <v>-37765.52</v>
      </c>
      <c r="J848" s="7" t="n">
        <v>-37765.52</v>
      </c>
      <c r="K848" s="7" t="n">
        <f aca="false">I848-J848</f>
        <v>0</v>
      </c>
      <c r="L848" s="4" t="s">
        <v>4743</v>
      </c>
      <c r="M848" s="4" t="s">
        <v>4744</v>
      </c>
      <c r="N848" s="4"/>
    </row>
    <row r="849" customFormat="false" ht="15" hidden="false" customHeight="false" outlineLevel="0" collapsed="false">
      <c r="A849" s="4" t="s">
        <v>4745</v>
      </c>
      <c r="B849" s="4" t="s">
        <v>539</v>
      </c>
      <c r="C849" s="22" t="n">
        <v>0.985</v>
      </c>
      <c r="D849" s="16" t="s">
        <v>4746</v>
      </c>
      <c r="E849" s="16" t="s">
        <v>4747</v>
      </c>
      <c r="F849" s="6" t="n">
        <v>46251</v>
      </c>
      <c r="G849" s="6" t="n">
        <v>46248</v>
      </c>
      <c r="H849" s="23" t="n">
        <f aca="false">ABS(F849-G849)</f>
        <v>3</v>
      </c>
      <c r="I849" s="7" t="n">
        <v>-48063.77</v>
      </c>
      <c r="J849" s="7" t="n">
        <v>-48063.77</v>
      </c>
      <c r="K849" s="7" t="n">
        <f aca="false">I849-J849</f>
        <v>0</v>
      </c>
      <c r="L849" s="4" t="s">
        <v>4748</v>
      </c>
      <c r="M849" s="4" t="s">
        <v>4749</v>
      </c>
      <c r="N849" s="4"/>
    </row>
    <row r="850" customFormat="false" ht="15" hidden="false" customHeight="false" outlineLevel="0" collapsed="false">
      <c r="A850" s="4" t="s">
        <v>4750</v>
      </c>
      <c r="B850" s="4" t="s">
        <v>539</v>
      </c>
      <c r="C850" s="22" t="n">
        <v>0.985</v>
      </c>
      <c r="D850" s="16" t="s">
        <v>4751</v>
      </c>
      <c r="E850" s="16" t="s">
        <v>4752</v>
      </c>
      <c r="F850" s="6" t="n">
        <v>46251</v>
      </c>
      <c r="G850" s="6" t="n">
        <v>46248</v>
      </c>
      <c r="H850" s="23" t="n">
        <f aca="false">ABS(F850-G850)</f>
        <v>3</v>
      </c>
      <c r="I850" s="7" t="n">
        <v>-38349.47</v>
      </c>
      <c r="J850" s="7" t="n">
        <v>-38349.47</v>
      </c>
      <c r="K850" s="7" t="n">
        <f aca="false">I850-J850</f>
        <v>0</v>
      </c>
      <c r="L850" s="4" t="s">
        <v>4753</v>
      </c>
      <c r="M850" s="4" t="s">
        <v>4754</v>
      </c>
      <c r="N850" s="4"/>
    </row>
    <row r="851" customFormat="false" ht="15" hidden="false" customHeight="false" outlineLevel="0" collapsed="false">
      <c r="A851" s="4" t="s">
        <v>4755</v>
      </c>
      <c r="B851" s="4" t="s">
        <v>539</v>
      </c>
      <c r="C851" s="22" t="n">
        <v>0.985</v>
      </c>
      <c r="D851" s="16" t="s">
        <v>4756</v>
      </c>
      <c r="E851" s="16" t="s">
        <v>4757</v>
      </c>
      <c r="F851" s="6" t="n">
        <v>46252</v>
      </c>
      <c r="G851" s="6" t="n">
        <v>46249</v>
      </c>
      <c r="H851" s="23" t="n">
        <f aca="false">ABS(F851-G851)</f>
        <v>3</v>
      </c>
      <c r="I851" s="7" t="n">
        <v>-10821.32</v>
      </c>
      <c r="J851" s="7" t="n">
        <v>-10821.32</v>
      </c>
      <c r="K851" s="7" t="n">
        <f aca="false">I851-J851</f>
        <v>0</v>
      </c>
      <c r="L851" s="4" t="s">
        <v>4758</v>
      </c>
      <c r="M851" s="4" t="s">
        <v>4759</v>
      </c>
      <c r="N851" s="4"/>
    </row>
    <row r="852" customFormat="false" ht="15" hidden="false" customHeight="false" outlineLevel="0" collapsed="false">
      <c r="A852" s="4" t="s">
        <v>4760</v>
      </c>
      <c r="B852" s="4" t="s">
        <v>539</v>
      </c>
      <c r="C852" s="22" t="n">
        <v>0.985</v>
      </c>
      <c r="D852" s="16" t="s">
        <v>4761</v>
      </c>
      <c r="E852" s="16" t="s">
        <v>4762</v>
      </c>
      <c r="F852" s="6" t="n">
        <v>46253</v>
      </c>
      <c r="G852" s="6" t="n">
        <v>46250</v>
      </c>
      <c r="H852" s="23" t="n">
        <f aca="false">ABS(F852-G852)</f>
        <v>3</v>
      </c>
      <c r="I852" s="7" t="n">
        <v>-19656.8</v>
      </c>
      <c r="J852" s="7" t="n">
        <v>-19656.8</v>
      </c>
      <c r="K852" s="7" t="n">
        <f aca="false">I852-J852</f>
        <v>0</v>
      </c>
      <c r="L852" s="4" t="s">
        <v>4763</v>
      </c>
      <c r="M852" s="4" t="s">
        <v>4764</v>
      </c>
      <c r="N852" s="4"/>
    </row>
    <row r="853" customFormat="false" ht="15" hidden="false" customHeight="false" outlineLevel="0" collapsed="false">
      <c r="A853" s="4" t="s">
        <v>4765</v>
      </c>
      <c r="B853" s="4" t="s">
        <v>539</v>
      </c>
      <c r="C853" s="22" t="n">
        <v>0.985</v>
      </c>
      <c r="D853" s="16" t="s">
        <v>4766</v>
      </c>
      <c r="E853" s="16" t="s">
        <v>4767</v>
      </c>
      <c r="F853" s="6" t="n">
        <v>46256</v>
      </c>
      <c r="G853" s="6" t="n">
        <v>46253</v>
      </c>
      <c r="H853" s="23" t="n">
        <f aca="false">ABS(F853-G853)</f>
        <v>3</v>
      </c>
      <c r="I853" s="7" t="n">
        <v>-58389.71</v>
      </c>
      <c r="J853" s="7" t="n">
        <v>-58389.71</v>
      </c>
      <c r="K853" s="7" t="n">
        <f aca="false">I853-J853</f>
        <v>0</v>
      </c>
      <c r="L853" s="4" t="s">
        <v>4768</v>
      </c>
      <c r="M853" s="4" t="s">
        <v>4769</v>
      </c>
      <c r="N853" s="4"/>
    </row>
    <row r="854" customFormat="false" ht="15" hidden="false" customHeight="false" outlineLevel="0" collapsed="false">
      <c r="A854" s="4" t="s">
        <v>4770</v>
      </c>
      <c r="B854" s="4" t="s">
        <v>539</v>
      </c>
      <c r="C854" s="22" t="n">
        <v>0.985</v>
      </c>
      <c r="D854" s="16" t="s">
        <v>4771</v>
      </c>
      <c r="E854" s="16" t="s">
        <v>4772</v>
      </c>
      <c r="F854" s="6" t="n">
        <v>46256</v>
      </c>
      <c r="G854" s="6" t="n">
        <v>46253</v>
      </c>
      <c r="H854" s="23" t="n">
        <f aca="false">ABS(F854-G854)</f>
        <v>3</v>
      </c>
      <c r="I854" s="7" t="n">
        <v>-20144.02</v>
      </c>
      <c r="J854" s="7" t="n">
        <v>-20144.02</v>
      </c>
      <c r="K854" s="7" t="n">
        <f aca="false">I854-J854</f>
        <v>0</v>
      </c>
      <c r="L854" s="4" t="s">
        <v>4773</v>
      </c>
      <c r="M854" s="4" t="s">
        <v>4774</v>
      </c>
      <c r="N854" s="4"/>
    </row>
    <row r="855" customFormat="false" ht="15" hidden="false" customHeight="false" outlineLevel="0" collapsed="false">
      <c r="A855" s="4" t="s">
        <v>4775</v>
      </c>
      <c r="B855" s="4" t="s">
        <v>539</v>
      </c>
      <c r="C855" s="22" t="n">
        <v>0.985</v>
      </c>
      <c r="D855" s="16" t="s">
        <v>4776</v>
      </c>
      <c r="E855" s="16" t="s">
        <v>4777</v>
      </c>
      <c r="F855" s="6" t="n">
        <v>46258</v>
      </c>
      <c r="G855" s="6" t="n">
        <v>46255</v>
      </c>
      <c r="H855" s="23" t="n">
        <f aca="false">ABS(F855-G855)</f>
        <v>3</v>
      </c>
      <c r="I855" s="7" t="n">
        <v>-43206.71</v>
      </c>
      <c r="J855" s="7" t="n">
        <v>-43206.71</v>
      </c>
      <c r="K855" s="7" t="n">
        <f aca="false">I855-J855</f>
        <v>0</v>
      </c>
      <c r="L855" s="4" t="s">
        <v>4778</v>
      </c>
      <c r="M855" s="4" t="s">
        <v>4779</v>
      </c>
      <c r="N855" s="4"/>
    </row>
    <row r="856" customFormat="false" ht="15" hidden="false" customHeight="false" outlineLevel="0" collapsed="false">
      <c r="A856" s="4" t="s">
        <v>4780</v>
      </c>
      <c r="B856" s="4" t="s">
        <v>539</v>
      </c>
      <c r="C856" s="22" t="n">
        <v>0.985</v>
      </c>
      <c r="D856" s="16" t="s">
        <v>4781</v>
      </c>
      <c r="E856" s="16" t="s">
        <v>4782</v>
      </c>
      <c r="F856" s="6" t="n">
        <v>46259</v>
      </c>
      <c r="G856" s="6" t="n">
        <v>46256</v>
      </c>
      <c r="H856" s="23" t="n">
        <f aca="false">ABS(F856-G856)</f>
        <v>3</v>
      </c>
      <c r="I856" s="7" t="n">
        <v>-34069.96</v>
      </c>
      <c r="J856" s="7" t="n">
        <v>-34069.96</v>
      </c>
      <c r="K856" s="7" t="n">
        <f aca="false">I856-J856</f>
        <v>0</v>
      </c>
      <c r="L856" s="4" t="s">
        <v>4783</v>
      </c>
      <c r="M856" s="4" t="s">
        <v>4784</v>
      </c>
      <c r="N856" s="4"/>
    </row>
    <row r="857" customFormat="false" ht="15" hidden="false" customHeight="false" outlineLevel="0" collapsed="false">
      <c r="A857" s="4" t="s">
        <v>4785</v>
      </c>
      <c r="B857" s="4" t="s">
        <v>539</v>
      </c>
      <c r="C857" s="22" t="n">
        <v>0.985</v>
      </c>
      <c r="D857" s="16" t="s">
        <v>4786</v>
      </c>
      <c r="E857" s="16" t="s">
        <v>4787</v>
      </c>
      <c r="F857" s="6" t="n">
        <v>46260</v>
      </c>
      <c r="G857" s="6" t="n">
        <v>46257</v>
      </c>
      <c r="H857" s="23" t="n">
        <f aca="false">ABS(F857-G857)</f>
        <v>3</v>
      </c>
      <c r="I857" s="7" t="n">
        <v>-19436.78</v>
      </c>
      <c r="J857" s="7" t="n">
        <v>-19436.78</v>
      </c>
      <c r="K857" s="7" t="n">
        <f aca="false">I857-J857</f>
        <v>0</v>
      </c>
      <c r="L857" s="4" t="s">
        <v>4788</v>
      </c>
      <c r="M857" s="4" t="s">
        <v>4789</v>
      </c>
      <c r="N857" s="4"/>
    </row>
    <row r="858" customFormat="false" ht="15" hidden="false" customHeight="false" outlineLevel="0" collapsed="false">
      <c r="A858" s="4" t="s">
        <v>4790</v>
      </c>
      <c r="B858" s="4" t="s">
        <v>539</v>
      </c>
      <c r="C858" s="22" t="n">
        <v>0.985</v>
      </c>
      <c r="D858" s="16" t="s">
        <v>4791</v>
      </c>
      <c r="E858" s="16" t="s">
        <v>4792</v>
      </c>
      <c r="F858" s="6" t="n">
        <v>46261</v>
      </c>
      <c r="G858" s="6" t="n">
        <v>46258</v>
      </c>
      <c r="H858" s="23" t="n">
        <f aca="false">ABS(F858-G858)</f>
        <v>3</v>
      </c>
      <c r="I858" s="7" t="n">
        <v>-56808.51</v>
      </c>
      <c r="J858" s="7" t="n">
        <v>-56808.51</v>
      </c>
      <c r="K858" s="7" t="n">
        <f aca="false">I858-J858</f>
        <v>0</v>
      </c>
      <c r="L858" s="4" t="s">
        <v>4793</v>
      </c>
      <c r="M858" s="4" t="s">
        <v>4794</v>
      </c>
      <c r="N858" s="4"/>
    </row>
    <row r="859" customFormat="false" ht="15" hidden="false" customHeight="false" outlineLevel="0" collapsed="false">
      <c r="A859" s="4" t="s">
        <v>4795</v>
      </c>
      <c r="B859" s="4" t="s">
        <v>539</v>
      </c>
      <c r="C859" s="22" t="n">
        <v>0.985</v>
      </c>
      <c r="D859" s="16" t="s">
        <v>4796</v>
      </c>
      <c r="E859" s="16" t="s">
        <v>4797</v>
      </c>
      <c r="F859" s="6" t="n">
        <v>46262</v>
      </c>
      <c r="G859" s="6" t="n">
        <v>46259</v>
      </c>
      <c r="H859" s="23" t="n">
        <f aca="false">ABS(F859-G859)</f>
        <v>3</v>
      </c>
      <c r="I859" s="7" t="n">
        <v>-43763.36</v>
      </c>
      <c r="J859" s="7" t="n">
        <v>-43763.36</v>
      </c>
      <c r="K859" s="7" t="n">
        <f aca="false">I859-J859</f>
        <v>0</v>
      </c>
      <c r="L859" s="4" t="s">
        <v>4798</v>
      </c>
      <c r="M859" s="4" t="s">
        <v>4799</v>
      </c>
      <c r="N859" s="4"/>
    </row>
    <row r="860" customFormat="false" ht="15" hidden="false" customHeight="false" outlineLevel="0" collapsed="false">
      <c r="A860" s="4" t="s">
        <v>4800</v>
      </c>
      <c r="B860" s="4" t="s">
        <v>539</v>
      </c>
      <c r="C860" s="22" t="n">
        <v>0.985</v>
      </c>
      <c r="D860" s="16" t="s">
        <v>4801</v>
      </c>
      <c r="E860" s="16" t="s">
        <v>4802</v>
      </c>
      <c r="F860" s="6" t="n">
        <v>46262</v>
      </c>
      <c r="G860" s="6" t="n">
        <v>46259</v>
      </c>
      <c r="H860" s="23" t="n">
        <f aca="false">ABS(F860-G860)</f>
        <v>3</v>
      </c>
      <c r="I860" s="7" t="n">
        <v>-29588.14</v>
      </c>
      <c r="J860" s="7" t="n">
        <v>-29588.14</v>
      </c>
      <c r="K860" s="7" t="n">
        <f aca="false">I860-J860</f>
        <v>0</v>
      </c>
      <c r="L860" s="4" t="s">
        <v>4803</v>
      </c>
      <c r="M860" s="4" t="s">
        <v>4804</v>
      </c>
      <c r="N860" s="4"/>
    </row>
    <row r="861" customFormat="false" ht="15" hidden="false" customHeight="false" outlineLevel="0" collapsed="false">
      <c r="A861" s="4" t="s">
        <v>4805</v>
      </c>
      <c r="B861" s="4" t="s">
        <v>539</v>
      </c>
      <c r="C861" s="22" t="n">
        <v>0.985</v>
      </c>
      <c r="D861" s="16" t="s">
        <v>4806</v>
      </c>
      <c r="E861" s="16" t="s">
        <v>4807</v>
      </c>
      <c r="F861" s="6" t="n">
        <v>46262</v>
      </c>
      <c r="G861" s="6" t="n">
        <v>46259</v>
      </c>
      <c r="H861" s="23" t="n">
        <f aca="false">ABS(F861-G861)</f>
        <v>3</v>
      </c>
      <c r="I861" s="7" t="n">
        <v>-42206.23</v>
      </c>
      <c r="J861" s="7" t="n">
        <v>-42206.23</v>
      </c>
      <c r="K861" s="7" t="n">
        <f aca="false">I861-J861</f>
        <v>0</v>
      </c>
      <c r="L861" s="4" t="s">
        <v>4808</v>
      </c>
      <c r="M861" s="4" t="s">
        <v>4809</v>
      </c>
      <c r="N861" s="4"/>
    </row>
    <row r="862" customFormat="false" ht="15" hidden="false" customHeight="false" outlineLevel="0" collapsed="false">
      <c r="A862" s="4" t="s">
        <v>4810</v>
      </c>
      <c r="B862" s="4" t="s">
        <v>539</v>
      </c>
      <c r="C862" s="22" t="n">
        <v>0.985</v>
      </c>
      <c r="D862" s="16" t="s">
        <v>4811</v>
      </c>
      <c r="E862" s="16" t="s">
        <v>4812</v>
      </c>
      <c r="F862" s="6" t="n">
        <v>46264</v>
      </c>
      <c r="G862" s="6" t="n">
        <v>46261</v>
      </c>
      <c r="H862" s="23" t="n">
        <f aca="false">ABS(F862-G862)</f>
        <v>3</v>
      </c>
      <c r="I862" s="7" t="n">
        <v>-41728.68</v>
      </c>
      <c r="J862" s="7" t="n">
        <v>-41728.68</v>
      </c>
      <c r="K862" s="7" t="n">
        <f aca="false">I862-J862</f>
        <v>0</v>
      </c>
      <c r="L862" s="4" t="s">
        <v>4813</v>
      </c>
      <c r="M862" s="4" t="s">
        <v>4814</v>
      </c>
      <c r="N862" s="4"/>
    </row>
    <row r="863" customFormat="false" ht="15" hidden="false" customHeight="false" outlineLevel="0" collapsed="false">
      <c r="A863" s="4" t="s">
        <v>4815</v>
      </c>
      <c r="B863" s="4" t="s">
        <v>539</v>
      </c>
      <c r="C863" s="22" t="n">
        <v>0.985</v>
      </c>
      <c r="D863" s="16" t="s">
        <v>4816</v>
      </c>
      <c r="E863" s="16" t="s">
        <v>4817</v>
      </c>
      <c r="F863" s="6" t="n">
        <v>46266</v>
      </c>
      <c r="G863" s="6" t="n">
        <v>46263</v>
      </c>
      <c r="H863" s="23" t="n">
        <f aca="false">ABS(F863-G863)</f>
        <v>3</v>
      </c>
      <c r="I863" s="7" t="n">
        <v>-3212.02</v>
      </c>
      <c r="J863" s="7" t="n">
        <v>-3212.02</v>
      </c>
      <c r="K863" s="7" t="n">
        <f aca="false">I863-J863</f>
        <v>0</v>
      </c>
      <c r="L863" s="4" t="s">
        <v>4818</v>
      </c>
      <c r="M863" s="4" t="s">
        <v>4819</v>
      </c>
      <c r="N863" s="4"/>
    </row>
    <row r="864" customFormat="false" ht="15" hidden="false" customHeight="false" outlineLevel="0" collapsed="false">
      <c r="A864" s="4" t="s">
        <v>4820</v>
      </c>
      <c r="B864" s="4" t="s">
        <v>539</v>
      </c>
      <c r="C864" s="22" t="n">
        <v>0.985</v>
      </c>
      <c r="D864" s="16" t="s">
        <v>4821</v>
      </c>
      <c r="E864" s="16" t="s">
        <v>4822</v>
      </c>
      <c r="F864" s="6" t="n">
        <v>46270</v>
      </c>
      <c r="G864" s="6" t="n">
        <v>46267</v>
      </c>
      <c r="H864" s="23" t="n">
        <f aca="false">ABS(F864-G864)</f>
        <v>3</v>
      </c>
      <c r="I864" s="7" t="n">
        <v>-56723.55</v>
      </c>
      <c r="J864" s="7" t="n">
        <v>-56723.55</v>
      </c>
      <c r="K864" s="7" t="n">
        <f aca="false">I864-J864</f>
        <v>0</v>
      </c>
      <c r="L864" s="4" t="s">
        <v>4823</v>
      </c>
      <c r="M864" s="4" t="s">
        <v>4824</v>
      </c>
      <c r="N864" s="4"/>
    </row>
    <row r="865" customFormat="false" ht="15" hidden="false" customHeight="false" outlineLevel="0" collapsed="false">
      <c r="A865" s="4" t="s">
        <v>4825</v>
      </c>
      <c r="B865" s="4" t="s">
        <v>539</v>
      </c>
      <c r="C865" s="22" t="n">
        <v>0.985</v>
      </c>
      <c r="D865" s="16" t="s">
        <v>4826</v>
      </c>
      <c r="E865" s="16" t="s">
        <v>4827</v>
      </c>
      <c r="F865" s="6" t="n">
        <v>46272</v>
      </c>
      <c r="G865" s="6" t="n">
        <v>46269</v>
      </c>
      <c r="H865" s="23" t="n">
        <f aca="false">ABS(F865-G865)</f>
        <v>3</v>
      </c>
      <c r="I865" s="7" t="n">
        <v>-20929.63</v>
      </c>
      <c r="J865" s="7" t="n">
        <v>-20929.63</v>
      </c>
      <c r="K865" s="7" t="n">
        <f aca="false">I865-J865</f>
        <v>0</v>
      </c>
      <c r="L865" s="4" t="s">
        <v>4828</v>
      </c>
      <c r="M865" s="4" t="s">
        <v>4829</v>
      </c>
      <c r="N865" s="4"/>
    </row>
    <row r="866" customFormat="false" ht="15" hidden="false" customHeight="false" outlineLevel="0" collapsed="false">
      <c r="A866" s="4" t="s">
        <v>4830</v>
      </c>
      <c r="B866" s="4" t="s">
        <v>539</v>
      </c>
      <c r="C866" s="22" t="n">
        <v>0.985</v>
      </c>
      <c r="D866" s="16" t="s">
        <v>4831</v>
      </c>
      <c r="E866" s="16" t="s">
        <v>4832</v>
      </c>
      <c r="F866" s="6" t="n">
        <v>46273</v>
      </c>
      <c r="G866" s="6" t="n">
        <v>46270</v>
      </c>
      <c r="H866" s="23" t="n">
        <f aca="false">ABS(F866-G866)</f>
        <v>3</v>
      </c>
      <c r="I866" s="7" t="n">
        <v>-10646.88</v>
      </c>
      <c r="J866" s="7" t="n">
        <v>-10646.88</v>
      </c>
      <c r="K866" s="7" t="n">
        <f aca="false">I866-J866</f>
        <v>0</v>
      </c>
      <c r="L866" s="4" t="s">
        <v>4833</v>
      </c>
      <c r="M866" s="4" t="s">
        <v>4834</v>
      </c>
      <c r="N866" s="4"/>
    </row>
    <row r="867" customFormat="false" ht="15" hidden="false" customHeight="false" outlineLevel="0" collapsed="false">
      <c r="A867" s="4" t="s">
        <v>4835</v>
      </c>
      <c r="B867" s="4" t="s">
        <v>539</v>
      </c>
      <c r="C867" s="22" t="n">
        <v>0.985</v>
      </c>
      <c r="D867" s="16" t="s">
        <v>4836</v>
      </c>
      <c r="E867" s="16" t="s">
        <v>4837</v>
      </c>
      <c r="F867" s="6" t="n">
        <v>46274</v>
      </c>
      <c r="G867" s="6" t="n">
        <v>46271</v>
      </c>
      <c r="H867" s="23" t="n">
        <f aca="false">ABS(F867-G867)</f>
        <v>3</v>
      </c>
      <c r="I867" s="7" t="n">
        <v>-58249.98</v>
      </c>
      <c r="J867" s="7" t="n">
        <v>-58249.98</v>
      </c>
      <c r="K867" s="7" t="n">
        <f aca="false">I867-J867</f>
        <v>0</v>
      </c>
      <c r="L867" s="4" t="s">
        <v>4838</v>
      </c>
      <c r="M867" s="4" t="s">
        <v>4839</v>
      </c>
      <c r="N867" s="4"/>
    </row>
    <row r="868" customFormat="false" ht="15" hidden="false" customHeight="false" outlineLevel="0" collapsed="false">
      <c r="A868" s="4" t="s">
        <v>4840</v>
      </c>
      <c r="B868" s="4" t="s">
        <v>539</v>
      </c>
      <c r="C868" s="22" t="n">
        <v>0.985</v>
      </c>
      <c r="D868" s="16" t="s">
        <v>4841</v>
      </c>
      <c r="E868" s="16" t="s">
        <v>4842</v>
      </c>
      <c r="F868" s="6" t="n">
        <v>46274</v>
      </c>
      <c r="G868" s="6" t="n">
        <v>46271</v>
      </c>
      <c r="H868" s="23" t="n">
        <f aca="false">ABS(F868-G868)</f>
        <v>3</v>
      </c>
      <c r="I868" s="7" t="n">
        <v>-23074.48</v>
      </c>
      <c r="J868" s="7" t="n">
        <v>-23074.48</v>
      </c>
      <c r="K868" s="7" t="n">
        <f aca="false">I868-J868</f>
        <v>0</v>
      </c>
      <c r="L868" s="4" t="s">
        <v>4843</v>
      </c>
      <c r="M868" s="4" t="s">
        <v>4844</v>
      </c>
      <c r="N868" s="4"/>
    </row>
    <row r="869" customFormat="false" ht="15" hidden="false" customHeight="false" outlineLevel="0" collapsed="false">
      <c r="A869" s="4" t="s">
        <v>4845</v>
      </c>
      <c r="B869" s="4" t="s">
        <v>539</v>
      </c>
      <c r="C869" s="22" t="n">
        <v>0.985</v>
      </c>
      <c r="D869" s="16" t="s">
        <v>4846</v>
      </c>
      <c r="E869" s="16" t="s">
        <v>4847</v>
      </c>
      <c r="F869" s="6" t="n">
        <v>46277</v>
      </c>
      <c r="G869" s="6" t="n">
        <v>46274</v>
      </c>
      <c r="H869" s="23" t="n">
        <f aca="false">ABS(F869-G869)</f>
        <v>3</v>
      </c>
      <c r="I869" s="7" t="n">
        <v>-49015.87</v>
      </c>
      <c r="J869" s="7" t="n">
        <v>-49015.87</v>
      </c>
      <c r="K869" s="7" t="n">
        <f aca="false">I869-J869</f>
        <v>0</v>
      </c>
      <c r="L869" s="4" t="s">
        <v>4848</v>
      </c>
      <c r="M869" s="4" t="s">
        <v>4849</v>
      </c>
      <c r="N869" s="4"/>
    </row>
    <row r="870" customFormat="false" ht="15" hidden="false" customHeight="false" outlineLevel="0" collapsed="false">
      <c r="A870" s="4" t="s">
        <v>4850</v>
      </c>
      <c r="B870" s="4" t="s">
        <v>539</v>
      </c>
      <c r="C870" s="22" t="n">
        <v>0.985</v>
      </c>
      <c r="D870" s="16" t="s">
        <v>4851</v>
      </c>
      <c r="E870" s="16" t="s">
        <v>4852</v>
      </c>
      <c r="F870" s="6" t="n">
        <v>46279</v>
      </c>
      <c r="G870" s="6" t="n">
        <v>46276</v>
      </c>
      <c r="H870" s="23" t="n">
        <f aca="false">ABS(F870-G870)</f>
        <v>3</v>
      </c>
      <c r="I870" s="7" t="n">
        <v>-32033.72</v>
      </c>
      <c r="J870" s="7" t="n">
        <v>-32033.72</v>
      </c>
      <c r="K870" s="7" t="n">
        <f aca="false">I870-J870</f>
        <v>0</v>
      </c>
      <c r="L870" s="4" t="s">
        <v>4853</v>
      </c>
      <c r="M870" s="4" t="s">
        <v>4854</v>
      </c>
      <c r="N870" s="4"/>
    </row>
    <row r="871" customFormat="false" ht="15" hidden="false" customHeight="false" outlineLevel="0" collapsed="false">
      <c r="A871" s="4" t="s">
        <v>4855</v>
      </c>
      <c r="B871" s="4" t="s">
        <v>539</v>
      </c>
      <c r="C871" s="22" t="n">
        <v>0.985</v>
      </c>
      <c r="D871" s="16" t="s">
        <v>4856</v>
      </c>
      <c r="E871" s="16" t="s">
        <v>4857</v>
      </c>
      <c r="F871" s="6" t="n">
        <v>46279</v>
      </c>
      <c r="G871" s="6" t="n">
        <v>46276</v>
      </c>
      <c r="H871" s="23" t="n">
        <f aca="false">ABS(F871-G871)</f>
        <v>3</v>
      </c>
      <c r="I871" s="7" t="n">
        <v>-6914.61</v>
      </c>
      <c r="J871" s="7" t="n">
        <v>-6914.61</v>
      </c>
      <c r="K871" s="7" t="n">
        <f aca="false">I871-J871</f>
        <v>0</v>
      </c>
      <c r="L871" s="4" t="s">
        <v>4858</v>
      </c>
      <c r="M871" s="4" t="s">
        <v>4859</v>
      </c>
      <c r="N871" s="4"/>
    </row>
    <row r="872" customFormat="false" ht="15" hidden="false" customHeight="false" outlineLevel="0" collapsed="false">
      <c r="A872" s="4" t="s">
        <v>4860</v>
      </c>
      <c r="B872" s="4" t="s">
        <v>539</v>
      </c>
      <c r="C872" s="22" t="n">
        <v>0.985</v>
      </c>
      <c r="D872" s="16" t="s">
        <v>4861</v>
      </c>
      <c r="E872" s="16" t="s">
        <v>4862</v>
      </c>
      <c r="F872" s="6" t="n">
        <v>46280</v>
      </c>
      <c r="G872" s="6" t="n">
        <v>46277</v>
      </c>
      <c r="H872" s="23" t="n">
        <f aca="false">ABS(F872-G872)</f>
        <v>3</v>
      </c>
      <c r="I872" s="7" t="n">
        <v>-18173.8</v>
      </c>
      <c r="J872" s="7" t="n">
        <v>-18173.8</v>
      </c>
      <c r="K872" s="7" t="n">
        <f aca="false">I872-J872</f>
        <v>0</v>
      </c>
      <c r="L872" s="4" t="s">
        <v>4863</v>
      </c>
      <c r="M872" s="4" t="s">
        <v>4864</v>
      </c>
      <c r="N872" s="4"/>
    </row>
    <row r="873" customFormat="false" ht="15" hidden="false" customHeight="false" outlineLevel="0" collapsed="false">
      <c r="A873" s="4" t="s">
        <v>4865</v>
      </c>
      <c r="B873" s="4" t="s">
        <v>539</v>
      </c>
      <c r="C873" s="22" t="n">
        <v>0.985</v>
      </c>
      <c r="D873" s="16" t="s">
        <v>4866</v>
      </c>
      <c r="E873" s="16" t="s">
        <v>4867</v>
      </c>
      <c r="F873" s="6" t="n">
        <v>46281</v>
      </c>
      <c r="G873" s="6" t="n">
        <v>46278</v>
      </c>
      <c r="H873" s="23" t="n">
        <f aca="false">ABS(F873-G873)</f>
        <v>3</v>
      </c>
      <c r="I873" s="7" t="n">
        <v>-50370.66</v>
      </c>
      <c r="J873" s="7" t="n">
        <v>-50370.66</v>
      </c>
      <c r="K873" s="7" t="n">
        <f aca="false">I873-J873</f>
        <v>0</v>
      </c>
      <c r="L873" s="4" t="s">
        <v>4868</v>
      </c>
      <c r="M873" s="4" t="s">
        <v>4869</v>
      </c>
      <c r="N873" s="4"/>
    </row>
    <row r="874" customFormat="false" ht="15" hidden="false" customHeight="false" outlineLevel="0" collapsed="false">
      <c r="A874" s="4" t="s">
        <v>4870</v>
      </c>
      <c r="B874" s="4" t="s">
        <v>539</v>
      </c>
      <c r="C874" s="22" t="n">
        <v>0.985</v>
      </c>
      <c r="D874" s="16" t="s">
        <v>4871</v>
      </c>
      <c r="E874" s="16" t="s">
        <v>4872</v>
      </c>
      <c r="F874" s="6" t="n">
        <v>46282</v>
      </c>
      <c r="G874" s="6" t="n">
        <v>46279</v>
      </c>
      <c r="H874" s="23" t="n">
        <f aca="false">ABS(F874-G874)</f>
        <v>3</v>
      </c>
      <c r="I874" s="7" t="n">
        <v>-21192.77</v>
      </c>
      <c r="J874" s="7" t="n">
        <v>-21192.77</v>
      </c>
      <c r="K874" s="7" t="n">
        <f aca="false">I874-J874</f>
        <v>0</v>
      </c>
      <c r="L874" s="4" t="s">
        <v>4873</v>
      </c>
      <c r="M874" s="4" t="s">
        <v>4874</v>
      </c>
      <c r="N874" s="4"/>
    </row>
    <row r="875" customFormat="false" ht="15" hidden="false" customHeight="false" outlineLevel="0" collapsed="false">
      <c r="A875" s="4" t="s">
        <v>4875</v>
      </c>
      <c r="B875" s="4" t="s">
        <v>539</v>
      </c>
      <c r="C875" s="22" t="n">
        <v>0.985</v>
      </c>
      <c r="D875" s="16" t="s">
        <v>4876</v>
      </c>
      <c r="E875" s="16" t="s">
        <v>4877</v>
      </c>
      <c r="F875" s="6" t="n">
        <v>46283</v>
      </c>
      <c r="G875" s="6" t="n">
        <v>46280</v>
      </c>
      <c r="H875" s="23" t="n">
        <f aca="false">ABS(F875-G875)</f>
        <v>3</v>
      </c>
      <c r="I875" s="7" t="n">
        <v>-40158.68</v>
      </c>
      <c r="J875" s="7" t="n">
        <v>-40158.68</v>
      </c>
      <c r="K875" s="7" t="n">
        <f aca="false">I875-J875</f>
        <v>0</v>
      </c>
      <c r="L875" s="4" t="s">
        <v>4878</v>
      </c>
      <c r="M875" s="4" t="s">
        <v>4879</v>
      </c>
      <c r="N875" s="4"/>
    </row>
    <row r="876" customFormat="false" ht="15" hidden="false" customHeight="false" outlineLevel="0" collapsed="false">
      <c r="A876" s="4" t="s">
        <v>4880</v>
      </c>
      <c r="B876" s="4" t="s">
        <v>539</v>
      </c>
      <c r="C876" s="22" t="n">
        <v>0.985</v>
      </c>
      <c r="D876" s="16" t="s">
        <v>4881</v>
      </c>
      <c r="E876" s="16" t="s">
        <v>4882</v>
      </c>
      <c r="F876" s="6" t="n">
        <v>46285</v>
      </c>
      <c r="G876" s="6" t="n">
        <v>46282</v>
      </c>
      <c r="H876" s="23" t="n">
        <f aca="false">ABS(F876-G876)</f>
        <v>3</v>
      </c>
      <c r="I876" s="7" t="n">
        <v>-49476.88</v>
      </c>
      <c r="J876" s="7" t="n">
        <v>-49476.88</v>
      </c>
      <c r="K876" s="7" t="n">
        <f aca="false">I876-J876</f>
        <v>0</v>
      </c>
      <c r="L876" s="4" t="s">
        <v>4883</v>
      </c>
      <c r="M876" s="4" t="s">
        <v>4884</v>
      </c>
      <c r="N876" s="4"/>
    </row>
    <row r="877" customFormat="false" ht="15" hidden="false" customHeight="false" outlineLevel="0" collapsed="false">
      <c r="A877" s="4" t="s">
        <v>4885</v>
      </c>
      <c r="B877" s="4" t="s">
        <v>539</v>
      </c>
      <c r="C877" s="22" t="n">
        <v>0.985</v>
      </c>
      <c r="D877" s="16" t="s">
        <v>4886</v>
      </c>
      <c r="E877" s="16" t="s">
        <v>4887</v>
      </c>
      <c r="F877" s="6" t="n">
        <v>46288</v>
      </c>
      <c r="G877" s="6" t="n">
        <v>46285</v>
      </c>
      <c r="H877" s="23" t="n">
        <f aca="false">ABS(F877-G877)</f>
        <v>3</v>
      </c>
      <c r="I877" s="7" t="n">
        <v>-8728.86</v>
      </c>
      <c r="J877" s="7" t="n">
        <v>-8728.86</v>
      </c>
      <c r="K877" s="7" t="n">
        <f aca="false">I877-J877</f>
        <v>0</v>
      </c>
      <c r="L877" s="4" t="s">
        <v>4888</v>
      </c>
      <c r="M877" s="4" t="s">
        <v>4889</v>
      </c>
      <c r="N877" s="4"/>
    </row>
    <row r="878" customFormat="false" ht="15" hidden="false" customHeight="false" outlineLevel="0" collapsed="false">
      <c r="A878" s="4" t="s">
        <v>4890</v>
      </c>
      <c r="B878" s="4" t="s">
        <v>539</v>
      </c>
      <c r="C878" s="22" t="n">
        <v>0.985</v>
      </c>
      <c r="D878" s="16" t="s">
        <v>4891</v>
      </c>
      <c r="E878" s="16" t="s">
        <v>4892</v>
      </c>
      <c r="F878" s="6" t="n">
        <v>46289</v>
      </c>
      <c r="G878" s="6" t="n">
        <v>46286</v>
      </c>
      <c r="H878" s="23" t="n">
        <f aca="false">ABS(F878-G878)</f>
        <v>3</v>
      </c>
      <c r="I878" s="7" t="n">
        <v>-28671.47</v>
      </c>
      <c r="J878" s="7" t="n">
        <v>-28671.47</v>
      </c>
      <c r="K878" s="7" t="n">
        <f aca="false">I878-J878</f>
        <v>0</v>
      </c>
      <c r="L878" s="4" t="s">
        <v>4893</v>
      </c>
      <c r="M878" s="4" t="s">
        <v>4894</v>
      </c>
      <c r="N878" s="4"/>
    </row>
    <row r="879" customFormat="false" ht="15" hidden="false" customHeight="false" outlineLevel="0" collapsed="false">
      <c r="A879" s="4" t="s">
        <v>4895</v>
      </c>
      <c r="B879" s="4" t="s">
        <v>539</v>
      </c>
      <c r="C879" s="22" t="n">
        <v>0.985</v>
      </c>
      <c r="D879" s="16" t="s">
        <v>4896</v>
      </c>
      <c r="E879" s="16" t="s">
        <v>4897</v>
      </c>
      <c r="F879" s="6" t="n">
        <v>46291</v>
      </c>
      <c r="G879" s="6" t="n">
        <v>46288</v>
      </c>
      <c r="H879" s="23" t="n">
        <f aca="false">ABS(F879-G879)</f>
        <v>3</v>
      </c>
      <c r="I879" s="7" t="n">
        <v>-10754.96</v>
      </c>
      <c r="J879" s="7" t="n">
        <v>-10754.96</v>
      </c>
      <c r="K879" s="7" t="n">
        <f aca="false">I879-J879</f>
        <v>0</v>
      </c>
      <c r="L879" s="4" t="s">
        <v>4898</v>
      </c>
      <c r="M879" s="4" t="s">
        <v>4899</v>
      </c>
      <c r="N879" s="4"/>
    </row>
    <row r="880" customFormat="false" ht="15" hidden="false" customHeight="false" outlineLevel="0" collapsed="false">
      <c r="A880" s="4" t="s">
        <v>4900</v>
      </c>
      <c r="B880" s="4" t="s">
        <v>539</v>
      </c>
      <c r="C880" s="22" t="n">
        <v>0.985</v>
      </c>
      <c r="D880" s="16" t="s">
        <v>4901</v>
      </c>
      <c r="E880" s="16" t="s">
        <v>4902</v>
      </c>
      <c r="F880" s="6" t="n">
        <v>46292</v>
      </c>
      <c r="G880" s="6" t="n">
        <v>46289</v>
      </c>
      <c r="H880" s="23" t="n">
        <f aca="false">ABS(F880-G880)</f>
        <v>3</v>
      </c>
      <c r="I880" s="7" t="n">
        <v>-12719.05</v>
      </c>
      <c r="J880" s="7" t="n">
        <v>-12719.05</v>
      </c>
      <c r="K880" s="7" t="n">
        <f aca="false">I880-J880</f>
        <v>0</v>
      </c>
      <c r="L880" s="4" t="s">
        <v>4903</v>
      </c>
      <c r="M880" s="4" t="s">
        <v>4904</v>
      </c>
      <c r="N880" s="4"/>
    </row>
    <row r="881" customFormat="false" ht="15" hidden="false" customHeight="false" outlineLevel="0" collapsed="false">
      <c r="A881" s="4" t="s">
        <v>4905</v>
      </c>
      <c r="B881" s="4" t="s">
        <v>539</v>
      </c>
      <c r="C881" s="22" t="n">
        <v>0.98</v>
      </c>
      <c r="D881" s="16" t="s">
        <v>4906</v>
      </c>
      <c r="E881" s="16" t="s">
        <v>4907</v>
      </c>
      <c r="F881" s="6" t="n">
        <v>46208</v>
      </c>
      <c r="G881" s="6" t="n">
        <v>46204</v>
      </c>
      <c r="H881" s="23" t="n">
        <f aca="false">ABS(F881-G881)</f>
        <v>4</v>
      </c>
      <c r="I881" s="7" t="n">
        <v>-33593.93</v>
      </c>
      <c r="J881" s="7" t="n">
        <v>-33593.93</v>
      </c>
      <c r="K881" s="7" t="n">
        <f aca="false">I881-J881</f>
        <v>0</v>
      </c>
      <c r="L881" s="4" t="s">
        <v>4908</v>
      </c>
      <c r="M881" s="4" t="s">
        <v>4909</v>
      </c>
      <c r="N881" s="4"/>
    </row>
    <row r="882" customFormat="false" ht="15" hidden="false" customHeight="false" outlineLevel="0" collapsed="false">
      <c r="A882" s="4" t="s">
        <v>4910</v>
      </c>
      <c r="B882" s="4" t="s">
        <v>539</v>
      </c>
      <c r="C882" s="22" t="n">
        <v>0.98</v>
      </c>
      <c r="D882" s="16" t="s">
        <v>4911</v>
      </c>
      <c r="E882" s="16" t="s">
        <v>4912</v>
      </c>
      <c r="F882" s="6" t="n">
        <v>46211</v>
      </c>
      <c r="G882" s="6" t="n">
        <v>46207</v>
      </c>
      <c r="H882" s="23" t="n">
        <f aca="false">ABS(F882-G882)</f>
        <v>4</v>
      </c>
      <c r="I882" s="7" t="n">
        <v>-5849.78</v>
      </c>
      <c r="J882" s="7" t="n">
        <v>-5849.78</v>
      </c>
      <c r="K882" s="7" t="n">
        <f aca="false">I882-J882</f>
        <v>0</v>
      </c>
      <c r="L882" s="4" t="s">
        <v>4913</v>
      </c>
      <c r="M882" s="4" t="s">
        <v>4914</v>
      </c>
      <c r="N882" s="4"/>
    </row>
    <row r="883" customFormat="false" ht="15" hidden="false" customHeight="false" outlineLevel="0" collapsed="false">
      <c r="A883" s="4" t="s">
        <v>4915</v>
      </c>
      <c r="B883" s="4" t="s">
        <v>539</v>
      </c>
      <c r="C883" s="22" t="n">
        <v>0.98</v>
      </c>
      <c r="D883" s="16" t="s">
        <v>4916</v>
      </c>
      <c r="E883" s="16" t="s">
        <v>4917</v>
      </c>
      <c r="F883" s="6" t="n">
        <v>46212</v>
      </c>
      <c r="G883" s="6" t="n">
        <v>46208</v>
      </c>
      <c r="H883" s="23" t="n">
        <f aca="false">ABS(F883-G883)</f>
        <v>4</v>
      </c>
      <c r="I883" s="7" t="n">
        <v>-22663.12</v>
      </c>
      <c r="J883" s="7" t="n">
        <v>-22663.12</v>
      </c>
      <c r="K883" s="7" t="n">
        <f aca="false">I883-J883</f>
        <v>0</v>
      </c>
      <c r="L883" s="4" t="s">
        <v>4918</v>
      </c>
      <c r="M883" s="4" t="s">
        <v>4919</v>
      </c>
      <c r="N883" s="4"/>
    </row>
    <row r="884" customFormat="false" ht="15" hidden="false" customHeight="false" outlineLevel="0" collapsed="false">
      <c r="A884" s="4" t="s">
        <v>4920</v>
      </c>
      <c r="B884" s="4" t="s">
        <v>539</v>
      </c>
      <c r="C884" s="22" t="n">
        <v>0.98</v>
      </c>
      <c r="D884" s="16" t="s">
        <v>4921</v>
      </c>
      <c r="E884" s="16" t="s">
        <v>4922</v>
      </c>
      <c r="F884" s="6" t="n">
        <v>46212</v>
      </c>
      <c r="G884" s="6" t="n">
        <v>46208</v>
      </c>
      <c r="H884" s="23" t="n">
        <f aca="false">ABS(F884-G884)</f>
        <v>4</v>
      </c>
      <c r="I884" s="7" t="n">
        <v>-57439.15</v>
      </c>
      <c r="J884" s="7" t="n">
        <v>-57439.15</v>
      </c>
      <c r="K884" s="7" t="n">
        <f aca="false">I884-J884</f>
        <v>0</v>
      </c>
      <c r="L884" s="4" t="s">
        <v>4923</v>
      </c>
      <c r="M884" s="4" t="s">
        <v>4924</v>
      </c>
      <c r="N884" s="4"/>
    </row>
    <row r="885" customFormat="false" ht="15" hidden="false" customHeight="false" outlineLevel="0" collapsed="false">
      <c r="A885" s="4" t="s">
        <v>4925</v>
      </c>
      <c r="B885" s="4" t="s">
        <v>539</v>
      </c>
      <c r="C885" s="22" t="n">
        <v>0.98</v>
      </c>
      <c r="D885" s="16" t="s">
        <v>4926</v>
      </c>
      <c r="E885" s="16" t="s">
        <v>4927</v>
      </c>
      <c r="F885" s="6" t="n">
        <v>46213</v>
      </c>
      <c r="G885" s="6" t="n">
        <v>46209</v>
      </c>
      <c r="H885" s="23" t="n">
        <f aca="false">ABS(F885-G885)</f>
        <v>4</v>
      </c>
      <c r="I885" s="7" t="n">
        <v>-28122.78</v>
      </c>
      <c r="J885" s="7" t="n">
        <v>-28122.78</v>
      </c>
      <c r="K885" s="7" t="n">
        <f aca="false">I885-J885</f>
        <v>0</v>
      </c>
      <c r="L885" s="4" t="s">
        <v>4928</v>
      </c>
      <c r="M885" s="4" t="s">
        <v>4929</v>
      </c>
      <c r="N885" s="4"/>
    </row>
    <row r="886" customFormat="false" ht="15" hidden="false" customHeight="false" outlineLevel="0" collapsed="false">
      <c r="A886" s="4" t="s">
        <v>4930</v>
      </c>
      <c r="B886" s="4" t="s">
        <v>539</v>
      </c>
      <c r="C886" s="22" t="n">
        <v>0.98</v>
      </c>
      <c r="D886" s="16" t="s">
        <v>4931</v>
      </c>
      <c r="E886" s="16" t="s">
        <v>4932</v>
      </c>
      <c r="F886" s="6" t="n">
        <v>46213</v>
      </c>
      <c r="G886" s="6" t="n">
        <v>46209</v>
      </c>
      <c r="H886" s="23" t="n">
        <f aca="false">ABS(F886-G886)</f>
        <v>4</v>
      </c>
      <c r="I886" s="7" t="n">
        <v>-23154.15</v>
      </c>
      <c r="J886" s="7" t="n">
        <v>-23154.15</v>
      </c>
      <c r="K886" s="7" t="n">
        <f aca="false">I886-J886</f>
        <v>0</v>
      </c>
      <c r="L886" s="4" t="s">
        <v>4933</v>
      </c>
      <c r="M886" s="4" t="s">
        <v>4934</v>
      </c>
      <c r="N886" s="4"/>
    </row>
    <row r="887" customFormat="false" ht="15" hidden="false" customHeight="false" outlineLevel="0" collapsed="false">
      <c r="A887" s="4" t="s">
        <v>4935</v>
      </c>
      <c r="B887" s="4" t="s">
        <v>539</v>
      </c>
      <c r="C887" s="22" t="n">
        <v>0.98</v>
      </c>
      <c r="D887" s="16" t="s">
        <v>4936</v>
      </c>
      <c r="E887" s="16" t="s">
        <v>4937</v>
      </c>
      <c r="F887" s="6" t="n">
        <v>46215</v>
      </c>
      <c r="G887" s="6" t="n">
        <v>46211</v>
      </c>
      <c r="H887" s="23" t="n">
        <f aca="false">ABS(F887-G887)</f>
        <v>4</v>
      </c>
      <c r="I887" s="7" t="n">
        <v>-8481.51</v>
      </c>
      <c r="J887" s="7" t="n">
        <v>-8481.51</v>
      </c>
      <c r="K887" s="7" t="n">
        <f aca="false">I887-J887</f>
        <v>0</v>
      </c>
      <c r="L887" s="4" t="s">
        <v>4938</v>
      </c>
      <c r="M887" s="4" t="s">
        <v>4939</v>
      </c>
      <c r="N887" s="4"/>
    </row>
    <row r="888" customFormat="false" ht="15" hidden="false" customHeight="false" outlineLevel="0" collapsed="false">
      <c r="A888" s="4" t="s">
        <v>4940</v>
      </c>
      <c r="B888" s="4" t="s">
        <v>539</v>
      </c>
      <c r="C888" s="22" t="n">
        <v>0.98</v>
      </c>
      <c r="D888" s="16" t="s">
        <v>4941</v>
      </c>
      <c r="E888" s="16" t="s">
        <v>4942</v>
      </c>
      <c r="F888" s="6" t="n">
        <v>46215</v>
      </c>
      <c r="G888" s="6" t="n">
        <v>46211</v>
      </c>
      <c r="H888" s="23" t="n">
        <f aca="false">ABS(F888-G888)</f>
        <v>4</v>
      </c>
      <c r="I888" s="7" t="n">
        <v>-20467.54</v>
      </c>
      <c r="J888" s="7" t="n">
        <v>-20467.54</v>
      </c>
      <c r="K888" s="7" t="n">
        <f aca="false">I888-J888</f>
        <v>0</v>
      </c>
      <c r="L888" s="4" t="s">
        <v>4943</v>
      </c>
      <c r="M888" s="4" t="s">
        <v>4944</v>
      </c>
      <c r="N888" s="4"/>
    </row>
    <row r="889" customFormat="false" ht="15" hidden="false" customHeight="false" outlineLevel="0" collapsed="false">
      <c r="A889" s="4" t="s">
        <v>4945</v>
      </c>
      <c r="B889" s="4" t="s">
        <v>539</v>
      </c>
      <c r="C889" s="22" t="n">
        <v>0.98</v>
      </c>
      <c r="D889" s="16" t="s">
        <v>4946</v>
      </c>
      <c r="E889" s="16" t="s">
        <v>4947</v>
      </c>
      <c r="F889" s="6" t="n">
        <v>46217</v>
      </c>
      <c r="G889" s="6" t="n">
        <v>46213</v>
      </c>
      <c r="H889" s="23" t="n">
        <f aca="false">ABS(F889-G889)</f>
        <v>4</v>
      </c>
      <c r="I889" s="7" t="n">
        <v>-3391.76</v>
      </c>
      <c r="J889" s="7" t="n">
        <v>-3391.76</v>
      </c>
      <c r="K889" s="7" t="n">
        <f aca="false">I889-J889</f>
        <v>0</v>
      </c>
      <c r="L889" s="4" t="s">
        <v>4948</v>
      </c>
      <c r="M889" s="4" t="s">
        <v>4949</v>
      </c>
      <c r="N889" s="4"/>
    </row>
    <row r="890" customFormat="false" ht="15" hidden="false" customHeight="false" outlineLevel="0" collapsed="false">
      <c r="A890" s="4" t="s">
        <v>4950</v>
      </c>
      <c r="B890" s="4" t="s">
        <v>539</v>
      </c>
      <c r="C890" s="22" t="n">
        <v>0.98</v>
      </c>
      <c r="D890" s="16" t="s">
        <v>4951</v>
      </c>
      <c r="E890" s="16" t="s">
        <v>4952</v>
      </c>
      <c r="F890" s="6" t="n">
        <v>46219</v>
      </c>
      <c r="G890" s="6" t="n">
        <v>46215</v>
      </c>
      <c r="H890" s="23" t="n">
        <f aca="false">ABS(F890-G890)</f>
        <v>4</v>
      </c>
      <c r="I890" s="7" t="n">
        <v>-40832.36</v>
      </c>
      <c r="J890" s="7" t="n">
        <v>-40832.36</v>
      </c>
      <c r="K890" s="7" t="n">
        <f aca="false">I890-J890</f>
        <v>0</v>
      </c>
      <c r="L890" s="4" t="s">
        <v>4953</v>
      </c>
      <c r="M890" s="4" t="s">
        <v>4954</v>
      </c>
      <c r="N890" s="4"/>
    </row>
    <row r="891" customFormat="false" ht="15" hidden="false" customHeight="false" outlineLevel="0" collapsed="false">
      <c r="A891" s="4" t="s">
        <v>4955</v>
      </c>
      <c r="B891" s="4" t="s">
        <v>539</v>
      </c>
      <c r="C891" s="22" t="n">
        <v>0.98</v>
      </c>
      <c r="D891" s="16" t="s">
        <v>4956</v>
      </c>
      <c r="E891" s="16" t="s">
        <v>4957</v>
      </c>
      <c r="F891" s="6" t="n">
        <v>46219</v>
      </c>
      <c r="G891" s="6" t="n">
        <v>46215</v>
      </c>
      <c r="H891" s="23" t="n">
        <f aca="false">ABS(F891-G891)</f>
        <v>4</v>
      </c>
      <c r="I891" s="7" t="n">
        <v>-8567.9</v>
      </c>
      <c r="J891" s="7" t="n">
        <v>-8567.9</v>
      </c>
      <c r="K891" s="7" t="n">
        <f aca="false">I891-J891</f>
        <v>0</v>
      </c>
      <c r="L891" s="4" t="s">
        <v>4958</v>
      </c>
      <c r="M891" s="4" t="s">
        <v>4959</v>
      </c>
      <c r="N891" s="4"/>
    </row>
    <row r="892" customFormat="false" ht="15" hidden="false" customHeight="false" outlineLevel="0" collapsed="false">
      <c r="A892" s="4" t="s">
        <v>4960</v>
      </c>
      <c r="B892" s="4" t="s">
        <v>539</v>
      </c>
      <c r="C892" s="22" t="n">
        <v>0.98</v>
      </c>
      <c r="D892" s="16" t="s">
        <v>4961</v>
      </c>
      <c r="E892" s="16" t="s">
        <v>4962</v>
      </c>
      <c r="F892" s="6" t="n">
        <v>46221</v>
      </c>
      <c r="G892" s="6" t="n">
        <v>46217</v>
      </c>
      <c r="H892" s="23" t="n">
        <f aca="false">ABS(F892-G892)</f>
        <v>4</v>
      </c>
      <c r="I892" s="7" t="n">
        <v>-3934.46</v>
      </c>
      <c r="J892" s="7" t="n">
        <v>-3934.46</v>
      </c>
      <c r="K892" s="7" t="n">
        <f aca="false">I892-J892</f>
        <v>0</v>
      </c>
      <c r="L892" s="4" t="s">
        <v>4963</v>
      </c>
      <c r="M892" s="4" t="s">
        <v>4964</v>
      </c>
      <c r="N892" s="4"/>
    </row>
    <row r="893" customFormat="false" ht="15" hidden="false" customHeight="false" outlineLevel="0" collapsed="false">
      <c r="A893" s="4" t="s">
        <v>4965</v>
      </c>
      <c r="B893" s="4" t="s">
        <v>539</v>
      </c>
      <c r="C893" s="22" t="n">
        <v>0.98</v>
      </c>
      <c r="D893" s="16" t="s">
        <v>4966</v>
      </c>
      <c r="E893" s="16" t="s">
        <v>4967</v>
      </c>
      <c r="F893" s="6" t="n">
        <v>46222</v>
      </c>
      <c r="G893" s="6" t="n">
        <v>46218</v>
      </c>
      <c r="H893" s="23" t="n">
        <f aca="false">ABS(F893-G893)</f>
        <v>4</v>
      </c>
      <c r="I893" s="7" t="n">
        <v>-32958.49</v>
      </c>
      <c r="J893" s="7" t="n">
        <v>-32958.49</v>
      </c>
      <c r="K893" s="7" t="n">
        <f aca="false">I893-J893</f>
        <v>0</v>
      </c>
      <c r="L893" s="4" t="s">
        <v>4968</v>
      </c>
      <c r="M893" s="4" t="s">
        <v>4969</v>
      </c>
      <c r="N893" s="4"/>
    </row>
    <row r="894" customFormat="false" ht="15" hidden="false" customHeight="false" outlineLevel="0" collapsed="false">
      <c r="A894" s="4" t="s">
        <v>4970</v>
      </c>
      <c r="B894" s="4" t="s">
        <v>539</v>
      </c>
      <c r="C894" s="22" t="n">
        <v>0.98</v>
      </c>
      <c r="D894" s="16" t="s">
        <v>4971</v>
      </c>
      <c r="E894" s="16" t="s">
        <v>4972</v>
      </c>
      <c r="F894" s="6" t="n">
        <v>46224</v>
      </c>
      <c r="G894" s="6" t="n">
        <v>46220</v>
      </c>
      <c r="H894" s="23" t="n">
        <f aca="false">ABS(F894-G894)</f>
        <v>4</v>
      </c>
      <c r="I894" s="7" t="n">
        <v>-16545.23</v>
      </c>
      <c r="J894" s="7" t="n">
        <v>-16545.23</v>
      </c>
      <c r="K894" s="7" t="n">
        <f aca="false">I894-J894</f>
        <v>0</v>
      </c>
      <c r="L894" s="4" t="s">
        <v>4973</v>
      </c>
      <c r="M894" s="4" t="s">
        <v>4974</v>
      </c>
      <c r="N894" s="4"/>
    </row>
    <row r="895" customFormat="false" ht="15" hidden="false" customHeight="false" outlineLevel="0" collapsed="false">
      <c r="A895" s="4" t="s">
        <v>4975</v>
      </c>
      <c r="B895" s="4" t="s">
        <v>539</v>
      </c>
      <c r="C895" s="22" t="n">
        <v>0.98</v>
      </c>
      <c r="D895" s="16" t="s">
        <v>4976</v>
      </c>
      <c r="E895" s="16" t="s">
        <v>4977</v>
      </c>
      <c r="F895" s="6" t="n">
        <v>46224</v>
      </c>
      <c r="G895" s="6" t="n">
        <v>46220</v>
      </c>
      <c r="H895" s="23" t="n">
        <f aca="false">ABS(F895-G895)</f>
        <v>4</v>
      </c>
      <c r="I895" s="7" t="n">
        <v>-13370.7</v>
      </c>
      <c r="J895" s="7" t="n">
        <v>-13370.7</v>
      </c>
      <c r="K895" s="7" t="n">
        <f aca="false">I895-J895</f>
        <v>0</v>
      </c>
      <c r="L895" s="4" t="s">
        <v>4978</v>
      </c>
      <c r="M895" s="4" t="s">
        <v>4979</v>
      </c>
      <c r="N895" s="4"/>
    </row>
    <row r="896" customFormat="false" ht="15" hidden="false" customHeight="false" outlineLevel="0" collapsed="false">
      <c r="A896" s="4" t="s">
        <v>4980</v>
      </c>
      <c r="B896" s="4" t="s">
        <v>539</v>
      </c>
      <c r="C896" s="22" t="n">
        <v>0.98</v>
      </c>
      <c r="D896" s="16" t="s">
        <v>4981</v>
      </c>
      <c r="E896" s="16" t="s">
        <v>4982</v>
      </c>
      <c r="F896" s="6" t="n">
        <v>46224</v>
      </c>
      <c r="G896" s="6" t="n">
        <v>46220</v>
      </c>
      <c r="H896" s="23" t="n">
        <f aca="false">ABS(F896-G896)</f>
        <v>4</v>
      </c>
      <c r="I896" s="7" t="n">
        <v>-44166.42</v>
      </c>
      <c r="J896" s="7" t="n">
        <v>-44166.42</v>
      </c>
      <c r="K896" s="7" t="n">
        <f aca="false">I896-J896</f>
        <v>0</v>
      </c>
      <c r="L896" s="4" t="s">
        <v>4983</v>
      </c>
      <c r="M896" s="4" t="s">
        <v>4984</v>
      </c>
      <c r="N896" s="4"/>
    </row>
    <row r="897" customFormat="false" ht="15" hidden="false" customHeight="false" outlineLevel="0" collapsed="false">
      <c r="A897" s="4" t="s">
        <v>4985</v>
      </c>
      <c r="B897" s="4" t="s">
        <v>539</v>
      </c>
      <c r="C897" s="22" t="n">
        <v>0.98</v>
      </c>
      <c r="D897" s="16" t="s">
        <v>4986</v>
      </c>
      <c r="E897" s="16" t="s">
        <v>4987</v>
      </c>
      <c r="F897" s="6" t="n">
        <v>46225</v>
      </c>
      <c r="G897" s="6" t="n">
        <v>46221</v>
      </c>
      <c r="H897" s="23" t="n">
        <f aca="false">ABS(F897-G897)</f>
        <v>4</v>
      </c>
      <c r="I897" s="7" t="n">
        <v>-14198.44</v>
      </c>
      <c r="J897" s="7" t="n">
        <v>-14198.44</v>
      </c>
      <c r="K897" s="7" t="n">
        <f aca="false">I897-J897</f>
        <v>0</v>
      </c>
      <c r="L897" s="4" t="s">
        <v>4988</v>
      </c>
      <c r="M897" s="4" t="s">
        <v>4989</v>
      </c>
      <c r="N897" s="4"/>
    </row>
    <row r="898" customFormat="false" ht="15" hidden="false" customHeight="false" outlineLevel="0" collapsed="false">
      <c r="A898" s="4" t="s">
        <v>4990</v>
      </c>
      <c r="B898" s="4" t="s">
        <v>539</v>
      </c>
      <c r="C898" s="22" t="n">
        <v>0.98</v>
      </c>
      <c r="D898" s="16" t="s">
        <v>4991</v>
      </c>
      <c r="E898" s="16" t="s">
        <v>4992</v>
      </c>
      <c r="F898" s="6" t="n">
        <v>46226</v>
      </c>
      <c r="G898" s="6" t="n">
        <v>46222</v>
      </c>
      <c r="H898" s="23" t="n">
        <f aca="false">ABS(F898-G898)</f>
        <v>4</v>
      </c>
      <c r="I898" s="7" t="n">
        <v>-31102.99</v>
      </c>
      <c r="J898" s="7" t="n">
        <v>-31102.99</v>
      </c>
      <c r="K898" s="7" t="n">
        <f aca="false">I898-J898</f>
        <v>0</v>
      </c>
      <c r="L898" s="4" t="s">
        <v>4993</v>
      </c>
      <c r="M898" s="4" t="s">
        <v>4994</v>
      </c>
      <c r="N898" s="4"/>
    </row>
    <row r="899" customFormat="false" ht="15" hidden="false" customHeight="false" outlineLevel="0" collapsed="false">
      <c r="A899" s="4" t="s">
        <v>4995</v>
      </c>
      <c r="B899" s="4" t="s">
        <v>539</v>
      </c>
      <c r="C899" s="22" t="n">
        <v>0.98</v>
      </c>
      <c r="D899" s="16" t="s">
        <v>4996</v>
      </c>
      <c r="E899" s="16" t="s">
        <v>4997</v>
      </c>
      <c r="F899" s="6" t="n">
        <v>46226</v>
      </c>
      <c r="G899" s="6" t="n">
        <v>46222</v>
      </c>
      <c r="H899" s="23" t="n">
        <f aca="false">ABS(F899-G899)</f>
        <v>4</v>
      </c>
      <c r="I899" s="7" t="n">
        <v>-18312.65</v>
      </c>
      <c r="J899" s="7" t="n">
        <v>-18312.65</v>
      </c>
      <c r="K899" s="7" t="n">
        <f aca="false">I899-J899</f>
        <v>0</v>
      </c>
      <c r="L899" s="4" t="s">
        <v>4998</v>
      </c>
      <c r="M899" s="4" t="s">
        <v>4999</v>
      </c>
      <c r="N899" s="4"/>
    </row>
    <row r="900" customFormat="false" ht="15" hidden="false" customHeight="false" outlineLevel="0" collapsed="false">
      <c r="A900" s="4" t="s">
        <v>5000</v>
      </c>
      <c r="B900" s="4" t="s">
        <v>539</v>
      </c>
      <c r="C900" s="22" t="n">
        <v>0.98</v>
      </c>
      <c r="D900" s="16" t="s">
        <v>5001</v>
      </c>
      <c r="E900" s="16" t="s">
        <v>5002</v>
      </c>
      <c r="F900" s="6" t="n">
        <v>46226</v>
      </c>
      <c r="G900" s="6" t="n">
        <v>46222</v>
      </c>
      <c r="H900" s="23" t="n">
        <f aca="false">ABS(F900-G900)</f>
        <v>4</v>
      </c>
      <c r="I900" s="7" t="n">
        <v>-40339.15</v>
      </c>
      <c r="J900" s="7" t="n">
        <v>-40339.15</v>
      </c>
      <c r="K900" s="7" t="n">
        <f aca="false">I900-J900</f>
        <v>0</v>
      </c>
      <c r="L900" s="4" t="s">
        <v>5003</v>
      </c>
      <c r="M900" s="4" t="s">
        <v>5004</v>
      </c>
      <c r="N900" s="4"/>
    </row>
    <row r="901" customFormat="false" ht="15" hidden="false" customHeight="false" outlineLevel="0" collapsed="false">
      <c r="A901" s="4" t="s">
        <v>5005</v>
      </c>
      <c r="B901" s="4" t="s">
        <v>539</v>
      </c>
      <c r="C901" s="22" t="n">
        <v>0.98</v>
      </c>
      <c r="D901" s="16" t="s">
        <v>5006</v>
      </c>
      <c r="E901" s="16" t="s">
        <v>5007</v>
      </c>
      <c r="F901" s="6" t="n">
        <v>46227</v>
      </c>
      <c r="G901" s="6" t="n">
        <v>46223</v>
      </c>
      <c r="H901" s="23" t="n">
        <f aca="false">ABS(F901-G901)</f>
        <v>4</v>
      </c>
      <c r="I901" s="7" t="n">
        <v>-54740.62</v>
      </c>
      <c r="J901" s="7" t="n">
        <v>-54740.62</v>
      </c>
      <c r="K901" s="7" t="n">
        <f aca="false">I901-J901</f>
        <v>0</v>
      </c>
      <c r="L901" s="4" t="s">
        <v>5008</v>
      </c>
      <c r="M901" s="4" t="s">
        <v>5009</v>
      </c>
      <c r="N901" s="4"/>
    </row>
    <row r="902" customFormat="false" ht="15" hidden="false" customHeight="false" outlineLevel="0" collapsed="false">
      <c r="A902" s="4" t="s">
        <v>5010</v>
      </c>
      <c r="B902" s="4" t="s">
        <v>539</v>
      </c>
      <c r="C902" s="22" t="n">
        <v>0.98</v>
      </c>
      <c r="D902" s="16" t="s">
        <v>5011</v>
      </c>
      <c r="E902" s="16" t="s">
        <v>5012</v>
      </c>
      <c r="F902" s="6" t="n">
        <v>46228</v>
      </c>
      <c r="G902" s="6" t="n">
        <v>46224</v>
      </c>
      <c r="H902" s="23" t="n">
        <f aca="false">ABS(F902-G902)</f>
        <v>4</v>
      </c>
      <c r="I902" s="7" t="n">
        <v>-54220.02</v>
      </c>
      <c r="J902" s="7" t="n">
        <v>-54220.02</v>
      </c>
      <c r="K902" s="7" t="n">
        <f aca="false">I902-J902</f>
        <v>0</v>
      </c>
      <c r="L902" s="4" t="s">
        <v>5013</v>
      </c>
      <c r="M902" s="4" t="s">
        <v>5014</v>
      </c>
      <c r="N902" s="4"/>
    </row>
    <row r="903" customFormat="false" ht="15" hidden="false" customHeight="false" outlineLevel="0" collapsed="false">
      <c r="A903" s="4" t="s">
        <v>5015</v>
      </c>
      <c r="B903" s="4" t="s">
        <v>539</v>
      </c>
      <c r="C903" s="22" t="n">
        <v>0.98</v>
      </c>
      <c r="D903" s="16" t="s">
        <v>5016</v>
      </c>
      <c r="E903" s="16" t="s">
        <v>5017</v>
      </c>
      <c r="F903" s="6" t="n">
        <v>46229</v>
      </c>
      <c r="G903" s="6" t="n">
        <v>46225</v>
      </c>
      <c r="H903" s="23" t="n">
        <f aca="false">ABS(F903-G903)</f>
        <v>4</v>
      </c>
      <c r="I903" s="7" t="n">
        <v>-46454.69</v>
      </c>
      <c r="J903" s="7" t="n">
        <v>-46454.69</v>
      </c>
      <c r="K903" s="7" t="n">
        <f aca="false">I903-J903</f>
        <v>0</v>
      </c>
      <c r="L903" s="4" t="s">
        <v>5018</v>
      </c>
      <c r="M903" s="4" t="s">
        <v>5019</v>
      </c>
      <c r="N903" s="4"/>
    </row>
    <row r="904" customFormat="false" ht="15" hidden="false" customHeight="false" outlineLevel="0" collapsed="false">
      <c r="A904" s="4" t="s">
        <v>5020</v>
      </c>
      <c r="B904" s="4" t="s">
        <v>539</v>
      </c>
      <c r="C904" s="22" t="n">
        <v>0.98</v>
      </c>
      <c r="D904" s="16" t="s">
        <v>5021</v>
      </c>
      <c r="E904" s="16" t="s">
        <v>5022</v>
      </c>
      <c r="F904" s="6" t="n">
        <v>46230</v>
      </c>
      <c r="G904" s="6" t="n">
        <v>46226</v>
      </c>
      <c r="H904" s="23" t="n">
        <f aca="false">ABS(F904-G904)</f>
        <v>4</v>
      </c>
      <c r="I904" s="7" t="n">
        <v>-28961.23</v>
      </c>
      <c r="J904" s="7" t="n">
        <v>-28961.23</v>
      </c>
      <c r="K904" s="7" t="n">
        <f aca="false">I904-J904</f>
        <v>0</v>
      </c>
      <c r="L904" s="4" t="s">
        <v>5023</v>
      </c>
      <c r="M904" s="4" t="s">
        <v>5024</v>
      </c>
      <c r="N904" s="4"/>
    </row>
    <row r="905" customFormat="false" ht="15" hidden="false" customHeight="false" outlineLevel="0" collapsed="false">
      <c r="A905" s="4" t="s">
        <v>5025</v>
      </c>
      <c r="B905" s="4" t="s">
        <v>539</v>
      </c>
      <c r="C905" s="22" t="n">
        <v>0.98</v>
      </c>
      <c r="D905" s="16" t="s">
        <v>5026</v>
      </c>
      <c r="E905" s="16" t="s">
        <v>5027</v>
      </c>
      <c r="F905" s="6" t="n">
        <v>46232</v>
      </c>
      <c r="G905" s="6" t="n">
        <v>46228</v>
      </c>
      <c r="H905" s="23" t="n">
        <f aca="false">ABS(F905-G905)</f>
        <v>4</v>
      </c>
      <c r="I905" s="7" t="n">
        <v>-39155.61</v>
      </c>
      <c r="J905" s="7" t="n">
        <v>-39155.61</v>
      </c>
      <c r="K905" s="7" t="n">
        <f aca="false">I905-J905</f>
        <v>0</v>
      </c>
      <c r="L905" s="4" t="s">
        <v>5028</v>
      </c>
      <c r="M905" s="4" t="s">
        <v>5029</v>
      </c>
      <c r="N905" s="4"/>
    </row>
    <row r="906" customFormat="false" ht="15" hidden="false" customHeight="false" outlineLevel="0" collapsed="false">
      <c r="A906" s="4" t="s">
        <v>5030</v>
      </c>
      <c r="B906" s="4" t="s">
        <v>539</v>
      </c>
      <c r="C906" s="22" t="n">
        <v>0.98</v>
      </c>
      <c r="D906" s="16" t="s">
        <v>5031</v>
      </c>
      <c r="E906" s="16" t="s">
        <v>5032</v>
      </c>
      <c r="F906" s="6" t="n">
        <v>46232</v>
      </c>
      <c r="G906" s="6" t="n">
        <v>46228</v>
      </c>
      <c r="H906" s="23" t="n">
        <f aca="false">ABS(F906-G906)</f>
        <v>4</v>
      </c>
      <c r="I906" s="7" t="n">
        <v>-10689.68</v>
      </c>
      <c r="J906" s="7" t="n">
        <v>-10689.68</v>
      </c>
      <c r="K906" s="7" t="n">
        <f aca="false">I906-J906</f>
        <v>0</v>
      </c>
      <c r="L906" s="4" t="s">
        <v>5033</v>
      </c>
      <c r="M906" s="4" t="s">
        <v>5034</v>
      </c>
      <c r="N906" s="4"/>
    </row>
    <row r="907" customFormat="false" ht="15" hidden="false" customHeight="false" outlineLevel="0" collapsed="false">
      <c r="A907" s="4" t="s">
        <v>5035</v>
      </c>
      <c r="B907" s="4" t="s">
        <v>539</v>
      </c>
      <c r="C907" s="22" t="n">
        <v>0.98</v>
      </c>
      <c r="D907" s="16" t="s">
        <v>5036</v>
      </c>
      <c r="E907" s="16" t="s">
        <v>5037</v>
      </c>
      <c r="F907" s="6" t="n">
        <v>46233</v>
      </c>
      <c r="G907" s="6" t="n">
        <v>46229</v>
      </c>
      <c r="H907" s="23" t="n">
        <f aca="false">ABS(F907-G907)</f>
        <v>4</v>
      </c>
      <c r="I907" s="7" t="n">
        <v>-11239.85</v>
      </c>
      <c r="J907" s="7" t="n">
        <v>-11239.85</v>
      </c>
      <c r="K907" s="7" t="n">
        <f aca="false">I907-J907</f>
        <v>0</v>
      </c>
      <c r="L907" s="4" t="s">
        <v>5038</v>
      </c>
      <c r="M907" s="4" t="s">
        <v>5039</v>
      </c>
      <c r="N907" s="4"/>
    </row>
    <row r="908" customFormat="false" ht="15" hidden="false" customHeight="false" outlineLevel="0" collapsed="false">
      <c r="A908" s="4" t="s">
        <v>5040</v>
      </c>
      <c r="B908" s="4" t="s">
        <v>539</v>
      </c>
      <c r="C908" s="22" t="n">
        <v>0.98</v>
      </c>
      <c r="D908" s="16" t="s">
        <v>5041</v>
      </c>
      <c r="E908" s="16" t="s">
        <v>5042</v>
      </c>
      <c r="F908" s="6" t="n">
        <v>46233</v>
      </c>
      <c r="G908" s="6" t="n">
        <v>46229</v>
      </c>
      <c r="H908" s="23" t="n">
        <f aca="false">ABS(F908-G908)</f>
        <v>4</v>
      </c>
      <c r="I908" s="7" t="n">
        <v>-59322.86</v>
      </c>
      <c r="J908" s="7" t="n">
        <v>-59322.86</v>
      </c>
      <c r="K908" s="7" t="n">
        <f aca="false">I908-J908</f>
        <v>0</v>
      </c>
      <c r="L908" s="4" t="s">
        <v>5043</v>
      </c>
      <c r="M908" s="4" t="s">
        <v>5044</v>
      </c>
      <c r="N908" s="4"/>
    </row>
    <row r="909" customFormat="false" ht="15" hidden="false" customHeight="false" outlineLevel="0" collapsed="false">
      <c r="A909" s="4" t="s">
        <v>5045</v>
      </c>
      <c r="B909" s="4" t="s">
        <v>539</v>
      </c>
      <c r="C909" s="22" t="n">
        <v>0.98</v>
      </c>
      <c r="D909" s="16" t="s">
        <v>5046</v>
      </c>
      <c r="E909" s="16" t="s">
        <v>5047</v>
      </c>
      <c r="F909" s="6" t="n">
        <v>46234</v>
      </c>
      <c r="G909" s="6" t="n">
        <v>46230</v>
      </c>
      <c r="H909" s="23" t="n">
        <f aca="false">ABS(F909-G909)</f>
        <v>4</v>
      </c>
      <c r="I909" s="7" t="n">
        <v>-49061.68</v>
      </c>
      <c r="J909" s="7" t="n">
        <v>-49061.68</v>
      </c>
      <c r="K909" s="7" t="n">
        <f aca="false">I909-J909</f>
        <v>0</v>
      </c>
      <c r="L909" s="4" t="s">
        <v>5048</v>
      </c>
      <c r="M909" s="4" t="s">
        <v>5049</v>
      </c>
      <c r="N909" s="4"/>
    </row>
    <row r="910" customFormat="false" ht="15" hidden="false" customHeight="false" outlineLevel="0" collapsed="false">
      <c r="A910" s="4" t="s">
        <v>5050</v>
      </c>
      <c r="B910" s="4" t="s">
        <v>539</v>
      </c>
      <c r="C910" s="22" t="n">
        <v>0.98</v>
      </c>
      <c r="D910" s="16" t="s">
        <v>5051</v>
      </c>
      <c r="E910" s="16" t="s">
        <v>5052</v>
      </c>
      <c r="F910" s="6" t="n">
        <v>46235</v>
      </c>
      <c r="G910" s="6" t="n">
        <v>46231</v>
      </c>
      <c r="H910" s="23" t="n">
        <f aca="false">ABS(F910-G910)</f>
        <v>4</v>
      </c>
      <c r="I910" s="7" t="n">
        <v>-57431.3</v>
      </c>
      <c r="J910" s="7" t="n">
        <v>-57431.3</v>
      </c>
      <c r="K910" s="7" t="n">
        <f aca="false">I910-J910</f>
        <v>0</v>
      </c>
      <c r="L910" s="4" t="s">
        <v>5053</v>
      </c>
      <c r="M910" s="4" t="s">
        <v>5054</v>
      </c>
      <c r="N910" s="4"/>
    </row>
    <row r="911" customFormat="false" ht="15" hidden="false" customHeight="false" outlineLevel="0" collapsed="false">
      <c r="A911" s="4" t="s">
        <v>5055</v>
      </c>
      <c r="B911" s="4" t="s">
        <v>539</v>
      </c>
      <c r="C911" s="22" t="n">
        <v>0.98</v>
      </c>
      <c r="D911" s="16" t="s">
        <v>5056</v>
      </c>
      <c r="E911" s="16" t="s">
        <v>5057</v>
      </c>
      <c r="F911" s="6" t="n">
        <v>46235</v>
      </c>
      <c r="G911" s="6" t="n">
        <v>46231</v>
      </c>
      <c r="H911" s="23" t="n">
        <f aca="false">ABS(F911-G911)</f>
        <v>4</v>
      </c>
      <c r="I911" s="7" t="n">
        <v>-30068.11</v>
      </c>
      <c r="J911" s="7" t="n">
        <v>-30068.11</v>
      </c>
      <c r="K911" s="7" t="n">
        <f aca="false">I911-J911</f>
        <v>0</v>
      </c>
      <c r="L911" s="4" t="s">
        <v>5058</v>
      </c>
      <c r="M911" s="4" t="s">
        <v>5059</v>
      </c>
      <c r="N911" s="4"/>
    </row>
    <row r="912" customFormat="false" ht="15" hidden="false" customHeight="false" outlineLevel="0" collapsed="false">
      <c r="A912" s="4" t="s">
        <v>5060</v>
      </c>
      <c r="B912" s="4" t="s">
        <v>539</v>
      </c>
      <c r="C912" s="22" t="n">
        <v>0.98</v>
      </c>
      <c r="D912" s="16" t="s">
        <v>5061</v>
      </c>
      <c r="E912" s="16" t="s">
        <v>5062</v>
      </c>
      <c r="F912" s="6" t="n">
        <v>46236</v>
      </c>
      <c r="G912" s="6" t="n">
        <v>46232</v>
      </c>
      <c r="H912" s="23" t="n">
        <f aca="false">ABS(F912-G912)</f>
        <v>4</v>
      </c>
      <c r="I912" s="7" t="n">
        <v>-33464.26</v>
      </c>
      <c r="J912" s="7" t="n">
        <v>-33464.26</v>
      </c>
      <c r="K912" s="7" t="n">
        <f aca="false">I912-J912</f>
        <v>0</v>
      </c>
      <c r="L912" s="4" t="s">
        <v>5063</v>
      </c>
      <c r="M912" s="4" t="s">
        <v>5064</v>
      </c>
      <c r="N912" s="4"/>
    </row>
    <row r="913" customFormat="false" ht="15" hidden="false" customHeight="false" outlineLevel="0" collapsed="false">
      <c r="A913" s="4" t="s">
        <v>5065</v>
      </c>
      <c r="B913" s="4" t="s">
        <v>539</v>
      </c>
      <c r="C913" s="22" t="n">
        <v>0.98</v>
      </c>
      <c r="D913" s="16" t="s">
        <v>5066</v>
      </c>
      <c r="E913" s="16" t="s">
        <v>5067</v>
      </c>
      <c r="F913" s="6" t="n">
        <v>46237</v>
      </c>
      <c r="G913" s="6" t="n">
        <v>46233</v>
      </c>
      <c r="H913" s="23" t="n">
        <f aca="false">ABS(F913-G913)</f>
        <v>4</v>
      </c>
      <c r="I913" s="7" t="n">
        <v>-34090.72</v>
      </c>
      <c r="J913" s="7" t="n">
        <v>-34090.72</v>
      </c>
      <c r="K913" s="7" t="n">
        <f aca="false">I913-J913</f>
        <v>0</v>
      </c>
      <c r="L913" s="4" t="s">
        <v>5068</v>
      </c>
      <c r="M913" s="4" t="s">
        <v>5069</v>
      </c>
      <c r="N913" s="4"/>
    </row>
    <row r="914" customFormat="false" ht="15" hidden="false" customHeight="false" outlineLevel="0" collapsed="false">
      <c r="A914" s="4" t="s">
        <v>5070</v>
      </c>
      <c r="B914" s="4" t="s">
        <v>539</v>
      </c>
      <c r="C914" s="22" t="n">
        <v>0.98</v>
      </c>
      <c r="D914" s="16" t="s">
        <v>5071</v>
      </c>
      <c r="E914" s="16" t="s">
        <v>5072</v>
      </c>
      <c r="F914" s="6" t="n">
        <v>46237</v>
      </c>
      <c r="G914" s="6" t="n">
        <v>46233</v>
      </c>
      <c r="H914" s="23" t="n">
        <f aca="false">ABS(F914-G914)</f>
        <v>4</v>
      </c>
      <c r="I914" s="7" t="n">
        <v>-30534.47</v>
      </c>
      <c r="J914" s="7" t="n">
        <v>-30534.47</v>
      </c>
      <c r="K914" s="7" t="n">
        <f aca="false">I914-J914</f>
        <v>0</v>
      </c>
      <c r="L914" s="4" t="s">
        <v>5073</v>
      </c>
      <c r="M914" s="4" t="s">
        <v>5074</v>
      </c>
      <c r="N914" s="4"/>
    </row>
    <row r="915" customFormat="false" ht="15" hidden="false" customHeight="false" outlineLevel="0" collapsed="false">
      <c r="A915" s="4" t="s">
        <v>5075</v>
      </c>
      <c r="B915" s="4" t="s">
        <v>539</v>
      </c>
      <c r="C915" s="22" t="n">
        <v>0.98</v>
      </c>
      <c r="D915" s="16" t="s">
        <v>5076</v>
      </c>
      <c r="E915" s="16" t="s">
        <v>5077</v>
      </c>
      <c r="F915" s="6" t="n">
        <v>46241</v>
      </c>
      <c r="G915" s="6" t="n">
        <v>46237</v>
      </c>
      <c r="H915" s="23" t="n">
        <f aca="false">ABS(F915-G915)</f>
        <v>4</v>
      </c>
      <c r="I915" s="7" t="n">
        <v>-8291.22</v>
      </c>
      <c r="J915" s="7" t="n">
        <v>-8291.22</v>
      </c>
      <c r="K915" s="7" t="n">
        <f aca="false">I915-J915</f>
        <v>0</v>
      </c>
      <c r="L915" s="4" t="s">
        <v>5078</v>
      </c>
      <c r="M915" s="4" t="s">
        <v>5079</v>
      </c>
      <c r="N915" s="4"/>
    </row>
    <row r="916" customFormat="false" ht="15" hidden="false" customHeight="false" outlineLevel="0" collapsed="false">
      <c r="A916" s="4" t="s">
        <v>5080</v>
      </c>
      <c r="B916" s="4" t="s">
        <v>539</v>
      </c>
      <c r="C916" s="22" t="n">
        <v>0.98</v>
      </c>
      <c r="D916" s="16" t="s">
        <v>5081</v>
      </c>
      <c r="E916" s="16" t="s">
        <v>5082</v>
      </c>
      <c r="F916" s="6" t="n">
        <v>46242</v>
      </c>
      <c r="G916" s="6" t="n">
        <v>46238</v>
      </c>
      <c r="H916" s="23" t="n">
        <f aca="false">ABS(F916-G916)</f>
        <v>4</v>
      </c>
      <c r="I916" s="7" t="n">
        <v>-17842.85</v>
      </c>
      <c r="J916" s="7" t="n">
        <v>-17842.85</v>
      </c>
      <c r="K916" s="7" t="n">
        <f aca="false">I916-J916</f>
        <v>0</v>
      </c>
      <c r="L916" s="4" t="s">
        <v>5083</v>
      </c>
      <c r="M916" s="4" t="s">
        <v>5084</v>
      </c>
      <c r="N916" s="4"/>
    </row>
    <row r="917" customFormat="false" ht="15" hidden="false" customHeight="false" outlineLevel="0" collapsed="false">
      <c r="A917" s="4" t="s">
        <v>5085</v>
      </c>
      <c r="B917" s="4" t="s">
        <v>539</v>
      </c>
      <c r="C917" s="22" t="n">
        <v>0.98</v>
      </c>
      <c r="D917" s="16" t="s">
        <v>5086</v>
      </c>
      <c r="E917" s="16" t="s">
        <v>5087</v>
      </c>
      <c r="F917" s="6" t="n">
        <v>46243</v>
      </c>
      <c r="G917" s="6" t="n">
        <v>46239</v>
      </c>
      <c r="H917" s="23" t="n">
        <f aca="false">ABS(F917-G917)</f>
        <v>4</v>
      </c>
      <c r="I917" s="7" t="n">
        <v>-59326.5</v>
      </c>
      <c r="J917" s="7" t="n">
        <v>-59326.5</v>
      </c>
      <c r="K917" s="7" t="n">
        <f aca="false">I917-J917</f>
        <v>0</v>
      </c>
      <c r="L917" s="4" t="s">
        <v>5088</v>
      </c>
      <c r="M917" s="4" t="s">
        <v>5089</v>
      </c>
      <c r="N917" s="4"/>
    </row>
    <row r="918" customFormat="false" ht="15" hidden="false" customHeight="false" outlineLevel="0" collapsed="false">
      <c r="A918" s="4" t="s">
        <v>5090</v>
      </c>
      <c r="B918" s="4" t="s">
        <v>539</v>
      </c>
      <c r="C918" s="22" t="n">
        <v>0.98</v>
      </c>
      <c r="D918" s="16" t="s">
        <v>5091</v>
      </c>
      <c r="E918" s="16" t="s">
        <v>5092</v>
      </c>
      <c r="F918" s="6" t="n">
        <v>46244</v>
      </c>
      <c r="G918" s="6" t="n">
        <v>46240</v>
      </c>
      <c r="H918" s="23" t="n">
        <f aca="false">ABS(F918-G918)</f>
        <v>4</v>
      </c>
      <c r="I918" s="7" t="n">
        <v>-53623.92</v>
      </c>
      <c r="J918" s="7" t="n">
        <v>-53623.92</v>
      </c>
      <c r="K918" s="7" t="n">
        <f aca="false">I918-J918</f>
        <v>0</v>
      </c>
      <c r="L918" s="4" t="s">
        <v>5093</v>
      </c>
      <c r="M918" s="4" t="s">
        <v>5094</v>
      </c>
      <c r="N918" s="4"/>
    </row>
    <row r="919" customFormat="false" ht="15" hidden="false" customHeight="false" outlineLevel="0" collapsed="false">
      <c r="A919" s="4" t="s">
        <v>5095</v>
      </c>
      <c r="B919" s="4" t="s">
        <v>539</v>
      </c>
      <c r="C919" s="22" t="n">
        <v>0.98</v>
      </c>
      <c r="D919" s="16" t="s">
        <v>5096</v>
      </c>
      <c r="E919" s="16" t="s">
        <v>5097</v>
      </c>
      <c r="F919" s="6" t="n">
        <v>46244</v>
      </c>
      <c r="G919" s="6" t="n">
        <v>46240</v>
      </c>
      <c r="H919" s="23" t="n">
        <f aca="false">ABS(F919-G919)</f>
        <v>4</v>
      </c>
      <c r="I919" s="7" t="n">
        <v>-27497.54</v>
      </c>
      <c r="J919" s="7" t="n">
        <v>-27497.54</v>
      </c>
      <c r="K919" s="7" t="n">
        <f aca="false">I919-J919</f>
        <v>0</v>
      </c>
      <c r="L919" s="4" t="s">
        <v>5098</v>
      </c>
      <c r="M919" s="4" t="s">
        <v>194</v>
      </c>
      <c r="N919" s="4"/>
    </row>
    <row r="920" customFormat="false" ht="15" hidden="false" customHeight="false" outlineLevel="0" collapsed="false">
      <c r="A920" s="4" t="s">
        <v>5099</v>
      </c>
      <c r="B920" s="4" t="s">
        <v>539</v>
      </c>
      <c r="C920" s="22" t="n">
        <v>0.98</v>
      </c>
      <c r="D920" s="16" t="s">
        <v>5100</v>
      </c>
      <c r="E920" s="16" t="s">
        <v>5101</v>
      </c>
      <c r="F920" s="6" t="n">
        <v>46245</v>
      </c>
      <c r="G920" s="6" t="n">
        <v>46241</v>
      </c>
      <c r="H920" s="23" t="n">
        <f aca="false">ABS(F920-G920)</f>
        <v>4</v>
      </c>
      <c r="I920" s="7" t="n">
        <v>-32729.09</v>
      </c>
      <c r="J920" s="7" t="n">
        <v>-32729.09</v>
      </c>
      <c r="K920" s="7" t="n">
        <f aca="false">I920-J920</f>
        <v>0</v>
      </c>
      <c r="L920" s="4" t="s">
        <v>5102</v>
      </c>
      <c r="M920" s="4" t="s">
        <v>5103</v>
      </c>
      <c r="N920" s="4"/>
    </row>
    <row r="921" customFormat="false" ht="15" hidden="false" customHeight="false" outlineLevel="0" collapsed="false">
      <c r="A921" s="4" t="s">
        <v>5104</v>
      </c>
      <c r="B921" s="4" t="s">
        <v>539</v>
      </c>
      <c r="C921" s="22" t="n">
        <v>0.98</v>
      </c>
      <c r="D921" s="16" t="s">
        <v>5105</v>
      </c>
      <c r="E921" s="16" t="s">
        <v>5106</v>
      </c>
      <c r="F921" s="6" t="n">
        <v>46246</v>
      </c>
      <c r="G921" s="6" t="n">
        <v>46242</v>
      </c>
      <c r="H921" s="23" t="n">
        <f aca="false">ABS(F921-G921)</f>
        <v>4</v>
      </c>
      <c r="I921" s="7" t="n">
        <v>-35302.92</v>
      </c>
      <c r="J921" s="7" t="n">
        <v>-35302.92</v>
      </c>
      <c r="K921" s="7" t="n">
        <f aca="false">I921-J921</f>
        <v>0</v>
      </c>
      <c r="L921" s="4" t="s">
        <v>5107</v>
      </c>
      <c r="M921" s="4" t="s">
        <v>5108</v>
      </c>
      <c r="N921" s="4"/>
    </row>
    <row r="922" customFormat="false" ht="15" hidden="false" customHeight="false" outlineLevel="0" collapsed="false">
      <c r="A922" s="4" t="s">
        <v>5109</v>
      </c>
      <c r="B922" s="4" t="s">
        <v>539</v>
      </c>
      <c r="C922" s="22" t="n">
        <v>0.98</v>
      </c>
      <c r="D922" s="16" t="s">
        <v>5110</v>
      </c>
      <c r="E922" s="16" t="s">
        <v>5111</v>
      </c>
      <c r="F922" s="6" t="n">
        <v>46246</v>
      </c>
      <c r="G922" s="6" t="n">
        <v>46242</v>
      </c>
      <c r="H922" s="23" t="n">
        <f aca="false">ABS(F922-G922)</f>
        <v>4</v>
      </c>
      <c r="I922" s="7" t="n">
        <v>-15673.92</v>
      </c>
      <c r="J922" s="7" t="n">
        <v>-15673.92</v>
      </c>
      <c r="K922" s="7" t="n">
        <f aca="false">I922-J922</f>
        <v>0</v>
      </c>
      <c r="L922" s="4" t="s">
        <v>5112</v>
      </c>
      <c r="M922" s="4" t="s">
        <v>5113</v>
      </c>
      <c r="N922" s="4"/>
    </row>
    <row r="923" customFormat="false" ht="15" hidden="false" customHeight="false" outlineLevel="0" collapsed="false">
      <c r="A923" s="4" t="s">
        <v>5114</v>
      </c>
      <c r="B923" s="4" t="s">
        <v>539</v>
      </c>
      <c r="C923" s="22" t="n">
        <v>0.98</v>
      </c>
      <c r="D923" s="16" t="s">
        <v>5115</v>
      </c>
      <c r="E923" s="16" t="s">
        <v>5116</v>
      </c>
      <c r="F923" s="6" t="n">
        <v>46249</v>
      </c>
      <c r="G923" s="6" t="n">
        <v>46245</v>
      </c>
      <c r="H923" s="23" t="n">
        <f aca="false">ABS(F923-G923)</f>
        <v>4</v>
      </c>
      <c r="I923" s="7" t="n">
        <v>-5559.99</v>
      </c>
      <c r="J923" s="7" t="n">
        <v>-5559.99</v>
      </c>
      <c r="K923" s="7" t="n">
        <f aca="false">I923-J923</f>
        <v>0</v>
      </c>
      <c r="L923" s="4" t="s">
        <v>5117</v>
      </c>
      <c r="M923" s="4" t="s">
        <v>5118</v>
      </c>
      <c r="N923" s="4"/>
    </row>
    <row r="924" customFormat="false" ht="15" hidden="false" customHeight="false" outlineLevel="0" collapsed="false">
      <c r="A924" s="4" t="s">
        <v>5119</v>
      </c>
      <c r="B924" s="4" t="s">
        <v>539</v>
      </c>
      <c r="C924" s="22" t="n">
        <v>0.98</v>
      </c>
      <c r="D924" s="16" t="s">
        <v>5120</v>
      </c>
      <c r="E924" s="16" t="s">
        <v>5121</v>
      </c>
      <c r="F924" s="6" t="n">
        <v>46250</v>
      </c>
      <c r="G924" s="6" t="n">
        <v>46246</v>
      </c>
      <c r="H924" s="23" t="n">
        <f aca="false">ABS(F924-G924)</f>
        <v>4</v>
      </c>
      <c r="I924" s="7" t="n">
        <v>-5015.07</v>
      </c>
      <c r="J924" s="7" t="n">
        <v>-5015.07</v>
      </c>
      <c r="K924" s="7" t="n">
        <f aca="false">I924-J924</f>
        <v>0</v>
      </c>
      <c r="L924" s="4" t="s">
        <v>5122</v>
      </c>
      <c r="M924" s="4" t="s">
        <v>5123</v>
      </c>
      <c r="N924" s="4"/>
    </row>
    <row r="925" customFormat="false" ht="15" hidden="false" customHeight="false" outlineLevel="0" collapsed="false">
      <c r="A925" s="4" t="s">
        <v>5124</v>
      </c>
      <c r="B925" s="4" t="s">
        <v>539</v>
      </c>
      <c r="C925" s="22" t="n">
        <v>0.98</v>
      </c>
      <c r="D925" s="16" t="s">
        <v>5125</v>
      </c>
      <c r="E925" s="16" t="s">
        <v>5126</v>
      </c>
      <c r="F925" s="6" t="n">
        <v>46250</v>
      </c>
      <c r="G925" s="6" t="n">
        <v>46246</v>
      </c>
      <c r="H925" s="23" t="n">
        <f aca="false">ABS(F925-G925)</f>
        <v>4</v>
      </c>
      <c r="I925" s="7" t="n">
        <v>-19204.41</v>
      </c>
      <c r="J925" s="7" t="n">
        <v>-19204.41</v>
      </c>
      <c r="K925" s="7" t="n">
        <f aca="false">I925-J925</f>
        <v>0</v>
      </c>
      <c r="L925" s="4" t="s">
        <v>5127</v>
      </c>
      <c r="M925" s="4" t="s">
        <v>5128</v>
      </c>
      <c r="N925" s="4"/>
    </row>
    <row r="926" customFormat="false" ht="15" hidden="false" customHeight="false" outlineLevel="0" collapsed="false">
      <c r="A926" s="4" t="s">
        <v>5129</v>
      </c>
      <c r="B926" s="4" t="s">
        <v>539</v>
      </c>
      <c r="C926" s="22" t="n">
        <v>0.98</v>
      </c>
      <c r="D926" s="16" t="s">
        <v>5130</v>
      </c>
      <c r="E926" s="16" t="s">
        <v>5131</v>
      </c>
      <c r="F926" s="6" t="n">
        <v>46252</v>
      </c>
      <c r="G926" s="6" t="n">
        <v>46248</v>
      </c>
      <c r="H926" s="23" t="n">
        <f aca="false">ABS(F926-G926)</f>
        <v>4</v>
      </c>
      <c r="I926" s="7" t="n">
        <v>-25625.48</v>
      </c>
      <c r="J926" s="7" t="n">
        <v>-25625.48</v>
      </c>
      <c r="K926" s="7" t="n">
        <f aca="false">I926-J926</f>
        <v>0</v>
      </c>
      <c r="L926" s="4" t="s">
        <v>5132</v>
      </c>
      <c r="M926" s="4" t="s">
        <v>5133</v>
      </c>
      <c r="N926" s="4"/>
    </row>
    <row r="927" customFormat="false" ht="15" hidden="false" customHeight="false" outlineLevel="0" collapsed="false">
      <c r="A927" s="4" t="s">
        <v>5134</v>
      </c>
      <c r="B927" s="4" t="s">
        <v>539</v>
      </c>
      <c r="C927" s="22" t="n">
        <v>0.98</v>
      </c>
      <c r="D927" s="16" t="s">
        <v>5135</v>
      </c>
      <c r="E927" s="16" t="s">
        <v>5136</v>
      </c>
      <c r="F927" s="6" t="n">
        <v>46254</v>
      </c>
      <c r="G927" s="6" t="n">
        <v>46250</v>
      </c>
      <c r="H927" s="23" t="n">
        <f aca="false">ABS(F927-G927)</f>
        <v>4</v>
      </c>
      <c r="I927" s="7" t="n">
        <v>-4550.81</v>
      </c>
      <c r="J927" s="7" t="n">
        <v>-4550.81</v>
      </c>
      <c r="K927" s="7" t="n">
        <f aca="false">I927-J927</f>
        <v>0</v>
      </c>
      <c r="L927" s="4" t="s">
        <v>5137</v>
      </c>
      <c r="M927" s="4" t="s">
        <v>5138</v>
      </c>
      <c r="N927" s="4"/>
    </row>
    <row r="928" customFormat="false" ht="15" hidden="false" customHeight="false" outlineLevel="0" collapsed="false">
      <c r="A928" s="4" t="s">
        <v>5139</v>
      </c>
      <c r="B928" s="4" t="s">
        <v>539</v>
      </c>
      <c r="C928" s="22" t="n">
        <v>0.98</v>
      </c>
      <c r="D928" s="16" t="s">
        <v>5140</v>
      </c>
      <c r="E928" s="16" t="s">
        <v>5141</v>
      </c>
      <c r="F928" s="6" t="n">
        <v>46255</v>
      </c>
      <c r="G928" s="6" t="n">
        <v>46251</v>
      </c>
      <c r="H928" s="23" t="n">
        <f aca="false">ABS(F928-G928)</f>
        <v>4</v>
      </c>
      <c r="I928" s="7" t="n">
        <v>-6388.49</v>
      </c>
      <c r="J928" s="7" t="n">
        <v>-6388.49</v>
      </c>
      <c r="K928" s="7" t="n">
        <f aca="false">I928-J928</f>
        <v>0</v>
      </c>
      <c r="L928" s="4" t="s">
        <v>5142</v>
      </c>
      <c r="M928" s="4" t="s">
        <v>5143</v>
      </c>
      <c r="N928" s="4"/>
    </row>
    <row r="929" customFormat="false" ht="15" hidden="false" customHeight="false" outlineLevel="0" collapsed="false">
      <c r="A929" s="4" t="s">
        <v>5144</v>
      </c>
      <c r="B929" s="4" t="s">
        <v>539</v>
      </c>
      <c r="C929" s="22" t="n">
        <v>0.98</v>
      </c>
      <c r="D929" s="16" t="s">
        <v>5145</v>
      </c>
      <c r="E929" s="16" t="s">
        <v>5146</v>
      </c>
      <c r="F929" s="6" t="n">
        <v>46255</v>
      </c>
      <c r="G929" s="6" t="n">
        <v>46251</v>
      </c>
      <c r="H929" s="23" t="n">
        <f aca="false">ABS(F929-G929)</f>
        <v>4</v>
      </c>
      <c r="I929" s="7" t="n">
        <v>-39798.69</v>
      </c>
      <c r="J929" s="7" t="n">
        <v>-39798.69</v>
      </c>
      <c r="K929" s="7" t="n">
        <f aca="false">I929-J929</f>
        <v>0</v>
      </c>
      <c r="L929" s="4" t="s">
        <v>5147</v>
      </c>
      <c r="M929" s="4" t="s">
        <v>5148</v>
      </c>
      <c r="N929" s="4"/>
    </row>
    <row r="930" customFormat="false" ht="15" hidden="false" customHeight="false" outlineLevel="0" collapsed="false">
      <c r="A930" s="4" t="s">
        <v>5149</v>
      </c>
      <c r="B930" s="4" t="s">
        <v>539</v>
      </c>
      <c r="C930" s="22" t="n">
        <v>0.98</v>
      </c>
      <c r="D930" s="16" t="s">
        <v>5150</v>
      </c>
      <c r="E930" s="16" t="s">
        <v>5151</v>
      </c>
      <c r="F930" s="6" t="n">
        <v>46257</v>
      </c>
      <c r="G930" s="6" t="n">
        <v>46253</v>
      </c>
      <c r="H930" s="23" t="n">
        <f aca="false">ABS(F930-G930)</f>
        <v>4</v>
      </c>
      <c r="I930" s="7" t="n">
        <v>-21464.97</v>
      </c>
      <c r="J930" s="7" t="n">
        <v>-21464.97</v>
      </c>
      <c r="K930" s="7" t="n">
        <f aca="false">I930-J930</f>
        <v>0</v>
      </c>
      <c r="L930" s="4" t="s">
        <v>5152</v>
      </c>
      <c r="M930" s="4" t="s">
        <v>5153</v>
      </c>
      <c r="N930" s="4"/>
    </row>
    <row r="931" customFormat="false" ht="15" hidden="false" customHeight="false" outlineLevel="0" collapsed="false">
      <c r="A931" s="4" t="s">
        <v>5154</v>
      </c>
      <c r="B931" s="4" t="s">
        <v>539</v>
      </c>
      <c r="C931" s="22" t="n">
        <v>0.98</v>
      </c>
      <c r="D931" s="16" t="s">
        <v>5155</v>
      </c>
      <c r="E931" s="16" t="s">
        <v>5156</v>
      </c>
      <c r="F931" s="6" t="n">
        <v>46258</v>
      </c>
      <c r="G931" s="6" t="n">
        <v>46254</v>
      </c>
      <c r="H931" s="23" t="n">
        <f aca="false">ABS(F931-G931)</f>
        <v>4</v>
      </c>
      <c r="I931" s="7" t="n">
        <v>-27869.25</v>
      </c>
      <c r="J931" s="7" t="n">
        <v>-27869.25</v>
      </c>
      <c r="K931" s="7" t="n">
        <f aca="false">I931-J931</f>
        <v>0</v>
      </c>
      <c r="L931" s="4" t="s">
        <v>5157</v>
      </c>
      <c r="M931" s="4" t="s">
        <v>5158</v>
      </c>
      <c r="N931" s="4"/>
    </row>
    <row r="932" customFormat="false" ht="15" hidden="false" customHeight="false" outlineLevel="0" collapsed="false">
      <c r="A932" s="4" t="s">
        <v>5159</v>
      </c>
      <c r="B932" s="4" t="s">
        <v>539</v>
      </c>
      <c r="C932" s="22" t="n">
        <v>0.98</v>
      </c>
      <c r="D932" s="16" t="s">
        <v>5160</v>
      </c>
      <c r="E932" s="16" t="s">
        <v>5161</v>
      </c>
      <c r="F932" s="6" t="n">
        <v>46258</v>
      </c>
      <c r="G932" s="6" t="n">
        <v>46254</v>
      </c>
      <c r="H932" s="23" t="n">
        <f aca="false">ABS(F932-G932)</f>
        <v>4</v>
      </c>
      <c r="I932" s="7" t="n">
        <v>-24596.4</v>
      </c>
      <c r="J932" s="7" t="n">
        <v>-24596.4</v>
      </c>
      <c r="K932" s="7" t="n">
        <f aca="false">I932-J932</f>
        <v>0</v>
      </c>
      <c r="L932" s="4" t="s">
        <v>5162</v>
      </c>
      <c r="M932" s="4" t="s">
        <v>5163</v>
      </c>
      <c r="N932" s="4"/>
    </row>
    <row r="933" customFormat="false" ht="15" hidden="false" customHeight="false" outlineLevel="0" collapsed="false">
      <c r="A933" s="4" t="s">
        <v>5164</v>
      </c>
      <c r="B933" s="4" t="s">
        <v>539</v>
      </c>
      <c r="C933" s="22" t="n">
        <v>0.98</v>
      </c>
      <c r="D933" s="16" t="s">
        <v>5165</v>
      </c>
      <c r="E933" s="16" t="s">
        <v>5166</v>
      </c>
      <c r="F933" s="6" t="n">
        <v>46258</v>
      </c>
      <c r="G933" s="6" t="n">
        <v>46254</v>
      </c>
      <c r="H933" s="23" t="n">
        <f aca="false">ABS(F933-G933)</f>
        <v>4</v>
      </c>
      <c r="I933" s="7" t="n">
        <v>-42874.29</v>
      </c>
      <c r="J933" s="7" t="n">
        <v>-42874.29</v>
      </c>
      <c r="K933" s="7" t="n">
        <f aca="false">I933-J933</f>
        <v>0</v>
      </c>
      <c r="L933" s="4" t="s">
        <v>5167</v>
      </c>
      <c r="M933" s="4" t="s">
        <v>5168</v>
      </c>
      <c r="N933" s="4"/>
    </row>
    <row r="934" customFormat="false" ht="15" hidden="false" customHeight="false" outlineLevel="0" collapsed="false">
      <c r="A934" s="4" t="s">
        <v>5169</v>
      </c>
      <c r="B934" s="4" t="s">
        <v>539</v>
      </c>
      <c r="C934" s="22" t="n">
        <v>0.98</v>
      </c>
      <c r="D934" s="16" t="s">
        <v>5170</v>
      </c>
      <c r="E934" s="16" t="s">
        <v>5171</v>
      </c>
      <c r="F934" s="6" t="n">
        <v>46259</v>
      </c>
      <c r="G934" s="6" t="n">
        <v>46255</v>
      </c>
      <c r="H934" s="23" t="n">
        <f aca="false">ABS(F934-G934)</f>
        <v>4</v>
      </c>
      <c r="I934" s="7" t="n">
        <v>-32312.33</v>
      </c>
      <c r="J934" s="7" t="n">
        <v>-32312.33</v>
      </c>
      <c r="K934" s="7" t="n">
        <f aca="false">I934-J934</f>
        <v>0</v>
      </c>
      <c r="L934" s="4" t="s">
        <v>5172</v>
      </c>
      <c r="M934" s="4" t="s">
        <v>5173</v>
      </c>
      <c r="N934" s="4"/>
    </row>
    <row r="935" customFormat="false" ht="15" hidden="false" customHeight="false" outlineLevel="0" collapsed="false">
      <c r="A935" s="4" t="s">
        <v>5174</v>
      </c>
      <c r="B935" s="4" t="s">
        <v>539</v>
      </c>
      <c r="C935" s="22" t="n">
        <v>0.98</v>
      </c>
      <c r="D935" s="16" t="s">
        <v>5175</v>
      </c>
      <c r="E935" s="16" t="s">
        <v>5176</v>
      </c>
      <c r="F935" s="6" t="n">
        <v>46259</v>
      </c>
      <c r="G935" s="6" t="n">
        <v>46255</v>
      </c>
      <c r="H935" s="23" t="n">
        <f aca="false">ABS(F935-G935)</f>
        <v>4</v>
      </c>
      <c r="I935" s="7" t="n">
        <v>-51992.4</v>
      </c>
      <c r="J935" s="7" t="n">
        <v>-51992.4</v>
      </c>
      <c r="K935" s="7" t="n">
        <f aca="false">I935-J935</f>
        <v>0</v>
      </c>
      <c r="L935" s="4" t="s">
        <v>5177</v>
      </c>
      <c r="M935" s="4" t="s">
        <v>5178</v>
      </c>
      <c r="N935" s="4"/>
    </row>
    <row r="936" customFormat="false" ht="15" hidden="false" customHeight="false" outlineLevel="0" collapsed="false">
      <c r="A936" s="4" t="s">
        <v>5179</v>
      </c>
      <c r="B936" s="4" t="s">
        <v>539</v>
      </c>
      <c r="C936" s="22" t="n">
        <v>0.98</v>
      </c>
      <c r="D936" s="16" t="s">
        <v>5180</v>
      </c>
      <c r="E936" s="16" t="s">
        <v>5181</v>
      </c>
      <c r="F936" s="6" t="n">
        <v>46260</v>
      </c>
      <c r="G936" s="6" t="n">
        <v>46256</v>
      </c>
      <c r="H936" s="23" t="n">
        <f aca="false">ABS(F936-G936)</f>
        <v>4</v>
      </c>
      <c r="I936" s="7" t="n">
        <v>-30770.7</v>
      </c>
      <c r="J936" s="7" t="n">
        <v>-30770.7</v>
      </c>
      <c r="K936" s="7" t="n">
        <f aca="false">I936-J936</f>
        <v>0</v>
      </c>
      <c r="L936" s="4" t="s">
        <v>5182</v>
      </c>
      <c r="M936" s="4" t="s">
        <v>5183</v>
      </c>
      <c r="N936" s="4"/>
    </row>
    <row r="937" customFormat="false" ht="15" hidden="false" customHeight="false" outlineLevel="0" collapsed="false">
      <c r="A937" s="4" t="s">
        <v>5184</v>
      </c>
      <c r="B937" s="4" t="s">
        <v>539</v>
      </c>
      <c r="C937" s="22" t="n">
        <v>0.98</v>
      </c>
      <c r="D937" s="16" t="s">
        <v>5185</v>
      </c>
      <c r="E937" s="16" t="s">
        <v>5186</v>
      </c>
      <c r="F937" s="6" t="n">
        <v>46260</v>
      </c>
      <c r="G937" s="6" t="n">
        <v>46256</v>
      </c>
      <c r="H937" s="23" t="n">
        <f aca="false">ABS(F937-G937)</f>
        <v>4</v>
      </c>
      <c r="I937" s="7" t="n">
        <v>-32218.2</v>
      </c>
      <c r="J937" s="7" t="n">
        <v>-32218.2</v>
      </c>
      <c r="K937" s="7" t="n">
        <f aca="false">I937-J937</f>
        <v>0</v>
      </c>
      <c r="L937" s="4" t="s">
        <v>5187</v>
      </c>
      <c r="M937" s="4" t="s">
        <v>5188</v>
      </c>
      <c r="N937" s="4"/>
    </row>
    <row r="938" customFormat="false" ht="15" hidden="false" customHeight="false" outlineLevel="0" collapsed="false">
      <c r="A938" s="4" t="s">
        <v>5189</v>
      </c>
      <c r="B938" s="4" t="s">
        <v>539</v>
      </c>
      <c r="C938" s="22" t="n">
        <v>0.98</v>
      </c>
      <c r="D938" s="16" t="s">
        <v>5190</v>
      </c>
      <c r="E938" s="16" t="s">
        <v>5191</v>
      </c>
      <c r="F938" s="6" t="n">
        <v>46261</v>
      </c>
      <c r="G938" s="6" t="n">
        <v>46257</v>
      </c>
      <c r="H938" s="23" t="n">
        <f aca="false">ABS(F938-G938)</f>
        <v>4</v>
      </c>
      <c r="I938" s="7" t="n">
        <v>-41615.38</v>
      </c>
      <c r="J938" s="7" t="n">
        <v>-41615.38</v>
      </c>
      <c r="K938" s="7" t="n">
        <f aca="false">I938-J938</f>
        <v>0</v>
      </c>
      <c r="L938" s="4" t="s">
        <v>5192</v>
      </c>
      <c r="M938" s="4" t="s">
        <v>5193</v>
      </c>
      <c r="N938" s="4"/>
    </row>
    <row r="939" customFormat="false" ht="15" hidden="false" customHeight="false" outlineLevel="0" collapsed="false">
      <c r="A939" s="4" t="s">
        <v>5194</v>
      </c>
      <c r="B939" s="4" t="s">
        <v>539</v>
      </c>
      <c r="C939" s="22" t="n">
        <v>0.98</v>
      </c>
      <c r="D939" s="16" t="s">
        <v>5195</v>
      </c>
      <c r="E939" s="16" t="s">
        <v>5196</v>
      </c>
      <c r="F939" s="6" t="n">
        <v>46263</v>
      </c>
      <c r="G939" s="6" t="n">
        <v>46259</v>
      </c>
      <c r="H939" s="23" t="n">
        <f aca="false">ABS(F939-G939)</f>
        <v>4</v>
      </c>
      <c r="I939" s="7" t="n">
        <v>-52073.12</v>
      </c>
      <c r="J939" s="7" t="n">
        <v>-52073.12</v>
      </c>
      <c r="K939" s="7" t="n">
        <f aca="false">I939-J939</f>
        <v>0</v>
      </c>
      <c r="L939" s="4" t="s">
        <v>5197</v>
      </c>
      <c r="M939" s="4" t="s">
        <v>5198</v>
      </c>
      <c r="N939" s="4"/>
    </row>
    <row r="940" customFormat="false" ht="15" hidden="false" customHeight="false" outlineLevel="0" collapsed="false">
      <c r="A940" s="4" t="s">
        <v>5199</v>
      </c>
      <c r="B940" s="4" t="s">
        <v>539</v>
      </c>
      <c r="C940" s="22" t="n">
        <v>0.98</v>
      </c>
      <c r="D940" s="16" t="s">
        <v>5200</v>
      </c>
      <c r="E940" s="16" t="s">
        <v>5201</v>
      </c>
      <c r="F940" s="6" t="n">
        <v>46264</v>
      </c>
      <c r="G940" s="6" t="n">
        <v>46260</v>
      </c>
      <c r="H940" s="23" t="n">
        <f aca="false">ABS(F940-G940)</f>
        <v>4</v>
      </c>
      <c r="I940" s="7" t="n">
        <v>-29459.43</v>
      </c>
      <c r="J940" s="7" t="n">
        <v>-29459.43</v>
      </c>
      <c r="K940" s="7" t="n">
        <f aca="false">I940-J940</f>
        <v>0</v>
      </c>
      <c r="L940" s="4" t="s">
        <v>5202</v>
      </c>
      <c r="M940" s="4" t="s">
        <v>5203</v>
      </c>
      <c r="N940" s="4"/>
    </row>
    <row r="941" customFormat="false" ht="15" hidden="false" customHeight="false" outlineLevel="0" collapsed="false">
      <c r="A941" s="4" t="s">
        <v>5204</v>
      </c>
      <c r="B941" s="4" t="s">
        <v>539</v>
      </c>
      <c r="C941" s="22" t="n">
        <v>0.98</v>
      </c>
      <c r="D941" s="16" t="s">
        <v>5205</v>
      </c>
      <c r="E941" s="16" t="s">
        <v>5206</v>
      </c>
      <c r="F941" s="6" t="n">
        <v>46265</v>
      </c>
      <c r="G941" s="6" t="n">
        <v>46261</v>
      </c>
      <c r="H941" s="23" t="n">
        <f aca="false">ABS(F941-G941)</f>
        <v>4</v>
      </c>
      <c r="I941" s="7" t="n">
        <v>-21259.17</v>
      </c>
      <c r="J941" s="7" t="n">
        <v>-21259.17</v>
      </c>
      <c r="K941" s="7" t="n">
        <f aca="false">I941-J941</f>
        <v>0</v>
      </c>
      <c r="L941" s="4" t="s">
        <v>5207</v>
      </c>
      <c r="M941" s="4" t="s">
        <v>5208</v>
      </c>
      <c r="N941" s="4"/>
    </row>
    <row r="942" customFormat="false" ht="15" hidden="false" customHeight="false" outlineLevel="0" collapsed="false">
      <c r="A942" s="4" t="s">
        <v>5209</v>
      </c>
      <c r="B942" s="4" t="s">
        <v>539</v>
      </c>
      <c r="C942" s="22" t="n">
        <v>0.98</v>
      </c>
      <c r="D942" s="16" t="s">
        <v>5210</v>
      </c>
      <c r="E942" s="16" t="s">
        <v>5211</v>
      </c>
      <c r="F942" s="6" t="n">
        <v>46266</v>
      </c>
      <c r="G942" s="6" t="n">
        <v>46262</v>
      </c>
      <c r="H942" s="23" t="n">
        <f aca="false">ABS(F942-G942)</f>
        <v>4</v>
      </c>
      <c r="I942" s="7" t="n">
        <v>-46470.05</v>
      </c>
      <c r="J942" s="7" t="n">
        <v>-46470.05</v>
      </c>
      <c r="K942" s="7" t="n">
        <f aca="false">I942-J942</f>
        <v>0</v>
      </c>
      <c r="L942" s="4" t="s">
        <v>5212</v>
      </c>
      <c r="M942" s="4" t="s">
        <v>5213</v>
      </c>
      <c r="N942" s="4"/>
    </row>
    <row r="943" customFormat="false" ht="15" hidden="false" customHeight="false" outlineLevel="0" collapsed="false">
      <c r="A943" s="4" t="s">
        <v>5214</v>
      </c>
      <c r="B943" s="4" t="s">
        <v>539</v>
      </c>
      <c r="C943" s="22" t="n">
        <v>0.98</v>
      </c>
      <c r="D943" s="16" t="s">
        <v>5215</v>
      </c>
      <c r="E943" s="16" t="s">
        <v>5216</v>
      </c>
      <c r="F943" s="6" t="n">
        <v>46268</v>
      </c>
      <c r="G943" s="6" t="n">
        <v>46264</v>
      </c>
      <c r="H943" s="23" t="n">
        <f aca="false">ABS(F943-G943)</f>
        <v>4</v>
      </c>
      <c r="I943" s="7" t="n">
        <v>-12879.51</v>
      </c>
      <c r="J943" s="7" t="n">
        <v>-12879.51</v>
      </c>
      <c r="K943" s="7" t="n">
        <f aca="false">I943-J943</f>
        <v>0</v>
      </c>
      <c r="L943" s="4" t="s">
        <v>5217</v>
      </c>
      <c r="M943" s="4" t="s">
        <v>5218</v>
      </c>
      <c r="N943" s="4"/>
    </row>
    <row r="944" customFormat="false" ht="15" hidden="false" customHeight="false" outlineLevel="0" collapsed="false">
      <c r="A944" s="4" t="s">
        <v>5219</v>
      </c>
      <c r="B944" s="4" t="s">
        <v>539</v>
      </c>
      <c r="C944" s="22" t="n">
        <v>0.98</v>
      </c>
      <c r="D944" s="16" t="s">
        <v>5220</v>
      </c>
      <c r="E944" s="16" t="s">
        <v>5221</v>
      </c>
      <c r="F944" s="6" t="n">
        <v>46271</v>
      </c>
      <c r="G944" s="6" t="n">
        <v>46267</v>
      </c>
      <c r="H944" s="23" t="n">
        <f aca="false">ABS(F944-G944)</f>
        <v>4</v>
      </c>
      <c r="I944" s="7" t="n">
        <v>-12200.7</v>
      </c>
      <c r="J944" s="7" t="n">
        <v>-12200.7</v>
      </c>
      <c r="K944" s="7" t="n">
        <f aca="false">I944-J944</f>
        <v>0</v>
      </c>
      <c r="L944" s="4" t="s">
        <v>5222</v>
      </c>
      <c r="M944" s="4" t="s">
        <v>5223</v>
      </c>
      <c r="N944" s="4"/>
    </row>
    <row r="945" customFormat="false" ht="15" hidden="false" customHeight="false" outlineLevel="0" collapsed="false">
      <c r="A945" s="4" t="s">
        <v>5224</v>
      </c>
      <c r="B945" s="4" t="s">
        <v>539</v>
      </c>
      <c r="C945" s="22" t="n">
        <v>0.98</v>
      </c>
      <c r="D945" s="16" t="s">
        <v>5225</v>
      </c>
      <c r="E945" s="16" t="s">
        <v>5226</v>
      </c>
      <c r="F945" s="6" t="n">
        <v>46274</v>
      </c>
      <c r="G945" s="6" t="n">
        <v>46270</v>
      </c>
      <c r="H945" s="23" t="n">
        <f aca="false">ABS(F945-G945)</f>
        <v>4</v>
      </c>
      <c r="I945" s="7" t="n">
        <v>-59900.49</v>
      </c>
      <c r="J945" s="7" t="n">
        <v>-59900.49</v>
      </c>
      <c r="K945" s="7" t="n">
        <f aca="false">I945-J945</f>
        <v>0</v>
      </c>
      <c r="L945" s="4" t="s">
        <v>5227</v>
      </c>
      <c r="M945" s="4" t="s">
        <v>5228</v>
      </c>
      <c r="N945" s="4"/>
    </row>
    <row r="946" customFormat="false" ht="15" hidden="false" customHeight="false" outlineLevel="0" collapsed="false">
      <c r="A946" s="4" t="s">
        <v>5229</v>
      </c>
      <c r="B946" s="4" t="s">
        <v>539</v>
      </c>
      <c r="C946" s="22" t="n">
        <v>0.98</v>
      </c>
      <c r="D946" s="16" t="s">
        <v>5230</v>
      </c>
      <c r="E946" s="16" t="s">
        <v>5231</v>
      </c>
      <c r="F946" s="6" t="n">
        <v>46274</v>
      </c>
      <c r="G946" s="6" t="n">
        <v>46270</v>
      </c>
      <c r="H946" s="23" t="n">
        <f aca="false">ABS(F946-G946)</f>
        <v>4</v>
      </c>
      <c r="I946" s="7" t="n">
        <v>-9148.56</v>
      </c>
      <c r="J946" s="7" t="n">
        <v>-9148.56</v>
      </c>
      <c r="K946" s="7" t="n">
        <f aca="false">I946-J946</f>
        <v>0</v>
      </c>
      <c r="L946" s="4" t="s">
        <v>5232</v>
      </c>
      <c r="M946" s="4" t="s">
        <v>5233</v>
      </c>
      <c r="N946" s="4"/>
    </row>
    <row r="947" customFormat="false" ht="15" hidden="false" customHeight="false" outlineLevel="0" collapsed="false">
      <c r="A947" s="4" t="s">
        <v>5234</v>
      </c>
      <c r="B947" s="4" t="s">
        <v>539</v>
      </c>
      <c r="C947" s="22" t="n">
        <v>0.98</v>
      </c>
      <c r="D947" s="16" t="s">
        <v>5235</v>
      </c>
      <c r="E947" s="16" t="s">
        <v>5236</v>
      </c>
      <c r="F947" s="6" t="n">
        <v>46274</v>
      </c>
      <c r="G947" s="6" t="n">
        <v>46270</v>
      </c>
      <c r="H947" s="23" t="n">
        <f aca="false">ABS(F947-G947)</f>
        <v>4</v>
      </c>
      <c r="I947" s="7" t="n">
        <v>-17056.64</v>
      </c>
      <c r="J947" s="7" t="n">
        <v>-17056.64</v>
      </c>
      <c r="K947" s="7" t="n">
        <f aca="false">I947-J947</f>
        <v>0</v>
      </c>
      <c r="L947" s="4" t="s">
        <v>5237</v>
      </c>
      <c r="M947" s="4" t="s">
        <v>5238</v>
      </c>
      <c r="N947" s="4"/>
    </row>
    <row r="948" customFormat="false" ht="15" hidden="false" customHeight="false" outlineLevel="0" collapsed="false">
      <c r="A948" s="4" t="s">
        <v>5239</v>
      </c>
      <c r="B948" s="4" t="s">
        <v>539</v>
      </c>
      <c r="C948" s="22" t="n">
        <v>0.98</v>
      </c>
      <c r="D948" s="16" t="s">
        <v>5240</v>
      </c>
      <c r="E948" s="16" t="s">
        <v>5241</v>
      </c>
      <c r="F948" s="6" t="n">
        <v>46274</v>
      </c>
      <c r="G948" s="6" t="n">
        <v>46270</v>
      </c>
      <c r="H948" s="23" t="n">
        <f aca="false">ABS(F948-G948)</f>
        <v>4</v>
      </c>
      <c r="I948" s="7" t="n">
        <v>-21720.47</v>
      </c>
      <c r="J948" s="7" t="n">
        <v>-21720.47</v>
      </c>
      <c r="K948" s="7" t="n">
        <f aca="false">I948-J948</f>
        <v>0</v>
      </c>
      <c r="L948" s="4" t="s">
        <v>5242</v>
      </c>
      <c r="M948" s="4" t="s">
        <v>5243</v>
      </c>
      <c r="N948" s="4"/>
    </row>
    <row r="949" customFormat="false" ht="15" hidden="false" customHeight="false" outlineLevel="0" collapsed="false">
      <c r="A949" s="4" t="s">
        <v>5244</v>
      </c>
      <c r="B949" s="4" t="s">
        <v>539</v>
      </c>
      <c r="C949" s="22" t="n">
        <v>0.98</v>
      </c>
      <c r="D949" s="16" t="s">
        <v>5245</v>
      </c>
      <c r="E949" s="16" t="s">
        <v>5246</v>
      </c>
      <c r="F949" s="6" t="n">
        <v>46275</v>
      </c>
      <c r="G949" s="6" t="n">
        <v>46271</v>
      </c>
      <c r="H949" s="23" t="n">
        <f aca="false">ABS(F949-G949)</f>
        <v>4</v>
      </c>
      <c r="I949" s="7" t="n">
        <v>-34353.17</v>
      </c>
      <c r="J949" s="7" t="n">
        <v>-34353.17</v>
      </c>
      <c r="K949" s="7" t="n">
        <f aca="false">I949-J949</f>
        <v>0</v>
      </c>
      <c r="L949" s="4" t="s">
        <v>5247</v>
      </c>
      <c r="M949" s="4" t="s">
        <v>5248</v>
      </c>
      <c r="N949" s="4"/>
    </row>
    <row r="950" customFormat="false" ht="15" hidden="false" customHeight="false" outlineLevel="0" collapsed="false">
      <c r="A950" s="4" t="s">
        <v>5249</v>
      </c>
      <c r="B950" s="4" t="s">
        <v>539</v>
      </c>
      <c r="C950" s="22" t="n">
        <v>0.98</v>
      </c>
      <c r="D950" s="16" t="s">
        <v>5250</v>
      </c>
      <c r="E950" s="16" t="s">
        <v>5251</v>
      </c>
      <c r="F950" s="6" t="n">
        <v>46276</v>
      </c>
      <c r="G950" s="6" t="n">
        <v>46272</v>
      </c>
      <c r="H950" s="23" t="n">
        <f aca="false">ABS(F950-G950)</f>
        <v>4</v>
      </c>
      <c r="I950" s="7" t="n">
        <v>-46522.15</v>
      </c>
      <c r="J950" s="7" t="n">
        <v>-46522.15</v>
      </c>
      <c r="K950" s="7" t="n">
        <f aca="false">I950-J950</f>
        <v>0</v>
      </c>
      <c r="L950" s="4" t="s">
        <v>5252</v>
      </c>
      <c r="M950" s="4" t="s">
        <v>5253</v>
      </c>
      <c r="N950" s="4"/>
    </row>
    <row r="951" customFormat="false" ht="15" hidden="false" customHeight="false" outlineLevel="0" collapsed="false">
      <c r="A951" s="4" t="s">
        <v>5254</v>
      </c>
      <c r="B951" s="4" t="s">
        <v>539</v>
      </c>
      <c r="C951" s="22" t="n">
        <v>0.98</v>
      </c>
      <c r="D951" s="16" t="s">
        <v>5255</v>
      </c>
      <c r="E951" s="16" t="s">
        <v>5256</v>
      </c>
      <c r="F951" s="6" t="n">
        <v>46278</v>
      </c>
      <c r="G951" s="6" t="n">
        <v>46274</v>
      </c>
      <c r="H951" s="23" t="n">
        <f aca="false">ABS(F951-G951)</f>
        <v>4</v>
      </c>
      <c r="I951" s="7" t="n">
        <v>-51876.88</v>
      </c>
      <c r="J951" s="7" t="n">
        <v>-51876.88</v>
      </c>
      <c r="K951" s="7" t="n">
        <f aca="false">I951-J951</f>
        <v>0</v>
      </c>
      <c r="L951" s="4" t="s">
        <v>5257</v>
      </c>
      <c r="M951" s="4" t="s">
        <v>5258</v>
      </c>
      <c r="N951" s="4"/>
    </row>
    <row r="952" customFormat="false" ht="15" hidden="false" customHeight="false" outlineLevel="0" collapsed="false">
      <c r="A952" s="4" t="s">
        <v>5259</v>
      </c>
      <c r="B952" s="4" t="s">
        <v>539</v>
      </c>
      <c r="C952" s="22" t="n">
        <v>0.98</v>
      </c>
      <c r="D952" s="16" t="s">
        <v>5260</v>
      </c>
      <c r="E952" s="16" t="s">
        <v>5261</v>
      </c>
      <c r="F952" s="6" t="n">
        <v>46279</v>
      </c>
      <c r="G952" s="6" t="n">
        <v>46275</v>
      </c>
      <c r="H952" s="23" t="n">
        <f aca="false">ABS(F952-G952)</f>
        <v>4</v>
      </c>
      <c r="I952" s="7" t="n">
        <v>-24353.17</v>
      </c>
      <c r="J952" s="7" t="n">
        <v>-24353.17</v>
      </c>
      <c r="K952" s="7" t="n">
        <f aca="false">I952-J952</f>
        <v>0</v>
      </c>
      <c r="L952" s="4" t="s">
        <v>5262</v>
      </c>
      <c r="M952" s="4" t="s">
        <v>5263</v>
      </c>
      <c r="N952" s="4"/>
    </row>
    <row r="953" customFormat="false" ht="15" hidden="false" customHeight="false" outlineLevel="0" collapsed="false">
      <c r="A953" s="4" t="s">
        <v>5264</v>
      </c>
      <c r="B953" s="4" t="s">
        <v>539</v>
      </c>
      <c r="C953" s="22" t="n">
        <v>0.98</v>
      </c>
      <c r="D953" s="16" t="s">
        <v>5265</v>
      </c>
      <c r="E953" s="16" t="s">
        <v>5266</v>
      </c>
      <c r="F953" s="6" t="n">
        <v>46280</v>
      </c>
      <c r="G953" s="6" t="n">
        <v>46276</v>
      </c>
      <c r="H953" s="23" t="n">
        <f aca="false">ABS(F953-G953)</f>
        <v>4</v>
      </c>
      <c r="I953" s="7" t="n">
        <v>-4080.11</v>
      </c>
      <c r="J953" s="7" t="n">
        <v>-4080.11</v>
      </c>
      <c r="K953" s="7" t="n">
        <f aca="false">I953-J953</f>
        <v>0</v>
      </c>
      <c r="L953" s="4" t="s">
        <v>5267</v>
      </c>
      <c r="M953" s="4" t="s">
        <v>5268</v>
      </c>
      <c r="N953" s="4"/>
    </row>
    <row r="954" customFormat="false" ht="15" hidden="false" customHeight="false" outlineLevel="0" collapsed="false">
      <c r="A954" s="4" t="s">
        <v>5269</v>
      </c>
      <c r="B954" s="4" t="s">
        <v>539</v>
      </c>
      <c r="C954" s="22" t="n">
        <v>0.98</v>
      </c>
      <c r="D954" s="16" t="s">
        <v>5270</v>
      </c>
      <c r="E954" s="16" t="s">
        <v>5271</v>
      </c>
      <c r="F954" s="6" t="n">
        <v>46281</v>
      </c>
      <c r="G954" s="6" t="n">
        <v>46277</v>
      </c>
      <c r="H954" s="23" t="n">
        <f aca="false">ABS(F954-G954)</f>
        <v>4</v>
      </c>
      <c r="I954" s="7" t="n">
        <v>-18855.54</v>
      </c>
      <c r="J954" s="7" t="n">
        <v>-18855.54</v>
      </c>
      <c r="K954" s="7" t="n">
        <f aca="false">I954-J954</f>
        <v>0</v>
      </c>
      <c r="L954" s="4" t="s">
        <v>5272</v>
      </c>
      <c r="M954" s="4" t="s">
        <v>5273</v>
      </c>
      <c r="N954" s="4"/>
    </row>
    <row r="955" customFormat="false" ht="15" hidden="false" customHeight="false" outlineLevel="0" collapsed="false">
      <c r="A955" s="4" t="s">
        <v>5274</v>
      </c>
      <c r="B955" s="4" t="s">
        <v>539</v>
      </c>
      <c r="C955" s="22" t="n">
        <v>0.98</v>
      </c>
      <c r="D955" s="16" t="s">
        <v>5275</v>
      </c>
      <c r="E955" s="16" t="s">
        <v>5276</v>
      </c>
      <c r="F955" s="6" t="n">
        <v>46282</v>
      </c>
      <c r="G955" s="6" t="n">
        <v>46278</v>
      </c>
      <c r="H955" s="23" t="n">
        <f aca="false">ABS(F955-G955)</f>
        <v>4</v>
      </c>
      <c r="I955" s="7" t="n">
        <v>-54113.71</v>
      </c>
      <c r="J955" s="7" t="n">
        <v>-54113.71</v>
      </c>
      <c r="K955" s="7" t="n">
        <f aca="false">I955-J955</f>
        <v>0</v>
      </c>
      <c r="L955" s="4" t="s">
        <v>5277</v>
      </c>
      <c r="M955" s="4" t="s">
        <v>5278</v>
      </c>
      <c r="N955" s="4"/>
    </row>
    <row r="956" customFormat="false" ht="15" hidden="false" customHeight="false" outlineLevel="0" collapsed="false">
      <c r="A956" s="4" t="s">
        <v>5279</v>
      </c>
      <c r="B956" s="4" t="s">
        <v>539</v>
      </c>
      <c r="C956" s="22" t="n">
        <v>0.98</v>
      </c>
      <c r="D956" s="16" t="s">
        <v>5280</v>
      </c>
      <c r="E956" s="16" t="s">
        <v>5281</v>
      </c>
      <c r="F956" s="6" t="n">
        <v>46283</v>
      </c>
      <c r="G956" s="6" t="n">
        <v>46279</v>
      </c>
      <c r="H956" s="23" t="n">
        <f aca="false">ABS(F956-G956)</f>
        <v>4</v>
      </c>
      <c r="I956" s="7" t="n">
        <v>-31034.47</v>
      </c>
      <c r="J956" s="7" t="n">
        <v>-31034.47</v>
      </c>
      <c r="K956" s="7" t="n">
        <f aca="false">I956-J956</f>
        <v>0</v>
      </c>
      <c r="L956" s="4" t="s">
        <v>5282</v>
      </c>
      <c r="M956" s="4" t="s">
        <v>5283</v>
      </c>
      <c r="N956" s="4"/>
    </row>
    <row r="957" customFormat="false" ht="15" hidden="false" customHeight="false" outlineLevel="0" collapsed="false">
      <c r="A957" s="4" t="s">
        <v>5284</v>
      </c>
      <c r="B957" s="4" t="s">
        <v>539</v>
      </c>
      <c r="C957" s="22" t="n">
        <v>0.98</v>
      </c>
      <c r="D957" s="16" t="s">
        <v>5285</v>
      </c>
      <c r="E957" s="16" t="s">
        <v>5286</v>
      </c>
      <c r="F957" s="6" t="n">
        <v>46283</v>
      </c>
      <c r="G957" s="6" t="n">
        <v>46279</v>
      </c>
      <c r="H957" s="23" t="n">
        <f aca="false">ABS(F957-G957)</f>
        <v>4</v>
      </c>
      <c r="I957" s="7" t="n">
        <v>-32550.32</v>
      </c>
      <c r="J957" s="7" t="n">
        <v>-32550.32</v>
      </c>
      <c r="K957" s="7" t="n">
        <f aca="false">I957-J957</f>
        <v>0</v>
      </c>
      <c r="L957" s="4" t="s">
        <v>5287</v>
      </c>
      <c r="M957" s="4" t="s">
        <v>5288</v>
      </c>
      <c r="N957" s="4"/>
    </row>
    <row r="958" customFormat="false" ht="15" hidden="false" customHeight="false" outlineLevel="0" collapsed="false">
      <c r="A958" s="4" t="s">
        <v>5289</v>
      </c>
      <c r="B958" s="4" t="s">
        <v>539</v>
      </c>
      <c r="C958" s="22" t="n">
        <v>0.98</v>
      </c>
      <c r="D958" s="16" t="s">
        <v>5290</v>
      </c>
      <c r="E958" s="16" t="s">
        <v>5291</v>
      </c>
      <c r="F958" s="6" t="n">
        <v>46283</v>
      </c>
      <c r="G958" s="6" t="n">
        <v>46279</v>
      </c>
      <c r="H958" s="23" t="n">
        <f aca="false">ABS(F958-G958)</f>
        <v>4</v>
      </c>
      <c r="I958" s="7" t="n">
        <v>-30852.69</v>
      </c>
      <c r="J958" s="7" t="n">
        <v>-30852.69</v>
      </c>
      <c r="K958" s="7" t="n">
        <f aca="false">I958-J958</f>
        <v>0</v>
      </c>
      <c r="L958" s="4" t="s">
        <v>5292</v>
      </c>
      <c r="M958" s="4" t="s">
        <v>5293</v>
      </c>
      <c r="N958" s="4"/>
    </row>
    <row r="959" customFormat="false" ht="15" hidden="false" customHeight="false" outlineLevel="0" collapsed="false">
      <c r="A959" s="4" t="s">
        <v>5294</v>
      </c>
      <c r="B959" s="4" t="s">
        <v>539</v>
      </c>
      <c r="C959" s="22" t="n">
        <v>0.98</v>
      </c>
      <c r="D959" s="16" t="s">
        <v>5295</v>
      </c>
      <c r="E959" s="16" t="s">
        <v>5296</v>
      </c>
      <c r="F959" s="6" t="n">
        <v>46285</v>
      </c>
      <c r="G959" s="6" t="n">
        <v>46281</v>
      </c>
      <c r="H959" s="23" t="n">
        <f aca="false">ABS(F959-G959)</f>
        <v>4</v>
      </c>
      <c r="I959" s="7" t="n">
        <v>-9627.89</v>
      </c>
      <c r="J959" s="7" t="n">
        <v>-9627.89</v>
      </c>
      <c r="K959" s="7" t="n">
        <f aca="false">I959-J959</f>
        <v>0</v>
      </c>
      <c r="L959" s="4" t="s">
        <v>5297</v>
      </c>
      <c r="M959" s="4" t="s">
        <v>5298</v>
      </c>
      <c r="N959" s="4"/>
    </row>
    <row r="960" customFormat="false" ht="15" hidden="false" customHeight="false" outlineLevel="0" collapsed="false">
      <c r="A960" s="4" t="s">
        <v>5299</v>
      </c>
      <c r="B960" s="4" t="s">
        <v>539</v>
      </c>
      <c r="C960" s="22" t="n">
        <v>0.98</v>
      </c>
      <c r="D960" s="16" t="s">
        <v>5300</v>
      </c>
      <c r="E960" s="16" t="s">
        <v>5301</v>
      </c>
      <c r="F960" s="6" t="n">
        <v>46285</v>
      </c>
      <c r="G960" s="6" t="n">
        <v>46281</v>
      </c>
      <c r="H960" s="23" t="n">
        <f aca="false">ABS(F960-G960)</f>
        <v>4</v>
      </c>
      <c r="I960" s="7" t="n">
        <v>-812.43</v>
      </c>
      <c r="J960" s="7" t="n">
        <v>-812.43</v>
      </c>
      <c r="K960" s="7" t="n">
        <f aca="false">I960-J960</f>
        <v>0</v>
      </c>
      <c r="L960" s="4" t="s">
        <v>5302</v>
      </c>
      <c r="M960" s="4" t="s">
        <v>5303</v>
      </c>
      <c r="N960" s="4"/>
    </row>
    <row r="961" customFormat="false" ht="15" hidden="false" customHeight="false" outlineLevel="0" collapsed="false">
      <c r="A961" s="4" t="s">
        <v>5304</v>
      </c>
      <c r="B961" s="4" t="s">
        <v>539</v>
      </c>
      <c r="C961" s="22" t="n">
        <v>0.98</v>
      </c>
      <c r="D961" s="16" t="s">
        <v>5305</v>
      </c>
      <c r="E961" s="16" t="s">
        <v>5306</v>
      </c>
      <c r="F961" s="6" t="n">
        <v>46286</v>
      </c>
      <c r="G961" s="6" t="n">
        <v>46282</v>
      </c>
      <c r="H961" s="23" t="n">
        <f aca="false">ABS(F961-G961)</f>
        <v>4</v>
      </c>
      <c r="I961" s="7" t="n">
        <v>-14137.94</v>
      </c>
      <c r="J961" s="7" t="n">
        <v>-14137.94</v>
      </c>
      <c r="K961" s="7" t="n">
        <f aca="false">I961-J961</f>
        <v>0</v>
      </c>
      <c r="L961" s="4" t="s">
        <v>5307</v>
      </c>
      <c r="M961" s="4" t="s">
        <v>5308</v>
      </c>
      <c r="N961" s="4"/>
    </row>
    <row r="962" customFormat="false" ht="15" hidden="false" customHeight="false" outlineLevel="0" collapsed="false">
      <c r="A962" s="4" t="s">
        <v>5309</v>
      </c>
      <c r="B962" s="4" t="s">
        <v>539</v>
      </c>
      <c r="C962" s="22" t="n">
        <v>0.98</v>
      </c>
      <c r="D962" s="16" t="s">
        <v>5310</v>
      </c>
      <c r="E962" s="16" t="s">
        <v>5311</v>
      </c>
      <c r="F962" s="6" t="n">
        <v>46286</v>
      </c>
      <c r="G962" s="6" t="n">
        <v>46282</v>
      </c>
      <c r="H962" s="23" t="n">
        <f aca="false">ABS(F962-G962)</f>
        <v>4</v>
      </c>
      <c r="I962" s="7" t="n">
        <v>-10115.06</v>
      </c>
      <c r="J962" s="7" t="n">
        <v>-10115.06</v>
      </c>
      <c r="K962" s="7" t="n">
        <f aca="false">I962-J962</f>
        <v>0</v>
      </c>
      <c r="L962" s="4" t="s">
        <v>5312</v>
      </c>
      <c r="M962" s="4" t="s">
        <v>5313</v>
      </c>
      <c r="N962" s="4"/>
    </row>
    <row r="963" customFormat="false" ht="15" hidden="false" customHeight="false" outlineLevel="0" collapsed="false">
      <c r="A963" s="4" t="s">
        <v>5314</v>
      </c>
      <c r="B963" s="4" t="s">
        <v>539</v>
      </c>
      <c r="C963" s="22" t="n">
        <v>0.98</v>
      </c>
      <c r="D963" s="16" t="s">
        <v>5315</v>
      </c>
      <c r="E963" s="16" t="s">
        <v>5316</v>
      </c>
      <c r="F963" s="6" t="n">
        <v>46288</v>
      </c>
      <c r="G963" s="6" t="n">
        <v>46284</v>
      </c>
      <c r="H963" s="23" t="n">
        <f aca="false">ABS(F963-G963)</f>
        <v>4</v>
      </c>
      <c r="I963" s="7" t="n">
        <v>-24606.55</v>
      </c>
      <c r="J963" s="7" t="n">
        <v>-24606.55</v>
      </c>
      <c r="K963" s="7" t="n">
        <f aca="false">I963-J963</f>
        <v>0</v>
      </c>
      <c r="L963" s="4" t="s">
        <v>5317</v>
      </c>
      <c r="M963" s="4" t="s">
        <v>5318</v>
      </c>
      <c r="N963" s="4"/>
    </row>
    <row r="964" customFormat="false" ht="15" hidden="false" customHeight="false" outlineLevel="0" collapsed="false">
      <c r="A964" s="4" t="s">
        <v>5319</v>
      </c>
      <c r="B964" s="4" t="s">
        <v>539</v>
      </c>
      <c r="C964" s="22" t="n">
        <v>0.98</v>
      </c>
      <c r="D964" s="16" t="s">
        <v>5320</v>
      </c>
      <c r="E964" s="16" t="s">
        <v>5321</v>
      </c>
      <c r="F964" s="6" t="n">
        <v>46289</v>
      </c>
      <c r="G964" s="6" t="n">
        <v>46285</v>
      </c>
      <c r="H964" s="23" t="n">
        <f aca="false">ABS(F964-G964)</f>
        <v>4</v>
      </c>
      <c r="I964" s="7" t="n">
        <v>-46570.76</v>
      </c>
      <c r="J964" s="7" t="n">
        <v>-46570.76</v>
      </c>
      <c r="K964" s="7" t="n">
        <f aca="false">I964-J964</f>
        <v>0</v>
      </c>
      <c r="L964" s="4" t="s">
        <v>5322</v>
      </c>
      <c r="M964" s="4" t="s">
        <v>5323</v>
      </c>
      <c r="N964" s="4"/>
    </row>
    <row r="965" customFormat="false" ht="15" hidden="false" customHeight="false" outlineLevel="0" collapsed="false">
      <c r="A965" s="4" t="s">
        <v>5324</v>
      </c>
      <c r="B965" s="4" t="s">
        <v>539</v>
      </c>
      <c r="C965" s="22" t="n">
        <v>0.98</v>
      </c>
      <c r="D965" s="16" t="s">
        <v>5325</v>
      </c>
      <c r="E965" s="16" t="s">
        <v>5326</v>
      </c>
      <c r="F965" s="6" t="n">
        <v>46290</v>
      </c>
      <c r="G965" s="6" t="n">
        <v>46286</v>
      </c>
      <c r="H965" s="23" t="n">
        <f aca="false">ABS(F965-G965)</f>
        <v>4</v>
      </c>
      <c r="I965" s="7" t="n">
        <v>-34238.08</v>
      </c>
      <c r="J965" s="7" t="n">
        <v>-34238.08</v>
      </c>
      <c r="K965" s="7" t="n">
        <f aca="false">I965-J965</f>
        <v>0</v>
      </c>
      <c r="L965" s="4" t="s">
        <v>5327</v>
      </c>
      <c r="M965" s="4" t="s">
        <v>5328</v>
      </c>
      <c r="N965" s="4"/>
    </row>
    <row r="966" customFormat="false" ht="15" hidden="false" customHeight="false" outlineLevel="0" collapsed="false">
      <c r="A966" s="4" t="s">
        <v>5329</v>
      </c>
      <c r="B966" s="4" t="s">
        <v>539</v>
      </c>
      <c r="C966" s="22" t="n">
        <v>0.975</v>
      </c>
      <c r="D966" s="16" t="s">
        <v>5330</v>
      </c>
      <c r="E966" s="16" t="s">
        <v>5331</v>
      </c>
      <c r="F966" s="6" t="n">
        <v>46210</v>
      </c>
      <c r="G966" s="6" t="n">
        <v>46205</v>
      </c>
      <c r="H966" s="23" t="n">
        <f aca="false">ABS(F966-G966)</f>
        <v>5</v>
      </c>
      <c r="I966" s="7" t="n">
        <v>-4231.7</v>
      </c>
      <c r="J966" s="7" t="n">
        <v>-4231.7</v>
      </c>
      <c r="K966" s="7" t="n">
        <f aca="false">I966-J966</f>
        <v>0</v>
      </c>
      <c r="L966" s="4" t="s">
        <v>5332</v>
      </c>
      <c r="M966" s="4" t="s">
        <v>5333</v>
      </c>
      <c r="N966" s="4"/>
    </row>
    <row r="967" customFormat="false" ht="15" hidden="false" customHeight="false" outlineLevel="0" collapsed="false">
      <c r="A967" s="4" t="s">
        <v>5334</v>
      </c>
      <c r="B967" s="4" t="s">
        <v>539</v>
      </c>
      <c r="C967" s="22" t="n">
        <v>0.975</v>
      </c>
      <c r="D967" s="16" t="s">
        <v>5335</v>
      </c>
      <c r="E967" s="16" t="s">
        <v>5336</v>
      </c>
      <c r="F967" s="6" t="n">
        <v>46210</v>
      </c>
      <c r="G967" s="6" t="n">
        <v>46205</v>
      </c>
      <c r="H967" s="23" t="n">
        <f aca="false">ABS(F967-G967)</f>
        <v>5</v>
      </c>
      <c r="I967" s="7" t="n">
        <v>-30951.66</v>
      </c>
      <c r="J967" s="7" t="n">
        <v>-30951.66</v>
      </c>
      <c r="K967" s="7" t="n">
        <f aca="false">I967-J967</f>
        <v>0</v>
      </c>
      <c r="L967" s="4" t="s">
        <v>5337</v>
      </c>
      <c r="M967" s="4" t="s">
        <v>5338</v>
      </c>
      <c r="N967" s="4"/>
    </row>
    <row r="968" customFormat="false" ht="15" hidden="false" customHeight="false" outlineLevel="0" collapsed="false">
      <c r="A968" s="4" t="s">
        <v>5339</v>
      </c>
      <c r="B968" s="4" t="s">
        <v>539</v>
      </c>
      <c r="C968" s="22" t="n">
        <v>0.975</v>
      </c>
      <c r="D968" s="16" t="s">
        <v>5340</v>
      </c>
      <c r="E968" s="16" t="s">
        <v>5341</v>
      </c>
      <c r="F968" s="6" t="n">
        <v>46212</v>
      </c>
      <c r="G968" s="6" t="n">
        <v>46207</v>
      </c>
      <c r="H968" s="23" t="n">
        <f aca="false">ABS(F968-G968)</f>
        <v>5</v>
      </c>
      <c r="I968" s="7" t="n">
        <v>-19941.63</v>
      </c>
      <c r="J968" s="7" t="n">
        <v>-19941.63</v>
      </c>
      <c r="K968" s="7" t="n">
        <f aca="false">I968-J968</f>
        <v>0</v>
      </c>
      <c r="L968" s="4" t="s">
        <v>5342</v>
      </c>
      <c r="M968" s="4" t="s">
        <v>5343</v>
      </c>
      <c r="N968" s="4"/>
    </row>
    <row r="969" customFormat="false" ht="15" hidden="false" customHeight="false" outlineLevel="0" collapsed="false">
      <c r="A969" s="4" t="s">
        <v>5344</v>
      </c>
      <c r="B969" s="4" t="s">
        <v>539</v>
      </c>
      <c r="C969" s="22" t="n">
        <v>0.975</v>
      </c>
      <c r="D969" s="16" t="s">
        <v>5345</v>
      </c>
      <c r="E969" s="16" t="s">
        <v>5346</v>
      </c>
      <c r="F969" s="6" t="n">
        <v>46214</v>
      </c>
      <c r="G969" s="6" t="n">
        <v>46209</v>
      </c>
      <c r="H969" s="23" t="n">
        <f aca="false">ABS(F969-G969)</f>
        <v>5</v>
      </c>
      <c r="I969" s="7" t="n">
        <v>-38372.49</v>
      </c>
      <c r="J969" s="7" t="n">
        <v>-38372.49</v>
      </c>
      <c r="K969" s="7" t="n">
        <f aca="false">I969-J969</f>
        <v>0</v>
      </c>
      <c r="L969" s="4" t="s">
        <v>5347</v>
      </c>
      <c r="M969" s="4" t="s">
        <v>5348</v>
      </c>
      <c r="N969" s="4"/>
    </row>
    <row r="970" customFormat="false" ht="15" hidden="false" customHeight="false" outlineLevel="0" collapsed="false">
      <c r="A970" s="4" t="s">
        <v>5349</v>
      </c>
      <c r="B970" s="4" t="s">
        <v>539</v>
      </c>
      <c r="C970" s="22" t="n">
        <v>0.975</v>
      </c>
      <c r="D970" s="16" t="s">
        <v>5350</v>
      </c>
      <c r="E970" s="16" t="s">
        <v>5351</v>
      </c>
      <c r="F970" s="6" t="n">
        <v>46214</v>
      </c>
      <c r="G970" s="6" t="n">
        <v>46209</v>
      </c>
      <c r="H970" s="23" t="n">
        <f aca="false">ABS(F970-G970)</f>
        <v>5</v>
      </c>
      <c r="I970" s="7" t="n">
        <v>-45834.38</v>
      </c>
      <c r="J970" s="7" t="n">
        <v>-45834.38</v>
      </c>
      <c r="K970" s="7" t="n">
        <f aca="false">I970-J970</f>
        <v>0</v>
      </c>
      <c r="L970" s="4" t="s">
        <v>5352</v>
      </c>
      <c r="M970" s="4" t="s">
        <v>5353</v>
      </c>
      <c r="N970" s="4"/>
    </row>
    <row r="971" customFormat="false" ht="15" hidden="false" customHeight="false" outlineLevel="0" collapsed="false">
      <c r="A971" s="4" t="s">
        <v>5354</v>
      </c>
      <c r="B971" s="4" t="s">
        <v>539</v>
      </c>
      <c r="C971" s="22" t="n">
        <v>0.975</v>
      </c>
      <c r="D971" s="16" t="s">
        <v>5355</v>
      </c>
      <c r="E971" s="16" t="s">
        <v>5356</v>
      </c>
      <c r="F971" s="6" t="n">
        <v>46214</v>
      </c>
      <c r="G971" s="6" t="n">
        <v>46209</v>
      </c>
      <c r="H971" s="23" t="n">
        <f aca="false">ABS(F971-G971)</f>
        <v>5</v>
      </c>
      <c r="I971" s="7" t="n">
        <v>-19879.86</v>
      </c>
      <c r="J971" s="7" t="n">
        <v>-19879.86</v>
      </c>
      <c r="K971" s="7" t="n">
        <f aca="false">I971-J971</f>
        <v>0</v>
      </c>
      <c r="L971" s="4" t="s">
        <v>5357</v>
      </c>
      <c r="M971" s="4" t="s">
        <v>5358</v>
      </c>
      <c r="N971" s="4"/>
    </row>
    <row r="972" customFormat="false" ht="15" hidden="false" customHeight="false" outlineLevel="0" collapsed="false">
      <c r="A972" s="4" t="s">
        <v>5359</v>
      </c>
      <c r="B972" s="4" t="s">
        <v>539</v>
      </c>
      <c r="C972" s="22" t="n">
        <v>0.975</v>
      </c>
      <c r="D972" s="16" t="s">
        <v>5360</v>
      </c>
      <c r="E972" s="16" t="s">
        <v>5361</v>
      </c>
      <c r="F972" s="6" t="n">
        <v>46215</v>
      </c>
      <c r="G972" s="6" t="n">
        <v>46210</v>
      </c>
      <c r="H972" s="23" t="n">
        <f aca="false">ABS(F972-G972)</f>
        <v>5</v>
      </c>
      <c r="I972" s="7" t="n">
        <v>-27440.44</v>
      </c>
      <c r="J972" s="7" t="n">
        <v>-27440.44</v>
      </c>
      <c r="K972" s="7" t="n">
        <f aca="false">I972-J972</f>
        <v>0</v>
      </c>
      <c r="L972" s="4" t="s">
        <v>5362</v>
      </c>
      <c r="M972" s="4" t="s">
        <v>5363</v>
      </c>
      <c r="N972" s="4"/>
    </row>
    <row r="973" customFormat="false" ht="15" hidden="false" customHeight="false" outlineLevel="0" collapsed="false">
      <c r="A973" s="4" t="s">
        <v>5364</v>
      </c>
      <c r="B973" s="4" t="s">
        <v>539</v>
      </c>
      <c r="C973" s="22" t="n">
        <v>0.975</v>
      </c>
      <c r="D973" s="16" t="s">
        <v>5365</v>
      </c>
      <c r="E973" s="16" t="s">
        <v>5366</v>
      </c>
      <c r="F973" s="6" t="n">
        <v>46216</v>
      </c>
      <c r="G973" s="6" t="n">
        <v>46211</v>
      </c>
      <c r="H973" s="23" t="n">
        <f aca="false">ABS(F973-G973)</f>
        <v>5</v>
      </c>
      <c r="I973" s="7" t="n">
        <v>-48492.7</v>
      </c>
      <c r="J973" s="7" t="n">
        <v>-48492.7</v>
      </c>
      <c r="K973" s="7" t="n">
        <f aca="false">I973-J973</f>
        <v>0</v>
      </c>
      <c r="L973" s="4" t="s">
        <v>5367</v>
      </c>
      <c r="M973" s="4" t="s">
        <v>5368</v>
      </c>
      <c r="N973" s="4"/>
    </row>
    <row r="974" customFormat="false" ht="15" hidden="false" customHeight="false" outlineLevel="0" collapsed="false">
      <c r="A974" s="4" t="s">
        <v>5369</v>
      </c>
      <c r="B974" s="4" t="s">
        <v>539</v>
      </c>
      <c r="C974" s="22" t="n">
        <v>0.975</v>
      </c>
      <c r="D974" s="16" t="s">
        <v>5370</v>
      </c>
      <c r="E974" s="16" t="s">
        <v>5371</v>
      </c>
      <c r="F974" s="6" t="n">
        <v>46216</v>
      </c>
      <c r="G974" s="6" t="n">
        <v>46211</v>
      </c>
      <c r="H974" s="23" t="n">
        <f aca="false">ABS(F974-G974)</f>
        <v>5</v>
      </c>
      <c r="I974" s="7" t="n">
        <v>-37382.22</v>
      </c>
      <c r="J974" s="7" t="n">
        <v>-37382.22</v>
      </c>
      <c r="K974" s="7" t="n">
        <f aca="false">I974-J974</f>
        <v>0</v>
      </c>
      <c r="L974" s="4" t="s">
        <v>5372</v>
      </c>
      <c r="M974" s="4" t="s">
        <v>5373</v>
      </c>
      <c r="N974" s="4"/>
    </row>
    <row r="975" customFormat="false" ht="15" hidden="false" customHeight="false" outlineLevel="0" collapsed="false">
      <c r="A975" s="4" t="s">
        <v>5374</v>
      </c>
      <c r="B975" s="4" t="s">
        <v>539</v>
      </c>
      <c r="C975" s="22" t="n">
        <v>0.975</v>
      </c>
      <c r="D975" s="16" t="s">
        <v>5375</v>
      </c>
      <c r="E975" s="16" t="s">
        <v>5376</v>
      </c>
      <c r="F975" s="6" t="n">
        <v>46216</v>
      </c>
      <c r="G975" s="6" t="n">
        <v>46211</v>
      </c>
      <c r="H975" s="23" t="n">
        <f aca="false">ABS(F975-G975)</f>
        <v>5</v>
      </c>
      <c r="I975" s="7" t="n">
        <v>-24654.77</v>
      </c>
      <c r="J975" s="7" t="n">
        <v>-24654.77</v>
      </c>
      <c r="K975" s="7" t="n">
        <f aca="false">I975-J975</f>
        <v>0</v>
      </c>
      <c r="L975" s="4" t="s">
        <v>5377</v>
      </c>
      <c r="M975" s="4" t="s">
        <v>5378</v>
      </c>
      <c r="N975" s="4"/>
    </row>
    <row r="976" customFormat="false" ht="15" hidden="false" customHeight="false" outlineLevel="0" collapsed="false">
      <c r="A976" s="4" t="s">
        <v>5379</v>
      </c>
      <c r="B976" s="4" t="s">
        <v>539</v>
      </c>
      <c r="C976" s="22" t="n">
        <v>0.975</v>
      </c>
      <c r="D976" s="16" t="s">
        <v>5380</v>
      </c>
      <c r="E976" s="16" t="s">
        <v>5381</v>
      </c>
      <c r="F976" s="6" t="n">
        <v>46218</v>
      </c>
      <c r="G976" s="6" t="n">
        <v>46213</v>
      </c>
      <c r="H976" s="23" t="n">
        <f aca="false">ABS(F976-G976)</f>
        <v>5</v>
      </c>
      <c r="I976" s="7" t="n">
        <v>-49658.81</v>
      </c>
      <c r="J976" s="7" t="n">
        <v>-49658.81</v>
      </c>
      <c r="K976" s="7" t="n">
        <f aca="false">I976-J976</f>
        <v>0</v>
      </c>
      <c r="L976" s="4" t="s">
        <v>5382</v>
      </c>
      <c r="M976" s="4" t="s">
        <v>5383</v>
      </c>
      <c r="N976" s="4"/>
    </row>
    <row r="977" customFormat="false" ht="15" hidden="false" customHeight="false" outlineLevel="0" collapsed="false">
      <c r="A977" s="4" t="s">
        <v>5384</v>
      </c>
      <c r="B977" s="4" t="s">
        <v>539</v>
      </c>
      <c r="C977" s="22" t="n">
        <v>0.975</v>
      </c>
      <c r="D977" s="16" t="s">
        <v>5385</v>
      </c>
      <c r="E977" s="16" t="s">
        <v>5386</v>
      </c>
      <c r="F977" s="6" t="n">
        <v>46220</v>
      </c>
      <c r="G977" s="6" t="n">
        <v>46215</v>
      </c>
      <c r="H977" s="23" t="n">
        <f aca="false">ABS(F977-G977)</f>
        <v>5</v>
      </c>
      <c r="I977" s="7" t="n">
        <v>-993.98</v>
      </c>
      <c r="J977" s="7" t="n">
        <v>-993.98</v>
      </c>
      <c r="K977" s="7" t="n">
        <f aca="false">I977-J977</f>
        <v>0</v>
      </c>
      <c r="L977" s="4" t="s">
        <v>5387</v>
      </c>
      <c r="M977" s="4" t="s">
        <v>5388</v>
      </c>
      <c r="N977" s="4"/>
    </row>
    <row r="978" customFormat="false" ht="15" hidden="false" customHeight="false" outlineLevel="0" collapsed="false">
      <c r="A978" s="4" t="s">
        <v>5389</v>
      </c>
      <c r="B978" s="4" t="s">
        <v>539</v>
      </c>
      <c r="C978" s="22" t="n">
        <v>0.975</v>
      </c>
      <c r="D978" s="16" t="s">
        <v>5390</v>
      </c>
      <c r="E978" s="16" t="s">
        <v>5391</v>
      </c>
      <c r="F978" s="6" t="n">
        <v>46222</v>
      </c>
      <c r="G978" s="6" t="n">
        <v>46217</v>
      </c>
      <c r="H978" s="23" t="n">
        <f aca="false">ABS(F978-G978)</f>
        <v>5</v>
      </c>
      <c r="I978" s="7" t="n">
        <v>-34037.38</v>
      </c>
      <c r="J978" s="7" t="n">
        <v>-34037.38</v>
      </c>
      <c r="K978" s="7" t="n">
        <f aca="false">I978-J978</f>
        <v>0</v>
      </c>
      <c r="L978" s="4" t="s">
        <v>5392</v>
      </c>
      <c r="M978" s="4" t="s">
        <v>5393</v>
      </c>
      <c r="N978" s="4"/>
    </row>
    <row r="979" customFormat="false" ht="15" hidden="false" customHeight="false" outlineLevel="0" collapsed="false">
      <c r="A979" s="4" t="s">
        <v>5394</v>
      </c>
      <c r="B979" s="4" t="s">
        <v>539</v>
      </c>
      <c r="C979" s="22" t="n">
        <v>0.975</v>
      </c>
      <c r="D979" s="16" t="s">
        <v>5395</v>
      </c>
      <c r="E979" s="16" t="s">
        <v>5396</v>
      </c>
      <c r="F979" s="6" t="n">
        <v>46222</v>
      </c>
      <c r="G979" s="6" t="n">
        <v>46217</v>
      </c>
      <c r="H979" s="23" t="n">
        <f aca="false">ABS(F979-G979)</f>
        <v>5</v>
      </c>
      <c r="I979" s="7" t="n">
        <v>-26114.53</v>
      </c>
      <c r="J979" s="7" t="n">
        <v>-26114.53</v>
      </c>
      <c r="K979" s="7" t="n">
        <f aca="false">I979-J979</f>
        <v>0</v>
      </c>
      <c r="L979" s="4" t="s">
        <v>5397</v>
      </c>
      <c r="M979" s="4" t="s">
        <v>5398</v>
      </c>
      <c r="N979" s="4"/>
    </row>
    <row r="980" customFormat="false" ht="15" hidden="false" customHeight="false" outlineLevel="0" collapsed="false">
      <c r="A980" s="4" t="s">
        <v>5399</v>
      </c>
      <c r="B980" s="4" t="s">
        <v>539</v>
      </c>
      <c r="C980" s="22" t="n">
        <v>0.975</v>
      </c>
      <c r="D980" s="16" t="s">
        <v>5400</v>
      </c>
      <c r="E980" s="16" t="s">
        <v>5401</v>
      </c>
      <c r="F980" s="6" t="n">
        <v>46223</v>
      </c>
      <c r="G980" s="6" t="n">
        <v>46218</v>
      </c>
      <c r="H980" s="23" t="n">
        <f aca="false">ABS(F980-G980)</f>
        <v>5</v>
      </c>
      <c r="I980" s="7" t="n">
        <v>-34576.07</v>
      </c>
      <c r="J980" s="7" t="n">
        <v>-34576.07</v>
      </c>
      <c r="K980" s="7" t="n">
        <f aca="false">I980-J980</f>
        <v>0</v>
      </c>
      <c r="L980" s="4" t="s">
        <v>5402</v>
      </c>
      <c r="M980" s="4" t="s">
        <v>5403</v>
      </c>
      <c r="N980" s="4"/>
    </row>
    <row r="981" customFormat="false" ht="15" hidden="false" customHeight="false" outlineLevel="0" collapsed="false">
      <c r="A981" s="4" t="s">
        <v>5404</v>
      </c>
      <c r="B981" s="4" t="s">
        <v>539</v>
      </c>
      <c r="C981" s="22" t="n">
        <v>0.975</v>
      </c>
      <c r="D981" s="16" t="s">
        <v>5405</v>
      </c>
      <c r="E981" s="16" t="s">
        <v>5406</v>
      </c>
      <c r="F981" s="6" t="n">
        <v>46223</v>
      </c>
      <c r="G981" s="6" t="n">
        <v>46218</v>
      </c>
      <c r="H981" s="23" t="n">
        <f aca="false">ABS(F981-G981)</f>
        <v>5</v>
      </c>
      <c r="I981" s="7" t="n">
        <v>-43019.01</v>
      </c>
      <c r="J981" s="7" t="n">
        <v>-43019.01</v>
      </c>
      <c r="K981" s="7" t="n">
        <f aca="false">I981-J981</f>
        <v>0</v>
      </c>
      <c r="L981" s="4" t="s">
        <v>5407</v>
      </c>
      <c r="M981" s="4" t="s">
        <v>5408</v>
      </c>
      <c r="N981" s="4"/>
    </row>
    <row r="982" customFormat="false" ht="15" hidden="false" customHeight="false" outlineLevel="0" collapsed="false">
      <c r="A982" s="4" t="s">
        <v>5409</v>
      </c>
      <c r="B982" s="4" t="s">
        <v>539</v>
      </c>
      <c r="C982" s="22" t="n">
        <v>0.975</v>
      </c>
      <c r="D982" s="16" t="s">
        <v>5410</v>
      </c>
      <c r="E982" s="16" t="s">
        <v>5411</v>
      </c>
      <c r="F982" s="6" t="n">
        <v>46224</v>
      </c>
      <c r="G982" s="6" t="n">
        <v>46219</v>
      </c>
      <c r="H982" s="23" t="n">
        <f aca="false">ABS(F982-G982)</f>
        <v>5</v>
      </c>
      <c r="I982" s="7" t="n">
        <v>-27852.49</v>
      </c>
      <c r="J982" s="7" t="n">
        <v>-27852.49</v>
      </c>
      <c r="K982" s="7" t="n">
        <f aca="false">I982-J982</f>
        <v>0</v>
      </c>
      <c r="L982" s="4" t="s">
        <v>5412</v>
      </c>
      <c r="M982" s="4" t="s">
        <v>5413</v>
      </c>
      <c r="N982" s="4"/>
    </row>
    <row r="983" customFormat="false" ht="15" hidden="false" customHeight="false" outlineLevel="0" collapsed="false">
      <c r="A983" s="4" t="s">
        <v>5414</v>
      </c>
      <c r="B983" s="4" t="s">
        <v>539</v>
      </c>
      <c r="C983" s="22" t="n">
        <v>0.975</v>
      </c>
      <c r="D983" s="16" t="s">
        <v>5415</v>
      </c>
      <c r="E983" s="16" t="s">
        <v>5416</v>
      </c>
      <c r="F983" s="6" t="n">
        <v>46226</v>
      </c>
      <c r="G983" s="6" t="n">
        <v>46221</v>
      </c>
      <c r="H983" s="23" t="n">
        <f aca="false">ABS(F983-G983)</f>
        <v>5</v>
      </c>
      <c r="I983" s="7" t="n">
        <v>-15136.31</v>
      </c>
      <c r="J983" s="7" t="n">
        <v>-15136.31</v>
      </c>
      <c r="K983" s="7" t="n">
        <f aca="false">I983-J983</f>
        <v>0</v>
      </c>
      <c r="L983" s="4" t="s">
        <v>5417</v>
      </c>
      <c r="M983" s="4" t="s">
        <v>5418</v>
      </c>
      <c r="N983" s="4"/>
    </row>
    <row r="984" customFormat="false" ht="15" hidden="false" customHeight="false" outlineLevel="0" collapsed="false">
      <c r="A984" s="4" t="s">
        <v>5419</v>
      </c>
      <c r="B984" s="4" t="s">
        <v>539</v>
      </c>
      <c r="C984" s="22" t="n">
        <v>0.975</v>
      </c>
      <c r="D984" s="16" t="s">
        <v>5420</v>
      </c>
      <c r="E984" s="16" t="s">
        <v>5421</v>
      </c>
      <c r="F984" s="6" t="n">
        <v>46227</v>
      </c>
      <c r="G984" s="6" t="n">
        <v>46222</v>
      </c>
      <c r="H984" s="23" t="n">
        <f aca="false">ABS(F984-G984)</f>
        <v>5</v>
      </c>
      <c r="I984" s="7" t="n">
        <v>-14663.25</v>
      </c>
      <c r="J984" s="7" t="n">
        <v>-14663.25</v>
      </c>
      <c r="K984" s="7" t="n">
        <f aca="false">I984-J984</f>
        <v>0</v>
      </c>
      <c r="L984" s="4" t="s">
        <v>5422</v>
      </c>
      <c r="M984" s="4" t="s">
        <v>5423</v>
      </c>
      <c r="N984" s="4"/>
    </row>
    <row r="985" customFormat="false" ht="15" hidden="false" customHeight="false" outlineLevel="0" collapsed="false">
      <c r="A985" s="4" t="s">
        <v>5424</v>
      </c>
      <c r="B985" s="4" t="s">
        <v>539</v>
      </c>
      <c r="C985" s="22" t="n">
        <v>0.975</v>
      </c>
      <c r="D985" s="16" t="s">
        <v>5425</v>
      </c>
      <c r="E985" s="16" t="s">
        <v>5426</v>
      </c>
      <c r="F985" s="6" t="n">
        <v>46227</v>
      </c>
      <c r="G985" s="6" t="n">
        <v>46222</v>
      </c>
      <c r="H985" s="23" t="n">
        <f aca="false">ABS(F985-G985)</f>
        <v>5</v>
      </c>
      <c r="I985" s="7" t="n">
        <v>-52959.94</v>
      </c>
      <c r="J985" s="7" t="n">
        <v>-52959.94</v>
      </c>
      <c r="K985" s="7" t="n">
        <f aca="false">I985-J985</f>
        <v>0</v>
      </c>
      <c r="L985" s="4" t="s">
        <v>5427</v>
      </c>
      <c r="M985" s="4" t="s">
        <v>173</v>
      </c>
      <c r="N985" s="4"/>
    </row>
    <row r="986" customFormat="false" ht="15" hidden="false" customHeight="false" outlineLevel="0" collapsed="false">
      <c r="A986" s="4" t="s">
        <v>5428</v>
      </c>
      <c r="B986" s="4" t="s">
        <v>539</v>
      </c>
      <c r="C986" s="22" t="n">
        <v>0.975</v>
      </c>
      <c r="D986" s="16" t="s">
        <v>5429</v>
      </c>
      <c r="E986" s="16" t="s">
        <v>5430</v>
      </c>
      <c r="F986" s="6" t="n">
        <v>46228</v>
      </c>
      <c r="G986" s="6" t="n">
        <v>46223</v>
      </c>
      <c r="H986" s="23" t="n">
        <f aca="false">ABS(F986-G986)</f>
        <v>5</v>
      </c>
      <c r="I986" s="7" t="n">
        <v>-7820.52</v>
      </c>
      <c r="J986" s="7" t="n">
        <v>-7820.52</v>
      </c>
      <c r="K986" s="7" t="n">
        <f aca="false">I986-J986</f>
        <v>0</v>
      </c>
      <c r="L986" s="4" t="s">
        <v>5431</v>
      </c>
      <c r="M986" s="4" t="s">
        <v>5432</v>
      </c>
      <c r="N986" s="4"/>
    </row>
    <row r="987" customFormat="false" ht="15" hidden="false" customHeight="false" outlineLevel="0" collapsed="false">
      <c r="A987" s="4" t="s">
        <v>5433</v>
      </c>
      <c r="B987" s="4" t="s">
        <v>539</v>
      </c>
      <c r="C987" s="22" t="n">
        <v>0.975</v>
      </c>
      <c r="D987" s="16" t="s">
        <v>5434</v>
      </c>
      <c r="E987" s="16" t="s">
        <v>5435</v>
      </c>
      <c r="F987" s="6" t="n">
        <v>46229</v>
      </c>
      <c r="G987" s="6" t="n">
        <v>46224</v>
      </c>
      <c r="H987" s="23" t="n">
        <f aca="false">ABS(F987-G987)</f>
        <v>5</v>
      </c>
      <c r="I987" s="7" t="n">
        <v>-10884.58</v>
      </c>
      <c r="J987" s="7" t="n">
        <v>-10884.58</v>
      </c>
      <c r="K987" s="7" t="n">
        <f aca="false">I987-J987</f>
        <v>0</v>
      </c>
      <c r="L987" s="4" t="s">
        <v>5436</v>
      </c>
      <c r="M987" s="4" t="s">
        <v>5437</v>
      </c>
      <c r="N987" s="4"/>
    </row>
    <row r="988" customFormat="false" ht="15" hidden="false" customHeight="false" outlineLevel="0" collapsed="false">
      <c r="A988" s="4" t="s">
        <v>5438</v>
      </c>
      <c r="B988" s="4" t="s">
        <v>539</v>
      </c>
      <c r="C988" s="22" t="n">
        <v>0.975</v>
      </c>
      <c r="D988" s="16" t="s">
        <v>5439</v>
      </c>
      <c r="E988" s="16" t="s">
        <v>5440</v>
      </c>
      <c r="F988" s="6" t="n">
        <v>46230</v>
      </c>
      <c r="G988" s="6" t="n">
        <v>46225</v>
      </c>
      <c r="H988" s="23" t="n">
        <f aca="false">ABS(F988-G988)</f>
        <v>5</v>
      </c>
      <c r="I988" s="7" t="n">
        <v>-45750.76</v>
      </c>
      <c r="J988" s="7" t="n">
        <v>-45750.76</v>
      </c>
      <c r="K988" s="7" t="n">
        <f aca="false">I988-J988</f>
        <v>0</v>
      </c>
      <c r="L988" s="4" t="s">
        <v>5441</v>
      </c>
      <c r="M988" s="4" t="s">
        <v>5442</v>
      </c>
      <c r="N988" s="4"/>
    </row>
    <row r="989" customFormat="false" ht="15" hidden="false" customHeight="false" outlineLevel="0" collapsed="false">
      <c r="A989" s="4" t="s">
        <v>5443</v>
      </c>
      <c r="B989" s="4" t="s">
        <v>539</v>
      </c>
      <c r="C989" s="22" t="n">
        <v>0.975</v>
      </c>
      <c r="D989" s="16" t="s">
        <v>5444</v>
      </c>
      <c r="E989" s="16" t="s">
        <v>5445</v>
      </c>
      <c r="F989" s="6" t="n">
        <v>46231</v>
      </c>
      <c r="G989" s="6" t="n">
        <v>46226</v>
      </c>
      <c r="H989" s="23" t="n">
        <f aca="false">ABS(F989-G989)</f>
        <v>5</v>
      </c>
      <c r="I989" s="7" t="n">
        <v>-57382.48</v>
      </c>
      <c r="J989" s="7" t="n">
        <v>-57382.48</v>
      </c>
      <c r="K989" s="7" t="n">
        <f aca="false">I989-J989</f>
        <v>0</v>
      </c>
      <c r="L989" s="4" t="s">
        <v>5446</v>
      </c>
      <c r="M989" s="4" t="s">
        <v>5447</v>
      </c>
      <c r="N989" s="4"/>
    </row>
    <row r="990" customFormat="false" ht="15" hidden="false" customHeight="false" outlineLevel="0" collapsed="false">
      <c r="A990" s="4" t="s">
        <v>5448</v>
      </c>
      <c r="B990" s="4" t="s">
        <v>539</v>
      </c>
      <c r="C990" s="22" t="n">
        <v>0.975</v>
      </c>
      <c r="D990" s="16" t="s">
        <v>5449</v>
      </c>
      <c r="E990" s="16" t="s">
        <v>5450</v>
      </c>
      <c r="F990" s="6" t="n">
        <v>46232</v>
      </c>
      <c r="G990" s="6" t="n">
        <v>46227</v>
      </c>
      <c r="H990" s="23" t="n">
        <f aca="false">ABS(F990-G990)</f>
        <v>5</v>
      </c>
      <c r="I990" s="7" t="n">
        <v>-18130.76</v>
      </c>
      <c r="J990" s="7" t="n">
        <v>-18130.76</v>
      </c>
      <c r="K990" s="7" t="n">
        <f aca="false">I990-J990</f>
        <v>0</v>
      </c>
      <c r="L990" s="4" t="s">
        <v>5451</v>
      </c>
      <c r="M990" s="4" t="s">
        <v>5452</v>
      </c>
      <c r="N990" s="4"/>
    </row>
    <row r="991" customFormat="false" ht="15" hidden="false" customHeight="false" outlineLevel="0" collapsed="false">
      <c r="A991" s="4" t="s">
        <v>5453</v>
      </c>
      <c r="B991" s="4" t="s">
        <v>539</v>
      </c>
      <c r="C991" s="22" t="n">
        <v>0.975</v>
      </c>
      <c r="D991" s="16" t="s">
        <v>5454</v>
      </c>
      <c r="E991" s="16" t="s">
        <v>5455</v>
      </c>
      <c r="F991" s="6" t="n">
        <v>46234</v>
      </c>
      <c r="G991" s="6" t="n">
        <v>46229</v>
      </c>
      <c r="H991" s="23" t="n">
        <f aca="false">ABS(F991-G991)</f>
        <v>5</v>
      </c>
      <c r="I991" s="7" t="n">
        <v>-35323.8</v>
      </c>
      <c r="J991" s="7" t="n">
        <v>-35323.8</v>
      </c>
      <c r="K991" s="7" t="n">
        <f aca="false">I991-J991</f>
        <v>0</v>
      </c>
      <c r="L991" s="4" t="s">
        <v>5456</v>
      </c>
      <c r="M991" s="4" t="s">
        <v>5457</v>
      </c>
      <c r="N991" s="4"/>
    </row>
    <row r="992" customFormat="false" ht="15" hidden="false" customHeight="false" outlineLevel="0" collapsed="false">
      <c r="A992" s="4" t="s">
        <v>5458</v>
      </c>
      <c r="B992" s="4" t="s">
        <v>539</v>
      </c>
      <c r="C992" s="22" t="n">
        <v>0.975</v>
      </c>
      <c r="D992" s="16" t="s">
        <v>5459</v>
      </c>
      <c r="E992" s="16" t="s">
        <v>5460</v>
      </c>
      <c r="F992" s="6" t="n">
        <v>46234</v>
      </c>
      <c r="G992" s="6" t="n">
        <v>46229</v>
      </c>
      <c r="H992" s="23" t="n">
        <f aca="false">ABS(F992-G992)</f>
        <v>5</v>
      </c>
      <c r="I992" s="7" t="n">
        <v>-27529.52</v>
      </c>
      <c r="J992" s="7" t="n">
        <v>-27529.52</v>
      </c>
      <c r="K992" s="7" t="n">
        <f aca="false">I992-J992</f>
        <v>0</v>
      </c>
      <c r="L992" s="4" t="s">
        <v>5461</v>
      </c>
      <c r="M992" s="4" t="s">
        <v>5462</v>
      </c>
      <c r="N992" s="4"/>
    </row>
    <row r="993" customFormat="false" ht="15" hidden="false" customHeight="false" outlineLevel="0" collapsed="false">
      <c r="A993" s="4" t="s">
        <v>5463</v>
      </c>
      <c r="B993" s="4" t="s">
        <v>539</v>
      </c>
      <c r="C993" s="22" t="n">
        <v>0.975</v>
      </c>
      <c r="D993" s="16" t="s">
        <v>5464</v>
      </c>
      <c r="E993" s="16" t="s">
        <v>5465</v>
      </c>
      <c r="F993" s="6" t="n">
        <v>46235</v>
      </c>
      <c r="G993" s="6" t="n">
        <v>46230</v>
      </c>
      <c r="H993" s="23" t="n">
        <f aca="false">ABS(F993-G993)</f>
        <v>5</v>
      </c>
      <c r="I993" s="7" t="n">
        <v>-3601.61</v>
      </c>
      <c r="J993" s="7" t="n">
        <v>-3601.61</v>
      </c>
      <c r="K993" s="7" t="n">
        <f aca="false">I993-J993</f>
        <v>0</v>
      </c>
      <c r="L993" s="4" t="s">
        <v>5466</v>
      </c>
      <c r="M993" s="4" t="s">
        <v>5467</v>
      </c>
      <c r="N993" s="4"/>
    </row>
    <row r="994" customFormat="false" ht="15" hidden="false" customHeight="false" outlineLevel="0" collapsed="false">
      <c r="A994" s="4" t="s">
        <v>5468</v>
      </c>
      <c r="B994" s="4" t="s">
        <v>539</v>
      </c>
      <c r="C994" s="22" t="n">
        <v>0.975</v>
      </c>
      <c r="D994" s="16" t="s">
        <v>5469</v>
      </c>
      <c r="E994" s="16" t="s">
        <v>5470</v>
      </c>
      <c r="F994" s="6" t="n">
        <v>46236</v>
      </c>
      <c r="G994" s="6" t="n">
        <v>46231</v>
      </c>
      <c r="H994" s="23" t="n">
        <f aca="false">ABS(F994-G994)</f>
        <v>5</v>
      </c>
      <c r="I994" s="7" t="n">
        <v>-22391.07</v>
      </c>
      <c r="J994" s="7" t="n">
        <v>-22391.07</v>
      </c>
      <c r="K994" s="7" t="n">
        <f aca="false">I994-J994</f>
        <v>0</v>
      </c>
      <c r="L994" s="4" t="s">
        <v>5471</v>
      </c>
      <c r="M994" s="4" t="s">
        <v>5472</v>
      </c>
      <c r="N994" s="4"/>
    </row>
    <row r="995" customFormat="false" ht="15" hidden="false" customHeight="false" outlineLevel="0" collapsed="false">
      <c r="A995" s="4" t="s">
        <v>5473</v>
      </c>
      <c r="B995" s="4" t="s">
        <v>539</v>
      </c>
      <c r="C995" s="22" t="n">
        <v>0.975</v>
      </c>
      <c r="D995" s="16" t="s">
        <v>5474</v>
      </c>
      <c r="E995" s="16" t="s">
        <v>5475</v>
      </c>
      <c r="F995" s="6" t="n">
        <v>46236</v>
      </c>
      <c r="G995" s="6" t="n">
        <v>46231</v>
      </c>
      <c r="H995" s="23" t="n">
        <f aca="false">ABS(F995-G995)</f>
        <v>5</v>
      </c>
      <c r="I995" s="7" t="n">
        <v>-29024.38</v>
      </c>
      <c r="J995" s="7" t="n">
        <v>-29024.38</v>
      </c>
      <c r="K995" s="7" t="n">
        <f aca="false">I995-J995</f>
        <v>0</v>
      </c>
      <c r="L995" s="4" t="s">
        <v>5476</v>
      </c>
      <c r="M995" s="4" t="s">
        <v>5477</v>
      </c>
      <c r="N995" s="4"/>
    </row>
    <row r="996" customFormat="false" ht="15" hidden="false" customHeight="false" outlineLevel="0" collapsed="false">
      <c r="A996" s="4" t="s">
        <v>5478</v>
      </c>
      <c r="B996" s="4" t="s">
        <v>539</v>
      </c>
      <c r="C996" s="22" t="n">
        <v>0.975</v>
      </c>
      <c r="D996" s="16" t="s">
        <v>5479</v>
      </c>
      <c r="E996" s="16" t="s">
        <v>5480</v>
      </c>
      <c r="F996" s="6" t="n">
        <v>46237</v>
      </c>
      <c r="G996" s="6" t="n">
        <v>46232</v>
      </c>
      <c r="H996" s="23" t="n">
        <f aca="false">ABS(F996-G996)</f>
        <v>5</v>
      </c>
      <c r="I996" s="7" t="n">
        <v>-50962.56</v>
      </c>
      <c r="J996" s="7" t="n">
        <v>-50962.56</v>
      </c>
      <c r="K996" s="7" t="n">
        <f aca="false">I996-J996</f>
        <v>0</v>
      </c>
      <c r="L996" s="4" t="s">
        <v>5481</v>
      </c>
      <c r="M996" s="4" t="s">
        <v>5482</v>
      </c>
      <c r="N996" s="4"/>
    </row>
    <row r="997" customFormat="false" ht="15" hidden="false" customHeight="false" outlineLevel="0" collapsed="false">
      <c r="A997" s="4" t="s">
        <v>5483</v>
      </c>
      <c r="B997" s="4" t="s">
        <v>539</v>
      </c>
      <c r="C997" s="22" t="n">
        <v>0.975</v>
      </c>
      <c r="D997" s="16" t="s">
        <v>5484</v>
      </c>
      <c r="E997" s="16" t="s">
        <v>5485</v>
      </c>
      <c r="F997" s="6" t="n">
        <v>46237</v>
      </c>
      <c r="G997" s="6" t="n">
        <v>46232</v>
      </c>
      <c r="H997" s="23" t="n">
        <f aca="false">ABS(F997-G997)</f>
        <v>5</v>
      </c>
      <c r="I997" s="7" t="n">
        <v>-652.95</v>
      </c>
      <c r="J997" s="7" t="n">
        <v>-652.95</v>
      </c>
      <c r="K997" s="7" t="n">
        <f aca="false">I997-J997</f>
        <v>0</v>
      </c>
      <c r="L997" s="4" t="s">
        <v>5486</v>
      </c>
      <c r="M997" s="4" t="s">
        <v>5487</v>
      </c>
      <c r="N997" s="4"/>
    </row>
    <row r="998" customFormat="false" ht="15" hidden="false" customHeight="false" outlineLevel="0" collapsed="false">
      <c r="A998" s="4" t="s">
        <v>5488</v>
      </c>
      <c r="B998" s="4" t="s">
        <v>539</v>
      </c>
      <c r="C998" s="22" t="n">
        <v>0.975</v>
      </c>
      <c r="D998" s="16" t="s">
        <v>5489</v>
      </c>
      <c r="E998" s="16" t="s">
        <v>5490</v>
      </c>
      <c r="F998" s="6" t="n">
        <v>46239</v>
      </c>
      <c r="G998" s="6" t="n">
        <v>46234</v>
      </c>
      <c r="H998" s="23" t="n">
        <f aca="false">ABS(F998-G998)</f>
        <v>5</v>
      </c>
      <c r="I998" s="7" t="n">
        <v>-59687.55</v>
      </c>
      <c r="J998" s="7" t="n">
        <v>-59687.55</v>
      </c>
      <c r="K998" s="7" t="n">
        <f aca="false">I998-J998</f>
        <v>0</v>
      </c>
      <c r="L998" s="4" t="s">
        <v>5491</v>
      </c>
      <c r="M998" s="4" t="s">
        <v>5492</v>
      </c>
      <c r="N998" s="4"/>
    </row>
    <row r="999" customFormat="false" ht="15" hidden="false" customHeight="false" outlineLevel="0" collapsed="false">
      <c r="A999" s="4" t="s">
        <v>5493</v>
      </c>
      <c r="B999" s="4" t="s">
        <v>539</v>
      </c>
      <c r="C999" s="22" t="n">
        <v>0.975</v>
      </c>
      <c r="D999" s="16" t="s">
        <v>5494</v>
      </c>
      <c r="E999" s="16" t="s">
        <v>5495</v>
      </c>
      <c r="F999" s="6" t="n">
        <v>46239</v>
      </c>
      <c r="G999" s="6" t="n">
        <v>46234</v>
      </c>
      <c r="H999" s="23" t="n">
        <f aca="false">ABS(F999-G999)</f>
        <v>5</v>
      </c>
      <c r="I999" s="7" t="n">
        <v>-48894.5</v>
      </c>
      <c r="J999" s="7" t="n">
        <v>-48894.5</v>
      </c>
      <c r="K999" s="7" t="n">
        <f aca="false">I999-J999</f>
        <v>0</v>
      </c>
      <c r="L999" s="4" t="s">
        <v>5496</v>
      </c>
      <c r="M999" s="4" t="s">
        <v>5497</v>
      </c>
      <c r="N999" s="4"/>
    </row>
    <row r="1000" customFormat="false" ht="15" hidden="false" customHeight="false" outlineLevel="0" collapsed="false">
      <c r="A1000" s="4" t="s">
        <v>5498</v>
      </c>
      <c r="B1000" s="4" t="s">
        <v>539</v>
      </c>
      <c r="C1000" s="22" t="n">
        <v>0.975</v>
      </c>
      <c r="D1000" s="16" t="s">
        <v>5499</v>
      </c>
      <c r="E1000" s="16" t="s">
        <v>5500</v>
      </c>
      <c r="F1000" s="6" t="n">
        <v>46240</v>
      </c>
      <c r="G1000" s="6" t="n">
        <v>46235</v>
      </c>
      <c r="H1000" s="23" t="n">
        <f aca="false">ABS(F1000-G1000)</f>
        <v>5</v>
      </c>
      <c r="I1000" s="7" t="n">
        <v>-41912.26</v>
      </c>
      <c r="J1000" s="7" t="n">
        <v>-41912.26</v>
      </c>
      <c r="K1000" s="7" t="n">
        <f aca="false">I1000-J1000</f>
        <v>0</v>
      </c>
      <c r="L1000" s="4" t="s">
        <v>5501</v>
      </c>
      <c r="M1000" s="4" t="s">
        <v>5502</v>
      </c>
      <c r="N1000" s="4"/>
    </row>
    <row r="1001" customFormat="false" ht="15" hidden="false" customHeight="false" outlineLevel="0" collapsed="false">
      <c r="A1001" s="4" t="s">
        <v>5503</v>
      </c>
      <c r="B1001" s="4" t="s">
        <v>539</v>
      </c>
      <c r="C1001" s="22" t="n">
        <v>0.975</v>
      </c>
      <c r="D1001" s="16" t="s">
        <v>5504</v>
      </c>
      <c r="E1001" s="16" t="s">
        <v>5505</v>
      </c>
      <c r="F1001" s="6" t="n">
        <v>46241</v>
      </c>
      <c r="G1001" s="6" t="n">
        <v>46236</v>
      </c>
      <c r="H1001" s="23" t="n">
        <f aca="false">ABS(F1001-G1001)</f>
        <v>5</v>
      </c>
      <c r="I1001" s="7" t="n">
        <v>-39329.93</v>
      </c>
      <c r="J1001" s="7" t="n">
        <v>-39329.93</v>
      </c>
      <c r="K1001" s="7" t="n">
        <f aca="false">I1001-J1001</f>
        <v>0</v>
      </c>
      <c r="L1001" s="4" t="s">
        <v>5506</v>
      </c>
      <c r="M1001" s="4" t="s">
        <v>5507</v>
      </c>
      <c r="N1001" s="4"/>
    </row>
    <row r="1002" customFormat="false" ht="15" hidden="false" customHeight="false" outlineLevel="0" collapsed="false">
      <c r="A1002" s="4" t="s">
        <v>5508</v>
      </c>
      <c r="B1002" s="4" t="s">
        <v>539</v>
      </c>
      <c r="C1002" s="22" t="n">
        <v>0.975</v>
      </c>
      <c r="D1002" s="16" t="s">
        <v>5509</v>
      </c>
      <c r="E1002" s="16" t="s">
        <v>5510</v>
      </c>
      <c r="F1002" s="6" t="n">
        <v>46241</v>
      </c>
      <c r="G1002" s="6" t="n">
        <v>46236</v>
      </c>
      <c r="H1002" s="23" t="n">
        <f aca="false">ABS(F1002-G1002)</f>
        <v>5</v>
      </c>
      <c r="I1002" s="7" t="n">
        <v>-55613.87</v>
      </c>
      <c r="J1002" s="7" t="n">
        <v>-55613.87</v>
      </c>
      <c r="K1002" s="7" t="n">
        <f aca="false">I1002-J1002</f>
        <v>0</v>
      </c>
      <c r="L1002" s="4" t="s">
        <v>5511</v>
      </c>
      <c r="M1002" s="4" t="s">
        <v>5512</v>
      </c>
      <c r="N1002" s="4"/>
    </row>
    <row r="1003" customFormat="false" ht="15" hidden="false" customHeight="false" outlineLevel="0" collapsed="false">
      <c r="A1003" s="4" t="s">
        <v>5513</v>
      </c>
      <c r="B1003" s="4" t="s">
        <v>539</v>
      </c>
      <c r="C1003" s="22" t="n">
        <v>0.975</v>
      </c>
      <c r="D1003" s="16" t="s">
        <v>5514</v>
      </c>
      <c r="E1003" s="16" t="s">
        <v>5515</v>
      </c>
      <c r="F1003" s="6" t="n">
        <v>46243</v>
      </c>
      <c r="G1003" s="6" t="n">
        <v>46238</v>
      </c>
      <c r="H1003" s="23" t="n">
        <f aca="false">ABS(F1003-G1003)</f>
        <v>5</v>
      </c>
      <c r="I1003" s="7" t="n">
        <v>-44018.2</v>
      </c>
      <c r="J1003" s="7" t="n">
        <v>-44018.2</v>
      </c>
      <c r="K1003" s="7" t="n">
        <f aca="false">I1003-J1003</f>
        <v>0</v>
      </c>
      <c r="L1003" s="4" t="s">
        <v>5516</v>
      </c>
      <c r="M1003" s="4" t="s">
        <v>5517</v>
      </c>
      <c r="N1003" s="4"/>
    </row>
    <row r="1004" customFormat="false" ht="15" hidden="false" customHeight="false" outlineLevel="0" collapsed="false">
      <c r="A1004" s="4" t="s">
        <v>5518</v>
      </c>
      <c r="B1004" s="4" t="s">
        <v>539</v>
      </c>
      <c r="C1004" s="22" t="n">
        <v>0.975</v>
      </c>
      <c r="D1004" s="16" t="s">
        <v>5519</v>
      </c>
      <c r="E1004" s="16" t="s">
        <v>5520</v>
      </c>
      <c r="F1004" s="6" t="n">
        <v>46246</v>
      </c>
      <c r="G1004" s="6" t="n">
        <v>46241</v>
      </c>
      <c r="H1004" s="23" t="n">
        <f aca="false">ABS(F1004-G1004)</f>
        <v>5</v>
      </c>
      <c r="I1004" s="7" t="n">
        <v>-7075.45</v>
      </c>
      <c r="J1004" s="7" t="n">
        <v>-7075.45</v>
      </c>
      <c r="K1004" s="7" t="n">
        <f aca="false">I1004-J1004</f>
        <v>0</v>
      </c>
      <c r="L1004" s="4" t="s">
        <v>5521</v>
      </c>
      <c r="M1004" s="4" t="s">
        <v>5522</v>
      </c>
      <c r="N1004" s="4"/>
    </row>
    <row r="1005" customFormat="false" ht="15" hidden="false" customHeight="false" outlineLevel="0" collapsed="false">
      <c r="A1005" s="4" t="s">
        <v>5523</v>
      </c>
      <c r="B1005" s="4" t="s">
        <v>539</v>
      </c>
      <c r="C1005" s="22" t="n">
        <v>0.975</v>
      </c>
      <c r="D1005" s="16" t="s">
        <v>5524</v>
      </c>
      <c r="E1005" s="16" t="s">
        <v>5525</v>
      </c>
      <c r="F1005" s="6" t="n">
        <v>46246</v>
      </c>
      <c r="G1005" s="6" t="n">
        <v>46241</v>
      </c>
      <c r="H1005" s="23" t="n">
        <f aca="false">ABS(F1005-G1005)</f>
        <v>5</v>
      </c>
      <c r="I1005" s="7" t="n">
        <v>-9439.57</v>
      </c>
      <c r="J1005" s="7" t="n">
        <v>-9439.57</v>
      </c>
      <c r="K1005" s="7" t="n">
        <f aca="false">I1005-J1005</f>
        <v>0</v>
      </c>
      <c r="L1005" s="4" t="s">
        <v>5526</v>
      </c>
      <c r="M1005" s="4" t="s">
        <v>5527</v>
      </c>
      <c r="N1005" s="4"/>
    </row>
    <row r="1006" customFormat="false" ht="15" hidden="false" customHeight="false" outlineLevel="0" collapsed="false">
      <c r="A1006" s="4" t="s">
        <v>5528</v>
      </c>
      <c r="B1006" s="4" t="s">
        <v>539</v>
      </c>
      <c r="C1006" s="22" t="n">
        <v>0.975</v>
      </c>
      <c r="D1006" s="16" t="s">
        <v>5529</v>
      </c>
      <c r="E1006" s="16" t="s">
        <v>5530</v>
      </c>
      <c r="F1006" s="6" t="n">
        <v>46247</v>
      </c>
      <c r="G1006" s="6" t="n">
        <v>46242</v>
      </c>
      <c r="H1006" s="23" t="n">
        <f aca="false">ABS(F1006-G1006)</f>
        <v>5</v>
      </c>
      <c r="I1006" s="7" t="n">
        <v>-4446.35</v>
      </c>
      <c r="J1006" s="7" t="n">
        <v>-4446.35</v>
      </c>
      <c r="K1006" s="7" t="n">
        <f aca="false">I1006-J1006</f>
        <v>0</v>
      </c>
      <c r="L1006" s="4" t="s">
        <v>5531</v>
      </c>
      <c r="M1006" s="4" t="s">
        <v>5532</v>
      </c>
      <c r="N1006" s="4"/>
    </row>
    <row r="1007" customFormat="false" ht="15" hidden="false" customHeight="false" outlineLevel="0" collapsed="false">
      <c r="A1007" s="4" t="s">
        <v>5533</v>
      </c>
      <c r="B1007" s="4" t="s">
        <v>539</v>
      </c>
      <c r="C1007" s="22" t="n">
        <v>0.975</v>
      </c>
      <c r="D1007" s="16" t="s">
        <v>5534</v>
      </c>
      <c r="E1007" s="16" t="s">
        <v>5535</v>
      </c>
      <c r="F1007" s="6" t="n">
        <v>46248</v>
      </c>
      <c r="G1007" s="6" t="n">
        <v>46243</v>
      </c>
      <c r="H1007" s="23" t="n">
        <f aca="false">ABS(F1007-G1007)</f>
        <v>5</v>
      </c>
      <c r="I1007" s="7" t="n">
        <v>-47184.71</v>
      </c>
      <c r="J1007" s="7" t="n">
        <v>-47184.71</v>
      </c>
      <c r="K1007" s="7" t="n">
        <f aca="false">I1007-J1007</f>
        <v>0</v>
      </c>
      <c r="L1007" s="4" t="s">
        <v>5536</v>
      </c>
      <c r="M1007" s="4" t="s">
        <v>5537</v>
      </c>
      <c r="N1007" s="4"/>
    </row>
    <row r="1008" customFormat="false" ht="15" hidden="false" customHeight="false" outlineLevel="0" collapsed="false">
      <c r="A1008" s="4" t="s">
        <v>5538</v>
      </c>
      <c r="B1008" s="4" t="s">
        <v>539</v>
      </c>
      <c r="C1008" s="22" t="n">
        <v>0.975</v>
      </c>
      <c r="D1008" s="16" t="s">
        <v>5539</v>
      </c>
      <c r="E1008" s="16" t="s">
        <v>5540</v>
      </c>
      <c r="F1008" s="6" t="n">
        <v>46248</v>
      </c>
      <c r="G1008" s="6" t="n">
        <v>46243</v>
      </c>
      <c r="H1008" s="23" t="n">
        <f aca="false">ABS(F1008-G1008)</f>
        <v>5</v>
      </c>
      <c r="I1008" s="7" t="n">
        <v>-46671.51</v>
      </c>
      <c r="J1008" s="7" t="n">
        <v>-46671.51</v>
      </c>
      <c r="K1008" s="7" t="n">
        <f aca="false">I1008-J1008</f>
        <v>0</v>
      </c>
      <c r="L1008" s="4" t="s">
        <v>5541</v>
      </c>
      <c r="M1008" s="4" t="s">
        <v>5542</v>
      </c>
      <c r="N1008" s="4"/>
    </row>
    <row r="1009" customFormat="false" ht="15" hidden="false" customHeight="false" outlineLevel="0" collapsed="false">
      <c r="A1009" s="4" t="s">
        <v>5543</v>
      </c>
      <c r="B1009" s="4" t="s">
        <v>539</v>
      </c>
      <c r="C1009" s="22" t="n">
        <v>0.975</v>
      </c>
      <c r="D1009" s="16" t="s">
        <v>5544</v>
      </c>
      <c r="E1009" s="16" t="s">
        <v>5545</v>
      </c>
      <c r="F1009" s="6" t="n">
        <v>46250</v>
      </c>
      <c r="G1009" s="6" t="n">
        <v>46245</v>
      </c>
      <c r="H1009" s="23" t="n">
        <f aca="false">ABS(F1009-G1009)</f>
        <v>5</v>
      </c>
      <c r="I1009" s="7" t="n">
        <v>-41804.27</v>
      </c>
      <c r="J1009" s="7" t="n">
        <v>-41804.27</v>
      </c>
      <c r="K1009" s="7" t="n">
        <f aca="false">I1009-J1009</f>
        <v>0</v>
      </c>
      <c r="L1009" s="4" t="s">
        <v>5546</v>
      </c>
      <c r="M1009" s="4" t="s">
        <v>5547</v>
      </c>
      <c r="N1009" s="4"/>
    </row>
    <row r="1010" customFormat="false" ht="15" hidden="false" customHeight="false" outlineLevel="0" collapsed="false">
      <c r="A1010" s="4" t="s">
        <v>5548</v>
      </c>
      <c r="B1010" s="4" t="s">
        <v>539</v>
      </c>
      <c r="C1010" s="22" t="n">
        <v>0.975</v>
      </c>
      <c r="D1010" s="16" t="s">
        <v>5549</v>
      </c>
      <c r="E1010" s="16" t="s">
        <v>5550</v>
      </c>
      <c r="F1010" s="6" t="n">
        <v>46251</v>
      </c>
      <c r="G1010" s="6" t="n">
        <v>46246</v>
      </c>
      <c r="H1010" s="23" t="n">
        <f aca="false">ABS(F1010-G1010)</f>
        <v>5</v>
      </c>
      <c r="I1010" s="7" t="n">
        <v>-34014.48</v>
      </c>
      <c r="J1010" s="7" t="n">
        <v>-34014.48</v>
      </c>
      <c r="K1010" s="7" t="n">
        <f aca="false">I1010-J1010</f>
        <v>0</v>
      </c>
      <c r="L1010" s="4" t="s">
        <v>5551</v>
      </c>
      <c r="M1010" s="4" t="s">
        <v>5552</v>
      </c>
      <c r="N1010" s="4"/>
    </row>
    <row r="1011" customFormat="false" ht="15" hidden="false" customHeight="false" outlineLevel="0" collapsed="false">
      <c r="A1011" s="4" t="s">
        <v>5553</v>
      </c>
      <c r="B1011" s="4" t="s">
        <v>539</v>
      </c>
      <c r="C1011" s="22" t="n">
        <v>0.975</v>
      </c>
      <c r="D1011" s="16" t="s">
        <v>5554</v>
      </c>
      <c r="E1011" s="16" t="s">
        <v>5555</v>
      </c>
      <c r="F1011" s="6" t="n">
        <v>46251</v>
      </c>
      <c r="G1011" s="6" t="n">
        <v>46246</v>
      </c>
      <c r="H1011" s="23" t="n">
        <f aca="false">ABS(F1011-G1011)</f>
        <v>5</v>
      </c>
      <c r="I1011" s="7" t="n">
        <v>-5496.32</v>
      </c>
      <c r="J1011" s="7" t="n">
        <v>-5496.32</v>
      </c>
      <c r="K1011" s="7" t="n">
        <f aca="false">I1011-J1011</f>
        <v>0</v>
      </c>
      <c r="L1011" s="4" t="s">
        <v>5556</v>
      </c>
      <c r="M1011" s="4" t="s">
        <v>5557</v>
      </c>
      <c r="N1011" s="4"/>
    </row>
    <row r="1012" customFormat="false" ht="15" hidden="false" customHeight="false" outlineLevel="0" collapsed="false">
      <c r="A1012" s="4" t="s">
        <v>5558</v>
      </c>
      <c r="B1012" s="4" t="s">
        <v>539</v>
      </c>
      <c r="C1012" s="22" t="n">
        <v>0.975</v>
      </c>
      <c r="D1012" s="16" t="s">
        <v>5559</v>
      </c>
      <c r="E1012" s="16" t="s">
        <v>5560</v>
      </c>
      <c r="F1012" s="6" t="n">
        <v>46252</v>
      </c>
      <c r="G1012" s="6" t="n">
        <v>46247</v>
      </c>
      <c r="H1012" s="23" t="n">
        <f aca="false">ABS(F1012-G1012)</f>
        <v>5</v>
      </c>
      <c r="I1012" s="7" t="n">
        <v>-22335.45</v>
      </c>
      <c r="J1012" s="7" t="n">
        <v>-22335.45</v>
      </c>
      <c r="K1012" s="7" t="n">
        <f aca="false">I1012-J1012</f>
        <v>0</v>
      </c>
      <c r="L1012" s="4" t="s">
        <v>5561</v>
      </c>
      <c r="M1012" s="4" t="s">
        <v>5562</v>
      </c>
      <c r="N1012" s="4"/>
    </row>
    <row r="1013" customFormat="false" ht="15" hidden="false" customHeight="false" outlineLevel="0" collapsed="false">
      <c r="A1013" s="4" t="s">
        <v>5563</v>
      </c>
      <c r="B1013" s="4" t="s">
        <v>539</v>
      </c>
      <c r="C1013" s="22" t="n">
        <v>0.975</v>
      </c>
      <c r="D1013" s="16" t="s">
        <v>5564</v>
      </c>
      <c r="E1013" s="16" t="s">
        <v>5565</v>
      </c>
      <c r="F1013" s="6" t="n">
        <v>46252</v>
      </c>
      <c r="G1013" s="6" t="n">
        <v>46247</v>
      </c>
      <c r="H1013" s="23" t="n">
        <f aca="false">ABS(F1013-G1013)</f>
        <v>5</v>
      </c>
      <c r="I1013" s="7" t="n">
        <v>-4785.82</v>
      </c>
      <c r="J1013" s="7" t="n">
        <v>-4785.82</v>
      </c>
      <c r="K1013" s="7" t="n">
        <f aca="false">I1013-J1013</f>
        <v>0</v>
      </c>
      <c r="L1013" s="4" t="s">
        <v>5566</v>
      </c>
      <c r="M1013" s="4" t="s">
        <v>5567</v>
      </c>
      <c r="N1013" s="4"/>
    </row>
    <row r="1014" customFormat="false" ht="15" hidden="false" customHeight="false" outlineLevel="0" collapsed="false">
      <c r="A1014" s="4" t="s">
        <v>5568</v>
      </c>
      <c r="B1014" s="4" t="s">
        <v>539</v>
      </c>
      <c r="C1014" s="22" t="n">
        <v>0.975</v>
      </c>
      <c r="D1014" s="16" t="s">
        <v>5569</v>
      </c>
      <c r="E1014" s="16" t="s">
        <v>5570</v>
      </c>
      <c r="F1014" s="6" t="n">
        <v>46253</v>
      </c>
      <c r="G1014" s="6" t="n">
        <v>46248</v>
      </c>
      <c r="H1014" s="23" t="n">
        <f aca="false">ABS(F1014-G1014)</f>
        <v>5</v>
      </c>
      <c r="I1014" s="7" t="n">
        <v>-46738.68</v>
      </c>
      <c r="J1014" s="7" t="n">
        <v>-46738.68</v>
      </c>
      <c r="K1014" s="7" t="n">
        <f aca="false">I1014-J1014</f>
        <v>0</v>
      </c>
      <c r="L1014" s="4" t="s">
        <v>5571</v>
      </c>
      <c r="M1014" s="4" t="s">
        <v>5572</v>
      </c>
      <c r="N1014" s="4"/>
    </row>
    <row r="1015" customFormat="false" ht="15" hidden="false" customHeight="false" outlineLevel="0" collapsed="false">
      <c r="A1015" s="4" t="s">
        <v>5573</v>
      </c>
      <c r="B1015" s="4" t="s">
        <v>539</v>
      </c>
      <c r="C1015" s="22" t="n">
        <v>0.975</v>
      </c>
      <c r="D1015" s="16" t="s">
        <v>5574</v>
      </c>
      <c r="E1015" s="16" t="s">
        <v>5575</v>
      </c>
      <c r="F1015" s="6" t="n">
        <v>46253</v>
      </c>
      <c r="G1015" s="6" t="n">
        <v>46248</v>
      </c>
      <c r="H1015" s="23" t="n">
        <f aca="false">ABS(F1015-G1015)</f>
        <v>5</v>
      </c>
      <c r="I1015" s="7" t="n">
        <v>-56182.69</v>
      </c>
      <c r="J1015" s="7" t="n">
        <v>-56182.69</v>
      </c>
      <c r="K1015" s="7" t="n">
        <f aca="false">I1015-J1015</f>
        <v>0</v>
      </c>
      <c r="L1015" s="4" t="s">
        <v>5576</v>
      </c>
      <c r="M1015" s="4" t="s">
        <v>5577</v>
      </c>
      <c r="N1015" s="4"/>
    </row>
    <row r="1016" customFormat="false" ht="15" hidden="false" customHeight="false" outlineLevel="0" collapsed="false">
      <c r="A1016" s="4" t="s">
        <v>5578</v>
      </c>
      <c r="B1016" s="4" t="s">
        <v>539</v>
      </c>
      <c r="C1016" s="22" t="n">
        <v>0.975</v>
      </c>
      <c r="D1016" s="16" t="s">
        <v>5579</v>
      </c>
      <c r="E1016" s="16" t="s">
        <v>5580</v>
      </c>
      <c r="F1016" s="6" t="n">
        <v>46254</v>
      </c>
      <c r="G1016" s="6" t="n">
        <v>46249</v>
      </c>
      <c r="H1016" s="23" t="n">
        <f aca="false">ABS(F1016-G1016)</f>
        <v>5</v>
      </c>
      <c r="I1016" s="7" t="n">
        <v>-31720.17</v>
      </c>
      <c r="J1016" s="7" t="n">
        <v>-31720.17</v>
      </c>
      <c r="K1016" s="7" t="n">
        <f aca="false">I1016-J1016</f>
        <v>0</v>
      </c>
      <c r="L1016" s="4" t="s">
        <v>5581</v>
      </c>
      <c r="M1016" s="4" t="s">
        <v>5582</v>
      </c>
      <c r="N1016" s="4"/>
    </row>
    <row r="1017" customFormat="false" ht="15" hidden="false" customHeight="false" outlineLevel="0" collapsed="false">
      <c r="A1017" s="4" t="s">
        <v>5583</v>
      </c>
      <c r="B1017" s="4" t="s">
        <v>539</v>
      </c>
      <c r="C1017" s="22" t="n">
        <v>0.975</v>
      </c>
      <c r="D1017" s="16" t="s">
        <v>5584</v>
      </c>
      <c r="E1017" s="16" t="s">
        <v>5585</v>
      </c>
      <c r="F1017" s="6" t="n">
        <v>46255</v>
      </c>
      <c r="G1017" s="6" t="n">
        <v>46250</v>
      </c>
      <c r="H1017" s="23" t="n">
        <f aca="false">ABS(F1017-G1017)</f>
        <v>5</v>
      </c>
      <c r="I1017" s="7" t="n">
        <v>-10995.41</v>
      </c>
      <c r="J1017" s="7" t="n">
        <v>-10995.41</v>
      </c>
      <c r="K1017" s="7" t="n">
        <f aca="false">I1017-J1017</f>
        <v>0</v>
      </c>
      <c r="L1017" s="4" t="s">
        <v>5586</v>
      </c>
      <c r="M1017" s="4" t="s">
        <v>5587</v>
      </c>
      <c r="N1017" s="4"/>
    </row>
    <row r="1018" customFormat="false" ht="15" hidden="false" customHeight="false" outlineLevel="0" collapsed="false">
      <c r="A1018" s="4" t="s">
        <v>5588</v>
      </c>
      <c r="B1018" s="4" t="s">
        <v>539</v>
      </c>
      <c r="C1018" s="22" t="n">
        <v>0.975</v>
      </c>
      <c r="D1018" s="16" t="s">
        <v>5589</v>
      </c>
      <c r="E1018" s="16" t="s">
        <v>5590</v>
      </c>
      <c r="F1018" s="6" t="n">
        <v>46258</v>
      </c>
      <c r="G1018" s="6" t="n">
        <v>46253</v>
      </c>
      <c r="H1018" s="23" t="n">
        <f aca="false">ABS(F1018-G1018)</f>
        <v>5</v>
      </c>
      <c r="I1018" s="7" t="n">
        <v>-18991.94</v>
      </c>
      <c r="J1018" s="7" t="n">
        <v>-18991.94</v>
      </c>
      <c r="K1018" s="7" t="n">
        <f aca="false">I1018-J1018</f>
        <v>0</v>
      </c>
      <c r="L1018" s="4" t="s">
        <v>5591</v>
      </c>
      <c r="M1018" s="4" t="s">
        <v>5592</v>
      </c>
      <c r="N1018" s="4"/>
    </row>
    <row r="1019" customFormat="false" ht="15" hidden="false" customHeight="false" outlineLevel="0" collapsed="false">
      <c r="A1019" s="4" t="s">
        <v>5593</v>
      </c>
      <c r="B1019" s="4" t="s">
        <v>539</v>
      </c>
      <c r="C1019" s="22" t="n">
        <v>0.975</v>
      </c>
      <c r="D1019" s="16" t="s">
        <v>5594</v>
      </c>
      <c r="E1019" s="16" t="s">
        <v>5595</v>
      </c>
      <c r="F1019" s="6" t="n">
        <v>46260</v>
      </c>
      <c r="G1019" s="6" t="n">
        <v>46255</v>
      </c>
      <c r="H1019" s="23" t="n">
        <f aca="false">ABS(F1019-G1019)</f>
        <v>5</v>
      </c>
      <c r="I1019" s="7" t="n">
        <v>-25102.95</v>
      </c>
      <c r="J1019" s="7" t="n">
        <v>-25102.95</v>
      </c>
      <c r="K1019" s="7" t="n">
        <f aca="false">I1019-J1019</f>
        <v>0</v>
      </c>
      <c r="L1019" s="4" t="s">
        <v>5596</v>
      </c>
      <c r="M1019" s="4" t="s">
        <v>5597</v>
      </c>
      <c r="N1019" s="4"/>
    </row>
    <row r="1020" customFormat="false" ht="15" hidden="false" customHeight="false" outlineLevel="0" collapsed="false">
      <c r="A1020" s="4" t="s">
        <v>5598</v>
      </c>
      <c r="B1020" s="4" t="s">
        <v>539</v>
      </c>
      <c r="C1020" s="22" t="n">
        <v>0.975</v>
      </c>
      <c r="D1020" s="16" t="s">
        <v>5599</v>
      </c>
      <c r="E1020" s="16" t="s">
        <v>5600</v>
      </c>
      <c r="F1020" s="6" t="n">
        <v>46260</v>
      </c>
      <c r="G1020" s="6" t="n">
        <v>46255</v>
      </c>
      <c r="H1020" s="23" t="n">
        <f aca="false">ABS(F1020-G1020)</f>
        <v>5</v>
      </c>
      <c r="I1020" s="7" t="n">
        <v>-48501.73</v>
      </c>
      <c r="J1020" s="7" t="n">
        <v>-48501.73</v>
      </c>
      <c r="K1020" s="7" t="n">
        <f aca="false">I1020-J1020</f>
        <v>0</v>
      </c>
      <c r="L1020" s="4" t="s">
        <v>5601</v>
      </c>
      <c r="M1020" s="4" t="s">
        <v>5602</v>
      </c>
      <c r="N1020" s="4"/>
    </row>
    <row r="1021" customFormat="false" ht="15" hidden="false" customHeight="false" outlineLevel="0" collapsed="false">
      <c r="A1021" s="4" t="s">
        <v>5603</v>
      </c>
      <c r="B1021" s="4" t="s">
        <v>539</v>
      </c>
      <c r="C1021" s="22" t="n">
        <v>0.975</v>
      </c>
      <c r="D1021" s="16" t="s">
        <v>5604</v>
      </c>
      <c r="E1021" s="16" t="s">
        <v>5605</v>
      </c>
      <c r="F1021" s="6" t="n">
        <v>46261</v>
      </c>
      <c r="G1021" s="6" t="n">
        <v>46256</v>
      </c>
      <c r="H1021" s="23" t="n">
        <f aca="false">ABS(F1021-G1021)</f>
        <v>5</v>
      </c>
      <c r="I1021" s="7" t="n">
        <v>-5273.6</v>
      </c>
      <c r="J1021" s="7" t="n">
        <v>-5273.6</v>
      </c>
      <c r="K1021" s="7" t="n">
        <f aca="false">I1021-J1021</f>
        <v>0</v>
      </c>
      <c r="L1021" s="4" t="s">
        <v>5606</v>
      </c>
      <c r="M1021" s="4" t="s">
        <v>5607</v>
      </c>
      <c r="N1021" s="4"/>
    </row>
    <row r="1022" customFormat="false" ht="15" hidden="false" customHeight="false" outlineLevel="0" collapsed="false">
      <c r="A1022" s="4" t="s">
        <v>5608</v>
      </c>
      <c r="B1022" s="4" t="s">
        <v>539</v>
      </c>
      <c r="C1022" s="22" t="n">
        <v>0.975</v>
      </c>
      <c r="D1022" s="16" t="s">
        <v>5609</v>
      </c>
      <c r="E1022" s="16" t="s">
        <v>5610</v>
      </c>
      <c r="F1022" s="6" t="n">
        <v>46261</v>
      </c>
      <c r="G1022" s="6" t="n">
        <v>46256</v>
      </c>
      <c r="H1022" s="23" t="n">
        <f aca="false">ABS(F1022-G1022)</f>
        <v>5</v>
      </c>
      <c r="I1022" s="7" t="n">
        <v>-20179.79</v>
      </c>
      <c r="J1022" s="7" t="n">
        <v>-20179.79</v>
      </c>
      <c r="K1022" s="7" t="n">
        <f aca="false">I1022-J1022</f>
        <v>0</v>
      </c>
      <c r="L1022" s="4" t="s">
        <v>5611</v>
      </c>
      <c r="M1022" s="4" t="s">
        <v>5612</v>
      </c>
      <c r="N1022" s="4"/>
    </row>
    <row r="1023" customFormat="false" ht="15" hidden="false" customHeight="false" outlineLevel="0" collapsed="false">
      <c r="A1023" s="4" t="s">
        <v>5613</v>
      </c>
      <c r="B1023" s="4" t="s">
        <v>539</v>
      </c>
      <c r="C1023" s="22" t="n">
        <v>0.975</v>
      </c>
      <c r="D1023" s="16" t="s">
        <v>5614</v>
      </c>
      <c r="E1023" s="16" t="s">
        <v>5615</v>
      </c>
      <c r="F1023" s="6" t="n">
        <v>46262</v>
      </c>
      <c r="G1023" s="6" t="n">
        <v>46257</v>
      </c>
      <c r="H1023" s="23" t="n">
        <f aca="false">ABS(F1023-G1023)</f>
        <v>5</v>
      </c>
      <c r="I1023" s="7" t="n">
        <v>-54861.93</v>
      </c>
      <c r="J1023" s="7" t="n">
        <v>-54861.93</v>
      </c>
      <c r="K1023" s="7" t="n">
        <f aca="false">I1023-J1023</f>
        <v>0</v>
      </c>
      <c r="L1023" s="4" t="s">
        <v>5616</v>
      </c>
      <c r="M1023" s="4" t="s">
        <v>5617</v>
      </c>
      <c r="N1023" s="4"/>
    </row>
    <row r="1024" customFormat="false" ht="15" hidden="false" customHeight="false" outlineLevel="0" collapsed="false">
      <c r="A1024" s="4" t="s">
        <v>5618</v>
      </c>
      <c r="B1024" s="4" t="s">
        <v>539</v>
      </c>
      <c r="C1024" s="22" t="n">
        <v>0.975</v>
      </c>
      <c r="D1024" s="16" t="s">
        <v>5619</v>
      </c>
      <c r="E1024" s="16" t="s">
        <v>5620</v>
      </c>
      <c r="F1024" s="6" t="n">
        <v>46262</v>
      </c>
      <c r="G1024" s="6" t="n">
        <v>46257</v>
      </c>
      <c r="H1024" s="23" t="n">
        <f aca="false">ABS(F1024-G1024)</f>
        <v>5</v>
      </c>
      <c r="I1024" s="7" t="n">
        <v>-23989.56</v>
      </c>
      <c r="J1024" s="7" t="n">
        <v>-23989.56</v>
      </c>
      <c r="K1024" s="7" t="n">
        <f aca="false">I1024-J1024</f>
        <v>0</v>
      </c>
      <c r="L1024" s="4" t="s">
        <v>5621</v>
      </c>
      <c r="M1024" s="4" t="s">
        <v>5622</v>
      </c>
      <c r="N1024" s="4"/>
    </row>
    <row r="1025" customFormat="false" ht="15" hidden="false" customHeight="false" outlineLevel="0" collapsed="false">
      <c r="A1025" s="4" t="s">
        <v>5623</v>
      </c>
      <c r="B1025" s="4" t="s">
        <v>539</v>
      </c>
      <c r="C1025" s="22" t="n">
        <v>0.975</v>
      </c>
      <c r="D1025" s="16" t="s">
        <v>5624</v>
      </c>
      <c r="E1025" s="16" t="s">
        <v>5625</v>
      </c>
      <c r="F1025" s="6" t="n">
        <v>46263</v>
      </c>
      <c r="G1025" s="6" t="n">
        <v>46258</v>
      </c>
      <c r="H1025" s="23" t="n">
        <f aca="false">ABS(F1025-G1025)</f>
        <v>5</v>
      </c>
      <c r="I1025" s="7" t="n">
        <v>-42046.18</v>
      </c>
      <c r="J1025" s="7" t="n">
        <v>-42046.18</v>
      </c>
      <c r="K1025" s="7" t="n">
        <f aca="false">I1025-J1025</f>
        <v>0</v>
      </c>
      <c r="L1025" s="4" t="s">
        <v>5626</v>
      </c>
      <c r="M1025" s="4" t="s">
        <v>5627</v>
      </c>
      <c r="N1025" s="4"/>
    </row>
    <row r="1026" customFormat="false" ht="15" hidden="false" customHeight="false" outlineLevel="0" collapsed="false">
      <c r="A1026" s="4" t="s">
        <v>5628</v>
      </c>
      <c r="B1026" s="4" t="s">
        <v>539</v>
      </c>
      <c r="C1026" s="22" t="n">
        <v>0.975</v>
      </c>
      <c r="D1026" s="16" t="s">
        <v>5629</v>
      </c>
      <c r="E1026" s="16" t="s">
        <v>5630</v>
      </c>
      <c r="F1026" s="6" t="n">
        <v>46263</v>
      </c>
      <c r="G1026" s="6" t="n">
        <v>46258</v>
      </c>
      <c r="H1026" s="23" t="n">
        <f aca="false">ABS(F1026-G1026)</f>
        <v>5</v>
      </c>
      <c r="I1026" s="7" t="n">
        <v>-58248.04</v>
      </c>
      <c r="J1026" s="7" t="n">
        <v>-58248.04</v>
      </c>
      <c r="K1026" s="7" t="n">
        <f aca="false">I1026-J1026</f>
        <v>0</v>
      </c>
      <c r="L1026" s="4" t="s">
        <v>5631</v>
      </c>
      <c r="M1026" s="4" t="s">
        <v>5632</v>
      </c>
      <c r="N1026" s="4"/>
    </row>
    <row r="1027" customFormat="false" ht="15" hidden="false" customHeight="false" outlineLevel="0" collapsed="false">
      <c r="A1027" s="4" t="s">
        <v>5633</v>
      </c>
      <c r="B1027" s="4" t="s">
        <v>539</v>
      </c>
      <c r="C1027" s="22" t="n">
        <v>0.975</v>
      </c>
      <c r="D1027" s="16" t="s">
        <v>5634</v>
      </c>
      <c r="E1027" s="16" t="s">
        <v>5635</v>
      </c>
      <c r="F1027" s="6" t="n">
        <v>46266</v>
      </c>
      <c r="G1027" s="6" t="n">
        <v>46261</v>
      </c>
      <c r="H1027" s="23" t="n">
        <f aca="false">ABS(F1027-G1027)</f>
        <v>5</v>
      </c>
      <c r="I1027" s="7" t="n">
        <v>-12664.51</v>
      </c>
      <c r="J1027" s="7" t="n">
        <v>-12664.51</v>
      </c>
      <c r="K1027" s="7" t="n">
        <f aca="false">I1027-J1027</f>
        <v>0</v>
      </c>
      <c r="L1027" s="4" t="s">
        <v>5636</v>
      </c>
      <c r="M1027" s="4" t="s">
        <v>5637</v>
      </c>
      <c r="N1027" s="4"/>
    </row>
    <row r="1028" customFormat="false" ht="15" hidden="false" customHeight="false" outlineLevel="0" collapsed="false">
      <c r="A1028" s="4" t="s">
        <v>5638</v>
      </c>
      <c r="B1028" s="4" t="s">
        <v>539</v>
      </c>
      <c r="C1028" s="22" t="n">
        <v>0.975</v>
      </c>
      <c r="D1028" s="16" t="s">
        <v>5639</v>
      </c>
      <c r="E1028" s="16" t="s">
        <v>5640</v>
      </c>
      <c r="F1028" s="6" t="n">
        <v>46266</v>
      </c>
      <c r="G1028" s="6" t="n">
        <v>46261</v>
      </c>
      <c r="H1028" s="23" t="n">
        <f aca="false">ABS(F1028-G1028)</f>
        <v>5</v>
      </c>
      <c r="I1028" s="7" t="n">
        <v>-41853.43</v>
      </c>
      <c r="J1028" s="7" t="n">
        <v>-41853.43</v>
      </c>
      <c r="K1028" s="7" t="n">
        <f aca="false">I1028-J1028</f>
        <v>0</v>
      </c>
      <c r="L1028" s="4" t="s">
        <v>5641</v>
      </c>
      <c r="M1028" s="4" t="s">
        <v>5642</v>
      </c>
      <c r="N1028" s="4"/>
    </row>
    <row r="1029" customFormat="false" ht="15" hidden="false" customHeight="false" outlineLevel="0" collapsed="false">
      <c r="A1029" s="4" t="s">
        <v>5643</v>
      </c>
      <c r="B1029" s="4" t="s">
        <v>539</v>
      </c>
      <c r="C1029" s="22" t="n">
        <v>0.975</v>
      </c>
      <c r="D1029" s="16" t="s">
        <v>5644</v>
      </c>
      <c r="E1029" s="16" t="s">
        <v>5645</v>
      </c>
      <c r="F1029" s="6" t="n">
        <v>46268</v>
      </c>
      <c r="G1029" s="6" t="n">
        <v>46263</v>
      </c>
      <c r="H1029" s="23" t="n">
        <f aca="false">ABS(F1029-G1029)</f>
        <v>5</v>
      </c>
      <c r="I1029" s="7" t="n">
        <v>-21675.95</v>
      </c>
      <c r="J1029" s="7" t="n">
        <v>-21675.95</v>
      </c>
      <c r="K1029" s="7" t="n">
        <f aca="false">I1029-J1029</f>
        <v>0</v>
      </c>
      <c r="L1029" s="4" t="s">
        <v>5646</v>
      </c>
      <c r="M1029" s="4" t="s">
        <v>5647</v>
      </c>
      <c r="N1029" s="4"/>
    </row>
    <row r="1030" customFormat="false" ht="15" hidden="false" customHeight="false" outlineLevel="0" collapsed="false">
      <c r="A1030" s="4" t="s">
        <v>5648</v>
      </c>
      <c r="B1030" s="4" t="s">
        <v>539</v>
      </c>
      <c r="C1030" s="22" t="n">
        <v>0.975</v>
      </c>
      <c r="D1030" s="16" t="s">
        <v>5649</v>
      </c>
      <c r="E1030" s="16" t="s">
        <v>5650</v>
      </c>
      <c r="F1030" s="6" t="n">
        <v>46268</v>
      </c>
      <c r="G1030" s="6" t="n">
        <v>46263</v>
      </c>
      <c r="H1030" s="23" t="n">
        <f aca="false">ABS(F1030-G1030)</f>
        <v>5</v>
      </c>
      <c r="I1030" s="7" t="n">
        <v>-22741.52</v>
      </c>
      <c r="J1030" s="7" t="n">
        <v>-22741.52</v>
      </c>
      <c r="K1030" s="7" t="n">
        <f aca="false">I1030-J1030</f>
        <v>0</v>
      </c>
      <c r="L1030" s="4" t="s">
        <v>5651</v>
      </c>
      <c r="M1030" s="4" t="s">
        <v>5652</v>
      </c>
      <c r="N1030" s="4"/>
    </row>
    <row r="1031" customFormat="false" ht="15" hidden="false" customHeight="false" outlineLevel="0" collapsed="false">
      <c r="A1031" s="4" t="s">
        <v>5653</v>
      </c>
      <c r="B1031" s="4" t="s">
        <v>539</v>
      </c>
      <c r="C1031" s="22" t="n">
        <v>0.975</v>
      </c>
      <c r="D1031" s="16" t="s">
        <v>5654</v>
      </c>
      <c r="E1031" s="16" t="s">
        <v>5655</v>
      </c>
      <c r="F1031" s="6" t="n">
        <v>46269</v>
      </c>
      <c r="G1031" s="6" t="n">
        <v>46264</v>
      </c>
      <c r="H1031" s="23" t="n">
        <f aca="false">ABS(F1031-G1031)</f>
        <v>5</v>
      </c>
      <c r="I1031" s="7" t="n">
        <v>-54570.45</v>
      </c>
      <c r="J1031" s="7" t="n">
        <v>-54570.45</v>
      </c>
      <c r="K1031" s="7" t="n">
        <f aca="false">I1031-J1031</f>
        <v>0</v>
      </c>
      <c r="L1031" s="4" t="s">
        <v>5656</v>
      </c>
      <c r="M1031" s="4" t="s">
        <v>5657</v>
      </c>
      <c r="N1031" s="4"/>
    </row>
    <row r="1032" customFormat="false" ht="15" hidden="false" customHeight="false" outlineLevel="0" collapsed="false">
      <c r="A1032" s="4" t="s">
        <v>5658</v>
      </c>
      <c r="B1032" s="4" t="s">
        <v>539</v>
      </c>
      <c r="C1032" s="22" t="n">
        <v>0.975</v>
      </c>
      <c r="D1032" s="16" t="s">
        <v>5659</v>
      </c>
      <c r="E1032" s="16" t="s">
        <v>5660</v>
      </c>
      <c r="F1032" s="6" t="n">
        <v>46270</v>
      </c>
      <c r="G1032" s="6" t="n">
        <v>46265</v>
      </c>
      <c r="H1032" s="23" t="n">
        <f aca="false">ABS(F1032-G1032)</f>
        <v>5</v>
      </c>
      <c r="I1032" s="7" t="n">
        <v>-57192.21</v>
      </c>
      <c r="J1032" s="7" t="n">
        <v>-57192.21</v>
      </c>
      <c r="K1032" s="7" t="n">
        <f aca="false">I1032-J1032</f>
        <v>0</v>
      </c>
      <c r="L1032" s="4" t="s">
        <v>5661</v>
      </c>
      <c r="M1032" s="4" t="s">
        <v>5662</v>
      </c>
      <c r="N1032" s="4"/>
    </row>
    <row r="1033" customFormat="false" ht="15" hidden="false" customHeight="false" outlineLevel="0" collapsed="false">
      <c r="A1033" s="4" t="s">
        <v>5663</v>
      </c>
      <c r="B1033" s="4" t="s">
        <v>539</v>
      </c>
      <c r="C1033" s="22" t="n">
        <v>0.975</v>
      </c>
      <c r="D1033" s="16" t="s">
        <v>5664</v>
      </c>
      <c r="E1033" s="16" t="s">
        <v>5665</v>
      </c>
      <c r="F1033" s="6" t="n">
        <v>46271</v>
      </c>
      <c r="G1033" s="6" t="n">
        <v>46266</v>
      </c>
      <c r="H1033" s="23" t="n">
        <f aca="false">ABS(F1033-G1033)</f>
        <v>5</v>
      </c>
      <c r="I1033" s="7" t="n">
        <v>-41330.8</v>
      </c>
      <c r="J1033" s="7" t="n">
        <v>-41330.8</v>
      </c>
      <c r="K1033" s="7" t="n">
        <f aca="false">I1033-J1033</f>
        <v>0</v>
      </c>
      <c r="L1033" s="4" t="s">
        <v>5666</v>
      </c>
      <c r="M1033" s="4" t="s">
        <v>5667</v>
      </c>
      <c r="N1033" s="4"/>
    </row>
    <row r="1034" customFormat="false" ht="15" hidden="false" customHeight="false" outlineLevel="0" collapsed="false">
      <c r="A1034" s="4" t="s">
        <v>5668</v>
      </c>
      <c r="B1034" s="4" t="s">
        <v>539</v>
      </c>
      <c r="C1034" s="22" t="n">
        <v>0.975</v>
      </c>
      <c r="D1034" s="16" t="s">
        <v>5669</v>
      </c>
      <c r="E1034" s="16" t="s">
        <v>5670</v>
      </c>
      <c r="F1034" s="6" t="n">
        <v>46273</v>
      </c>
      <c r="G1034" s="6" t="n">
        <v>46268</v>
      </c>
      <c r="H1034" s="23" t="n">
        <f aca="false">ABS(F1034-G1034)</f>
        <v>5</v>
      </c>
      <c r="I1034" s="7" t="n">
        <v>-55847.42</v>
      </c>
      <c r="J1034" s="7" t="n">
        <v>-55847.42</v>
      </c>
      <c r="K1034" s="7" t="n">
        <f aca="false">I1034-J1034</f>
        <v>0</v>
      </c>
      <c r="L1034" s="4" t="s">
        <v>5671</v>
      </c>
      <c r="M1034" s="4" t="s">
        <v>5672</v>
      </c>
      <c r="N1034" s="4"/>
    </row>
    <row r="1035" customFormat="false" ht="15" hidden="false" customHeight="false" outlineLevel="0" collapsed="false">
      <c r="A1035" s="4" t="s">
        <v>5673</v>
      </c>
      <c r="B1035" s="4" t="s">
        <v>539</v>
      </c>
      <c r="C1035" s="22" t="n">
        <v>0.975</v>
      </c>
      <c r="D1035" s="16" t="s">
        <v>5674</v>
      </c>
      <c r="E1035" s="16" t="s">
        <v>5675</v>
      </c>
      <c r="F1035" s="6" t="n">
        <v>46274</v>
      </c>
      <c r="G1035" s="6" t="n">
        <v>46269</v>
      </c>
      <c r="H1035" s="23" t="n">
        <f aca="false">ABS(F1035-G1035)</f>
        <v>5</v>
      </c>
      <c r="I1035" s="7" t="n">
        <v>-14738.35</v>
      </c>
      <c r="J1035" s="7" t="n">
        <v>-14738.35</v>
      </c>
      <c r="K1035" s="7" t="n">
        <f aca="false">I1035-J1035</f>
        <v>0</v>
      </c>
      <c r="L1035" s="4" t="s">
        <v>5676</v>
      </c>
      <c r="M1035" s="4" t="s">
        <v>5677</v>
      </c>
      <c r="N1035" s="4"/>
    </row>
    <row r="1036" customFormat="false" ht="15" hidden="false" customHeight="false" outlineLevel="0" collapsed="false">
      <c r="A1036" s="4" t="s">
        <v>5678</v>
      </c>
      <c r="B1036" s="4" t="s">
        <v>539</v>
      </c>
      <c r="C1036" s="22" t="n">
        <v>0.975</v>
      </c>
      <c r="D1036" s="16" t="s">
        <v>5679</v>
      </c>
      <c r="E1036" s="16" t="s">
        <v>5680</v>
      </c>
      <c r="F1036" s="6" t="n">
        <v>46277</v>
      </c>
      <c r="G1036" s="6" t="n">
        <v>46272</v>
      </c>
      <c r="H1036" s="23" t="n">
        <f aca="false">ABS(F1036-G1036)</f>
        <v>5</v>
      </c>
      <c r="I1036" s="7" t="n">
        <v>-27898.26</v>
      </c>
      <c r="J1036" s="7" t="n">
        <v>-27898.26</v>
      </c>
      <c r="K1036" s="7" t="n">
        <f aca="false">I1036-J1036</f>
        <v>0</v>
      </c>
      <c r="L1036" s="4" t="s">
        <v>5681</v>
      </c>
      <c r="M1036" s="4" t="s">
        <v>5682</v>
      </c>
      <c r="N1036" s="4"/>
    </row>
    <row r="1037" customFormat="false" ht="15" hidden="false" customHeight="false" outlineLevel="0" collapsed="false">
      <c r="A1037" s="4" t="s">
        <v>5683</v>
      </c>
      <c r="B1037" s="4" t="s">
        <v>539</v>
      </c>
      <c r="C1037" s="22" t="n">
        <v>0.975</v>
      </c>
      <c r="D1037" s="16" t="s">
        <v>5684</v>
      </c>
      <c r="E1037" s="16" t="s">
        <v>5685</v>
      </c>
      <c r="F1037" s="6" t="n">
        <v>46277</v>
      </c>
      <c r="G1037" s="6" t="n">
        <v>46272</v>
      </c>
      <c r="H1037" s="23" t="n">
        <f aca="false">ABS(F1037-G1037)</f>
        <v>5</v>
      </c>
      <c r="I1037" s="7" t="n">
        <v>-52586.5</v>
      </c>
      <c r="J1037" s="7" t="n">
        <v>-52586.5</v>
      </c>
      <c r="K1037" s="7" t="n">
        <f aca="false">I1037-J1037</f>
        <v>0</v>
      </c>
      <c r="L1037" s="4" t="s">
        <v>5686</v>
      </c>
      <c r="M1037" s="4" t="s">
        <v>5687</v>
      </c>
      <c r="N1037" s="4"/>
    </row>
    <row r="1038" customFormat="false" ht="15" hidden="false" customHeight="false" outlineLevel="0" collapsed="false">
      <c r="A1038" s="4" t="s">
        <v>5688</v>
      </c>
      <c r="B1038" s="4" t="s">
        <v>539</v>
      </c>
      <c r="C1038" s="22" t="n">
        <v>0.975</v>
      </c>
      <c r="D1038" s="16" t="s">
        <v>5689</v>
      </c>
      <c r="E1038" s="16" t="s">
        <v>5690</v>
      </c>
      <c r="F1038" s="6" t="n">
        <v>46277</v>
      </c>
      <c r="G1038" s="6" t="n">
        <v>46272</v>
      </c>
      <c r="H1038" s="23" t="n">
        <f aca="false">ABS(F1038-G1038)</f>
        <v>5</v>
      </c>
      <c r="I1038" s="7" t="n">
        <v>-11696.53</v>
      </c>
      <c r="J1038" s="7" t="n">
        <v>-11696.53</v>
      </c>
      <c r="K1038" s="7" t="n">
        <f aca="false">I1038-J1038</f>
        <v>0</v>
      </c>
      <c r="L1038" s="4" t="s">
        <v>5691</v>
      </c>
      <c r="M1038" s="4" t="s">
        <v>5692</v>
      </c>
      <c r="N1038" s="4"/>
    </row>
    <row r="1039" customFormat="false" ht="15" hidden="false" customHeight="false" outlineLevel="0" collapsed="false">
      <c r="A1039" s="4" t="s">
        <v>5693</v>
      </c>
      <c r="B1039" s="4" t="s">
        <v>539</v>
      </c>
      <c r="C1039" s="22" t="n">
        <v>0.975</v>
      </c>
      <c r="D1039" s="16" t="s">
        <v>5694</v>
      </c>
      <c r="E1039" s="16" t="s">
        <v>5695</v>
      </c>
      <c r="F1039" s="6" t="n">
        <v>46277</v>
      </c>
      <c r="G1039" s="6" t="n">
        <v>46272</v>
      </c>
      <c r="H1039" s="23" t="n">
        <f aca="false">ABS(F1039-G1039)</f>
        <v>5</v>
      </c>
      <c r="I1039" s="7" t="n">
        <v>-3600.38</v>
      </c>
      <c r="J1039" s="7" t="n">
        <v>-3600.38</v>
      </c>
      <c r="K1039" s="7" t="n">
        <f aca="false">I1039-J1039</f>
        <v>0</v>
      </c>
      <c r="L1039" s="4" t="s">
        <v>5696</v>
      </c>
      <c r="M1039" s="4" t="s">
        <v>5697</v>
      </c>
      <c r="N1039" s="4"/>
    </row>
    <row r="1040" customFormat="false" ht="15" hidden="false" customHeight="false" outlineLevel="0" collapsed="false">
      <c r="A1040" s="4" t="s">
        <v>5698</v>
      </c>
      <c r="B1040" s="4" t="s">
        <v>539</v>
      </c>
      <c r="C1040" s="22" t="n">
        <v>0.975</v>
      </c>
      <c r="D1040" s="16" t="s">
        <v>5699</v>
      </c>
      <c r="E1040" s="16" t="s">
        <v>5700</v>
      </c>
      <c r="F1040" s="6" t="n">
        <v>46279</v>
      </c>
      <c r="G1040" s="6" t="n">
        <v>46274</v>
      </c>
      <c r="H1040" s="23" t="n">
        <f aca="false">ABS(F1040-G1040)</f>
        <v>5</v>
      </c>
      <c r="I1040" s="7" t="n">
        <v>-21350.57</v>
      </c>
      <c r="J1040" s="7" t="n">
        <v>-21350.57</v>
      </c>
      <c r="K1040" s="7" t="n">
        <f aca="false">I1040-J1040</f>
        <v>0</v>
      </c>
      <c r="L1040" s="4" t="s">
        <v>5701</v>
      </c>
      <c r="M1040" s="4" t="s">
        <v>5702</v>
      </c>
      <c r="N1040" s="4"/>
    </row>
    <row r="1041" customFormat="false" ht="15" hidden="false" customHeight="false" outlineLevel="0" collapsed="false">
      <c r="A1041" s="4" t="s">
        <v>5703</v>
      </c>
      <c r="B1041" s="4" t="s">
        <v>539</v>
      </c>
      <c r="C1041" s="22" t="n">
        <v>0.975</v>
      </c>
      <c r="D1041" s="16" t="s">
        <v>5704</v>
      </c>
      <c r="E1041" s="16" t="s">
        <v>5705</v>
      </c>
      <c r="F1041" s="6" t="n">
        <v>46279</v>
      </c>
      <c r="G1041" s="6" t="n">
        <v>46274</v>
      </c>
      <c r="H1041" s="23" t="n">
        <f aca="false">ABS(F1041-G1041)</f>
        <v>5</v>
      </c>
      <c r="I1041" s="7" t="n">
        <v>-38950.3</v>
      </c>
      <c r="J1041" s="7" t="n">
        <v>-38950.3</v>
      </c>
      <c r="K1041" s="7" t="n">
        <f aca="false">I1041-J1041</f>
        <v>0</v>
      </c>
      <c r="L1041" s="4" t="s">
        <v>5706</v>
      </c>
      <c r="M1041" s="4" t="s">
        <v>5707</v>
      </c>
      <c r="N1041" s="4"/>
    </row>
    <row r="1042" customFormat="false" ht="15" hidden="false" customHeight="false" outlineLevel="0" collapsed="false">
      <c r="A1042" s="4" t="s">
        <v>5708</v>
      </c>
      <c r="B1042" s="4" t="s">
        <v>539</v>
      </c>
      <c r="C1042" s="22" t="n">
        <v>0.975</v>
      </c>
      <c r="D1042" s="16" t="s">
        <v>5709</v>
      </c>
      <c r="E1042" s="16" t="s">
        <v>5710</v>
      </c>
      <c r="F1042" s="6" t="n">
        <v>46280</v>
      </c>
      <c r="G1042" s="6" t="n">
        <v>46275</v>
      </c>
      <c r="H1042" s="23" t="n">
        <f aca="false">ABS(F1042-G1042)</f>
        <v>5</v>
      </c>
      <c r="I1042" s="7" t="n">
        <v>-27657.62</v>
      </c>
      <c r="J1042" s="7" t="n">
        <v>-27657.62</v>
      </c>
      <c r="K1042" s="7" t="n">
        <f aca="false">I1042-J1042</f>
        <v>0</v>
      </c>
      <c r="L1042" s="4" t="s">
        <v>5711</v>
      </c>
      <c r="M1042" s="4" t="s">
        <v>5712</v>
      </c>
      <c r="N1042" s="4"/>
    </row>
    <row r="1043" customFormat="false" ht="15" hidden="false" customHeight="false" outlineLevel="0" collapsed="false">
      <c r="A1043" s="4" t="s">
        <v>5713</v>
      </c>
      <c r="B1043" s="4" t="s">
        <v>539</v>
      </c>
      <c r="C1043" s="22" t="n">
        <v>0.975</v>
      </c>
      <c r="D1043" s="16" t="s">
        <v>5714</v>
      </c>
      <c r="E1043" s="16" t="s">
        <v>5715</v>
      </c>
      <c r="F1043" s="6" t="n">
        <v>46281</v>
      </c>
      <c r="G1043" s="6" t="n">
        <v>46276</v>
      </c>
      <c r="H1043" s="23" t="n">
        <f aca="false">ABS(F1043-G1043)</f>
        <v>5</v>
      </c>
      <c r="I1043" s="7" t="n">
        <v>-6843.9</v>
      </c>
      <c r="J1043" s="7" t="n">
        <v>-6843.9</v>
      </c>
      <c r="K1043" s="7" t="n">
        <f aca="false">I1043-J1043</f>
        <v>0</v>
      </c>
      <c r="L1043" s="4" t="s">
        <v>5716</v>
      </c>
      <c r="M1043" s="4" t="s">
        <v>5717</v>
      </c>
      <c r="N1043" s="4"/>
    </row>
    <row r="1044" customFormat="false" ht="15" hidden="false" customHeight="false" outlineLevel="0" collapsed="false">
      <c r="A1044" s="4" t="s">
        <v>5718</v>
      </c>
      <c r="B1044" s="4" t="s">
        <v>539</v>
      </c>
      <c r="C1044" s="22" t="n">
        <v>0.975</v>
      </c>
      <c r="D1044" s="16" t="s">
        <v>5719</v>
      </c>
      <c r="E1044" s="16" t="s">
        <v>5720</v>
      </c>
      <c r="F1044" s="6" t="n">
        <v>46281</v>
      </c>
      <c r="G1044" s="6" t="n">
        <v>46276</v>
      </c>
      <c r="H1044" s="23" t="n">
        <f aca="false">ABS(F1044-G1044)</f>
        <v>5</v>
      </c>
      <c r="I1044" s="7" t="n">
        <v>-26867.76</v>
      </c>
      <c r="J1044" s="7" t="n">
        <v>-26867.76</v>
      </c>
      <c r="K1044" s="7" t="n">
        <f aca="false">I1044-J1044</f>
        <v>0</v>
      </c>
      <c r="L1044" s="4" t="s">
        <v>5721</v>
      </c>
      <c r="M1044" s="4" t="s">
        <v>5722</v>
      </c>
      <c r="N1044" s="4"/>
    </row>
    <row r="1045" customFormat="false" ht="15" hidden="false" customHeight="false" outlineLevel="0" collapsed="false">
      <c r="A1045" s="4" t="s">
        <v>5723</v>
      </c>
      <c r="B1045" s="4" t="s">
        <v>539</v>
      </c>
      <c r="C1045" s="22" t="n">
        <v>0.975</v>
      </c>
      <c r="D1045" s="16" t="s">
        <v>5724</v>
      </c>
      <c r="E1045" s="16" t="s">
        <v>5725</v>
      </c>
      <c r="F1045" s="6" t="n">
        <v>46281</v>
      </c>
      <c r="G1045" s="6" t="n">
        <v>46276</v>
      </c>
      <c r="H1045" s="23" t="n">
        <f aca="false">ABS(F1045-G1045)</f>
        <v>5</v>
      </c>
      <c r="I1045" s="7" t="n">
        <v>-55554.69</v>
      </c>
      <c r="J1045" s="7" t="n">
        <v>-55554.69</v>
      </c>
      <c r="K1045" s="7" t="n">
        <f aca="false">I1045-J1045</f>
        <v>0</v>
      </c>
      <c r="L1045" s="4" t="s">
        <v>5726</v>
      </c>
      <c r="M1045" s="4" t="s">
        <v>5727</v>
      </c>
      <c r="N1045" s="4"/>
    </row>
    <row r="1046" customFormat="false" ht="15" hidden="false" customHeight="false" outlineLevel="0" collapsed="false">
      <c r="A1046" s="4" t="s">
        <v>5728</v>
      </c>
      <c r="B1046" s="4" t="s">
        <v>539</v>
      </c>
      <c r="C1046" s="22" t="n">
        <v>0.975</v>
      </c>
      <c r="D1046" s="16" t="s">
        <v>5729</v>
      </c>
      <c r="E1046" s="16" t="s">
        <v>5730</v>
      </c>
      <c r="F1046" s="6" t="n">
        <v>46286</v>
      </c>
      <c r="G1046" s="6" t="n">
        <v>46281</v>
      </c>
      <c r="H1046" s="23" t="n">
        <f aca="false">ABS(F1046-G1046)</f>
        <v>5</v>
      </c>
      <c r="I1046" s="7" t="n">
        <v>-40748.55</v>
      </c>
      <c r="J1046" s="7" t="n">
        <v>-40748.55</v>
      </c>
      <c r="K1046" s="7" t="n">
        <f aca="false">I1046-J1046</f>
        <v>0</v>
      </c>
      <c r="L1046" s="4" t="s">
        <v>5731</v>
      </c>
      <c r="M1046" s="4" t="s">
        <v>5732</v>
      </c>
      <c r="N1046" s="4"/>
    </row>
    <row r="1047" customFormat="false" ht="15" hidden="false" customHeight="false" outlineLevel="0" collapsed="false">
      <c r="A1047" s="4" t="s">
        <v>5733</v>
      </c>
      <c r="B1047" s="4" t="s">
        <v>539</v>
      </c>
      <c r="C1047" s="22" t="n">
        <v>0.975</v>
      </c>
      <c r="D1047" s="16" t="s">
        <v>5734</v>
      </c>
      <c r="E1047" s="16" t="s">
        <v>5735</v>
      </c>
      <c r="F1047" s="6" t="n">
        <v>46287</v>
      </c>
      <c r="G1047" s="6" t="n">
        <v>46282</v>
      </c>
      <c r="H1047" s="23" t="n">
        <f aca="false">ABS(F1047-G1047)</f>
        <v>5</v>
      </c>
      <c r="I1047" s="7" t="n">
        <v>-17515.4</v>
      </c>
      <c r="J1047" s="7" t="n">
        <v>-17515.4</v>
      </c>
      <c r="K1047" s="7" t="n">
        <f aca="false">I1047-J1047</f>
        <v>0</v>
      </c>
      <c r="L1047" s="4" t="s">
        <v>5736</v>
      </c>
      <c r="M1047" s="4" t="s">
        <v>5737</v>
      </c>
      <c r="N1047" s="4"/>
    </row>
    <row r="1048" customFormat="false" ht="15" hidden="false" customHeight="false" outlineLevel="0" collapsed="false">
      <c r="A1048" s="4" t="s">
        <v>5738</v>
      </c>
      <c r="B1048" s="4" t="s">
        <v>539</v>
      </c>
      <c r="C1048" s="22" t="n">
        <v>0.975</v>
      </c>
      <c r="D1048" s="16" t="s">
        <v>5739</v>
      </c>
      <c r="E1048" s="16" t="s">
        <v>5740</v>
      </c>
      <c r="F1048" s="6" t="n">
        <v>46287</v>
      </c>
      <c r="G1048" s="6" t="n">
        <v>46282</v>
      </c>
      <c r="H1048" s="23" t="n">
        <f aca="false">ABS(F1048-G1048)</f>
        <v>5</v>
      </c>
      <c r="I1048" s="7" t="n">
        <v>-29436.29</v>
      </c>
      <c r="J1048" s="7" t="n">
        <v>-29436.29</v>
      </c>
      <c r="K1048" s="7" t="n">
        <f aca="false">I1048-J1048</f>
        <v>0</v>
      </c>
      <c r="L1048" s="4" t="s">
        <v>5741</v>
      </c>
      <c r="M1048" s="4" t="s">
        <v>5742</v>
      </c>
      <c r="N1048" s="4"/>
    </row>
    <row r="1049" customFormat="false" ht="15" hidden="false" customHeight="false" outlineLevel="0" collapsed="false">
      <c r="A1049" s="4" t="s">
        <v>5743</v>
      </c>
      <c r="B1049" s="4" t="s">
        <v>539</v>
      </c>
      <c r="C1049" s="22" t="n">
        <v>0.975</v>
      </c>
      <c r="D1049" s="16" t="s">
        <v>5744</v>
      </c>
      <c r="E1049" s="16" t="s">
        <v>5745</v>
      </c>
      <c r="F1049" s="6" t="n">
        <v>46289</v>
      </c>
      <c r="G1049" s="6" t="n">
        <v>46284</v>
      </c>
      <c r="H1049" s="23" t="n">
        <f aca="false">ABS(F1049-G1049)</f>
        <v>5</v>
      </c>
      <c r="I1049" s="7" t="n">
        <v>-41460.66</v>
      </c>
      <c r="J1049" s="7" t="n">
        <v>-41460.66</v>
      </c>
      <c r="K1049" s="7" t="n">
        <f aca="false">I1049-J1049</f>
        <v>0</v>
      </c>
      <c r="L1049" s="4" t="s">
        <v>5746</v>
      </c>
      <c r="M1049" s="4" t="s">
        <v>5747</v>
      </c>
      <c r="N1049" s="4"/>
    </row>
    <row r="1050" customFormat="false" ht="15" hidden="false" customHeight="false" outlineLevel="0" collapsed="false">
      <c r="A1050" s="4" t="s">
        <v>5748</v>
      </c>
      <c r="B1050" s="4" t="s">
        <v>539</v>
      </c>
      <c r="C1050" s="22" t="n">
        <v>0.975</v>
      </c>
      <c r="D1050" s="16" t="s">
        <v>5749</v>
      </c>
      <c r="E1050" s="16" t="s">
        <v>5750</v>
      </c>
      <c r="F1050" s="6" t="n">
        <v>46290</v>
      </c>
      <c r="G1050" s="6" t="n">
        <v>46285</v>
      </c>
      <c r="H1050" s="23" t="n">
        <f aca="false">ABS(F1050-G1050)</f>
        <v>5</v>
      </c>
      <c r="I1050" s="7" t="n">
        <v>-32656.1</v>
      </c>
      <c r="J1050" s="7" t="n">
        <v>-32656.1</v>
      </c>
      <c r="K1050" s="7" t="n">
        <f aca="false">I1050-J1050</f>
        <v>0</v>
      </c>
      <c r="L1050" s="4" t="s">
        <v>5751</v>
      </c>
      <c r="M1050" s="4" t="s">
        <v>5752</v>
      </c>
      <c r="N1050" s="4"/>
    </row>
    <row r="1051" customFormat="false" ht="15" hidden="false" customHeight="false" outlineLevel="0" collapsed="false">
      <c r="A1051" s="4" t="s">
        <v>5753</v>
      </c>
      <c r="B1051" s="4" t="s">
        <v>539</v>
      </c>
      <c r="C1051" s="22" t="n">
        <v>0.975</v>
      </c>
      <c r="D1051" s="16" t="s">
        <v>5754</v>
      </c>
      <c r="E1051" s="16" t="s">
        <v>5755</v>
      </c>
      <c r="F1051" s="6" t="n">
        <v>46291</v>
      </c>
      <c r="G1051" s="6" t="n">
        <v>46286</v>
      </c>
      <c r="H1051" s="23" t="n">
        <f aca="false">ABS(F1051-G1051)</f>
        <v>5</v>
      </c>
      <c r="I1051" s="7" t="n">
        <v>-11345.97</v>
      </c>
      <c r="J1051" s="7" t="n">
        <v>-11345.97</v>
      </c>
      <c r="K1051" s="7" t="n">
        <f aca="false">I1051-J1051</f>
        <v>0</v>
      </c>
      <c r="L1051" s="4" t="s">
        <v>5756</v>
      </c>
      <c r="M1051" s="4" t="s">
        <v>5757</v>
      </c>
      <c r="N1051" s="4"/>
    </row>
    <row r="1052" customFormat="false" ht="15" hidden="false" customHeight="false" outlineLevel="0" collapsed="false">
      <c r="A1052" s="4" t="s">
        <v>5758</v>
      </c>
      <c r="B1052" s="4" t="s">
        <v>539</v>
      </c>
      <c r="C1052" s="22" t="n">
        <v>0.975</v>
      </c>
      <c r="D1052" s="16" t="s">
        <v>5759</v>
      </c>
      <c r="E1052" s="16" t="s">
        <v>5760</v>
      </c>
      <c r="F1052" s="6" t="n">
        <v>46291</v>
      </c>
      <c r="G1052" s="6" t="n">
        <v>46286</v>
      </c>
      <c r="H1052" s="23" t="n">
        <f aca="false">ABS(F1052-G1052)</f>
        <v>5</v>
      </c>
      <c r="I1052" s="7" t="n">
        <v>-25144.99</v>
      </c>
      <c r="J1052" s="7" t="n">
        <v>-25144.99</v>
      </c>
      <c r="K1052" s="7" t="n">
        <f aca="false">I1052-J1052</f>
        <v>0</v>
      </c>
      <c r="L1052" s="4" t="s">
        <v>5761</v>
      </c>
      <c r="M1052" s="4" t="s">
        <v>5762</v>
      </c>
      <c r="N1052" s="4"/>
    </row>
    <row r="1053" customFormat="false" ht="15" hidden="false" customHeight="false" outlineLevel="0" collapsed="false">
      <c r="A1053" s="4" t="s">
        <v>5763</v>
      </c>
      <c r="B1053" s="4" t="s">
        <v>539</v>
      </c>
      <c r="C1053" s="22" t="n">
        <v>0.975</v>
      </c>
      <c r="D1053" s="16" t="s">
        <v>5764</v>
      </c>
      <c r="E1053" s="16" t="s">
        <v>5765</v>
      </c>
      <c r="F1053" s="6" t="n">
        <v>46293</v>
      </c>
      <c r="G1053" s="6" t="n">
        <v>46288</v>
      </c>
      <c r="H1053" s="23" t="n">
        <f aca="false">ABS(F1053-G1053)</f>
        <v>5</v>
      </c>
      <c r="I1053" s="7" t="n">
        <v>-16351.37</v>
      </c>
      <c r="J1053" s="7" t="n">
        <v>-16351.37</v>
      </c>
      <c r="K1053" s="7" t="n">
        <f aca="false">I1053-J1053</f>
        <v>0</v>
      </c>
      <c r="L1053" s="4" t="s">
        <v>5766</v>
      </c>
      <c r="M1053" s="4" t="s">
        <v>5767</v>
      </c>
      <c r="N1053" s="4"/>
    </row>
    <row r="1054" customFormat="false" ht="15" hidden="false" customHeight="false" outlineLevel="0" collapsed="false">
      <c r="A1054" s="4" t="s">
        <v>5768</v>
      </c>
      <c r="B1054" s="4" t="s">
        <v>539</v>
      </c>
      <c r="C1054" s="22" t="n">
        <v>0.975</v>
      </c>
      <c r="D1054" s="16" t="s">
        <v>5769</v>
      </c>
      <c r="E1054" s="16" t="s">
        <v>5770</v>
      </c>
      <c r="F1054" s="6" t="n">
        <v>46294</v>
      </c>
      <c r="G1054" s="6" t="n">
        <v>46289</v>
      </c>
      <c r="H1054" s="23" t="n">
        <f aca="false">ABS(F1054-G1054)</f>
        <v>5</v>
      </c>
      <c r="I1054" s="7" t="n">
        <v>-55578.73</v>
      </c>
      <c r="J1054" s="7" t="n">
        <v>-55578.73</v>
      </c>
      <c r="K1054" s="7" t="n">
        <f aca="false">I1054-J1054</f>
        <v>0</v>
      </c>
      <c r="L1054" s="4" t="s">
        <v>5771</v>
      </c>
      <c r="M1054" s="4" t="s">
        <v>5772</v>
      </c>
      <c r="N1054" s="4"/>
    </row>
    <row r="1055" customFormat="false" ht="15" hidden="false" customHeight="false" outlineLevel="0" collapsed="false">
      <c r="A1055" s="4" t="s">
        <v>5773</v>
      </c>
      <c r="B1055" s="4" t="s">
        <v>5774</v>
      </c>
      <c r="C1055" s="22" t="n">
        <v>1</v>
      </c>
      <c r="D1055" s="16" t="s">
        <v>5775</v>
      </c>
      <c r="E1055" s="16" t="s">
        <v>5776</v>
      </c>
      <c r="F1055" s="6" t="n">
        <v>46227</v>
      </c>
      <c r="G1055" s="6" t="n">
        <v>46227</v>
      </c>
      <c r="H1055" s="23" t="n">
        <f aca="false">ABS(F1055-G1055)</f>
        <v>0</v>
      </c>
      <c r="I1055" s="7" t="n">
        <v>-3427.02</v>
      </c>
      <c r="J1055" s="7" t="n">
        <v>-3427.02</v>
      </c>
      <c r="K1055" s="7" t="n">
        <f aca="false">I1055-J1055</f>
        <v>0</v>
      </c>
      <c r="L1055" s="4" t="s">
        <v>5777</v>
      </c>
      <c r="M1055" s="4" t="s">
        <v>5778</v>
      </c>
      <c r="N1055" s="4"/>
    </row>
    <row r="1056" customFormat="false" ht="15" hidden="false" customHeight="false" outlineLevel="0" collapsed="false">
      <c r="A1056" s="4" t="s">
        <v>5779</v>
      </c>
      <c r="B1056" s="4" t="s">
        <v>5774</v>
      </c>
      <c r="C1056" s="22" t="n">
        <v>1</v>
      </c>
      <c r="D1056" s="16" t="s">
        <v>5780</v>
      </c>
      <c r="E1056" s="16" t="s">
        <v>5781</v>
      </c>
      <c r="F1056" s="6" t="n">
        <v>46241</v>
      </c>
      <c r="G1056" s="6" t="n">
        <v>46241</v>
      </c>
      <c r="H1056" s="23" t="n">
        <f aca="false">ABS(F1056-G1056)</f>
        <v>0</v>
      </c>
      <c r="I1056" s="7" t="n">
        <v>-8006.87</v>
      </c>
      <c r="J1056" s="7" t="n">
        <v>-8006.87</v>
      </c>
      <c r="K1056" s="7" t="n">
        <f aca="false">I1056-J1056</f>
        <v>0</v>
      </c>
      <c r="L1056" s="4" t="s">
        <v>5782</v>
      </c>
      <c r="M1056" s="4" t="s">
        <v>5783</v>
      </c>
      <c r="N1056" s="4"/>
    </row>
    <row r="1057" customFormat="false" ht="15" hidden="false" customHeight="false" outlineLevel="0" collapsed="false">
      <c r="A1057" s="4" t="s">
        <v>5784</v>
      </c>
      <c r="B1057" s="4" t="s">
        <v>5774</v>
      </c>
      <c r="C1057" s="22" t="n">
        <v>1</v>
      </c>
      <c r="D1057" s="16" t="s">
        <v>5785</v>
      </c>
      <c r="E1057" s="16" t="s">
        <v>5786</v>
      </c>
      <c r="F1057" s="6" t="n">
        <v>46245</v>
      </c>
      <c r="G1057" s="6" t="n">
        <v>46245</v>
      </c>
      <c r="H1057" s="23" t="n">
        <f aca="false">ABS(F1057-G1057)</f>
        <v>0</v>
      </c>
      <c r="I1057" s="7" t="n">
        <v>-2342.74</v>
      </c>
      <c r="J1057" s="7" t="n">
        <v>-2342.74</v>
      </c>
      <c r="K1057" s="7" t="n">
        <f aca="false">I1057-J1057</f>
        <v>0</v>
      </c>
      <c r="L1057" s="4" t="s">
        <v>5787</v>
      </c>
      <c r="M1057" s="4" t="s">
        <v>5788</v>
      </c>
      <c r="N1057" s="4"/>
    </row>
    <row r="1058" customFormat="false" ht="15" hidden="false" customHeight="false" outlineLevel="0" collapsed="false">
      <c r="A1058" s="4" t="s">
        <v>5789</v>
      </c>
      <c r="B1058" s="4" t="s">
        <v>5774</v>
      </c>
      <c r="C1058" s="22" t="n">
        <v>1</v>
      </c>
      <c r="D1058" s="16" t="s">
        <v>5790</v>
      </c>
      <c r="E1058" s="16" t="s">
        <v>5791</v>
      </c>
      <c r="F1058" s="6" t="n">
        <v>46257</v>
      </c>
      <c r="G1058" s="6" t="n">
        <v>46257</v>
      </c>
      <c r="H1058" s="23" t="n">
        <f aca="false">ABS(F1058-G1058)</f>
        <v>0</v>
      </c>
      <c r="I1058" s="7" t="n">
        <v>-5927.42</v>
      </c>
      <c r="J1058" s="7" t="n">
        <v>-5927.42</v>
      </c>
      <c r="K1058" s="7" t="n">
        <f aca="false">I1058-J1058</f>
        <v>0</v>
      </c>
      <c r="L1058" s="4" t="s">
        <v>5777</v>
      </c>
      <c r="M1058" s="4" t="s">
        <v>5778</v>
      </c>
      <c r="N1058" s="4"/>
    </row>
    <row r="1059" customFormat="false" ht="15" hidden="false" customHeight="false" outlineLevel="0" collapsed="false">
      <c r="A1059" s="4" t="s">
        <v>5792</v>
      </c>
      <c r="B1059" s="4" t="s">
        <v>5774</v>
      </c>
      <c r="C1059" s="22" t="n">
        <v>1</v>
      </c>
      <c r="D1059" s="16" t="s">
        <v>5793</v>
      </c>
      <c r="E1059" s="16" t="s">
        <v>5794</v>
      </c>
      <c r="F1059" s="6" t="n">
        <v>46275</v>
      </c>
      <c r="G1059" s="6" t="n">
        <v>46275</v>
      </c>
      <c r="H1059" s="23" t="n">
        <f aca="false">ABS(F1059-G1059)</f>
        <v>0</v>
      </c>
      <c r="I1059" s="7" t="n">
        <v>-4064.25</v>
      </c>
      <c r="J1059" s="7" t="n">
        <v>-4064.25</v>
      </c>
      <c r="K1059" s="7" t="n">
        <f aca="false">I1059-J1059</f>
        <v>0</v>
      </c>
      <c r="L1059" s="4" t="s">
        <v>5787</v>
      </c>
      <c r="M1059" s="4" t="s">
        <v>5788</v>
      </c>
      <c r="N1059" s="4"/>
    </row>
    <row r="1060" customFormat="false" ht="15" hidden="false" customHeight="false" outlineLevel="0" collapsed="false">
      <c r="A1060" s="4" t="s">
        <v>5795</v>
      </c>
      <c r="B1060" s="4" t="s">
        <v>5774</v>
      </c>
      <c r="C1060" s="22" t="n">
        <v>1</v>
      </c>
      <c r="D1060" s="16" t="s">
        <v>5796</v>
      </c>
      <c r="E1060" s="16" t="s">
        <v>5797</v>
      </c>
      <c r="F1060" s="6" t="n">
        <v>46279</v>
      </c>
      <c r="G1060" s="6" t="n">
        <v>46279</v>
      </c>
      <c r="H1060" s="23" t="n">
        <f aca="false">ABS(F1060-G1060)</f>
        <v>0</v>
      </c>
      <c r="I1060" s="7" t="n">
        <v>-5741.14</v>
      </c>
      <c r="J1060" s="7" t="n">
        <v>-5741.14</v>
      </c>
      <c r="K1060" s="7" t="n">
        <f aca="false">I1060-J1060</f>
        <v>0</v>
      </c>
      <c r="L1060" s="4" t="s">
        <v>5798</v>
      </c>
      <c r="M1060" s="4" t="s">
        <v>5799</v>
      </c>
      <c r="N1060" s="4"/>
    </row>
    <row r="1061" customFormat="false" ht="15" hidden="false" customHeight="false" outlineLevel="0" collapsed="false">
      <c r="A1061" s="4" t="s">
        <v>5800</v>
      </c>
      <c r="B1061" s="4" t="s">
        <v>5774</v>
      </c>
      <c r="C1061" s="22" t="n">
        <v>1</v>
      </c>
      <c r="D1061" s="16" t="s">
        <v>5801</v>
      </c>
      <c r="E1061" s="16" t="s">
        <v>5802</v>
      </c>
      <c r="F1061" s="6" t="n">
        <v>46287</v>
      </c>
      <c r="G1061" s="6" t="n">
        <v>46287</v>
      </c>
      <c r="H1061" s="23" t="n">
        <f aca="false">ABS(F1061-G1061)</f>
        <v>0</v>
      </c>
      <c r="I1061" s="7" t="n">
        <v>-3448.35</v>
      </c>
      <c r="J1061" s="7" t="n">
        <v>-3448.35</v>
      </c>
      <c r="K1061" s="7" t="n">
        <f aca="false">I1061-J1061</f>
        <v>0</v>
      </c>
      <c r="L1061" s="4" t="s">
        <v>5777</v>
      </c>
      <c r="M1061" s="4" t="s">
        <v>5778</v>
      </c>
      <c r="N1061" s="4"/>
    </row>
    <row r="1062" customFormat="false" ht="15" hidden="false" customHeight="false" outlineLevel="0" collapsed="false">
      <c r="A1062" s="4" t="s">
        <v>5803</v>
      </c>
      <c r="B1062" s="4" t="s">
        <v>5774</v>
      </c>
      <c r="C1062" s="22" t="n">
        <v>0.925</v>
      </c>
      <c r="D1062" s="16" t="s">
        <v>5804</v>
      </c>
      <c r="E1062" s="16" t="s">
        <v>5805</v>
      </c>
      <c r="F1062" s="6" t="n">
        <v>46208</v>
      </c>
      <c r="G1062" s="6" t="n">
        <v>46207</v>
      </c>
      <c r="H1062" s="23" t="n">
        <f aca="false">ABS(F1062-G1062)</f>
        <v>1</v>
      </c>
      <c r="I1062" s="7" t="n">
        <v>-3537.85</v>
      </c>
      <c r="J1062" s="7" t="n">
        <v>-3537.85</v>
      </c>
      <c r="K1062" s="7" t="n">
        <f aca="false">I1062-J1062</f>
        <v>0</v>
      </c>
      <c r="L1062" s="4" t="s">
        <v>5806</v>
      </c>
      <c r="M1062" s="4" t="s">
        <v>5807</v>
      </c>
      <c r="N1062" s="4"/>
    </row>
    <row r="1063" customFormat="false" ht="15" hidden="false" customHeight="false" outlineLevel="0" collapsed="false">
      <c r="A1063" s="4" t="s">
        <v>5808</v>
      </c>
      <c r="B1063" s="4" t="s">
        <v>5774</v>
      </c>
      <c r="C1063" s="22" t="n">
        <v>0.925</v>
      </c>
      <c r="D1063" s="16" t="s">
        <v>5809</v>
      </c>
      <c r="E1063" s="16" t="s">
        <v>5810</v>
      </c>
      <c r="F1063" s="6" t="n">
        <v>46220</v>
      </c>
      <c r="G1063" s="6" t="n">
        <v>46219</v>
      </c>
      <c r="H1063" s="23" t="n">
        <f aca="false">ABS(F1063-G1063)</f>
        <v>1</v>
      </c>
      <c r="I1063" s="7" t="n">
        <v>-6275.08</v>
      </c>
      <c r="J1063" s="7" t="n">
        <v>-6275.08</v>
      </c>
      <c r="K1063" s="7" t="n">
        <f aca="false">I1063-J1063</f>
        <v>0</v>
      </c>
      <c r="L1063" s="4" t="s">
        <v>5798</v>
      </c>
      <c r="M1063" s="4" t="s">
        <v>5799</v>
      </c>
      <c r="N1063" s="4"/>
    </row>
    <row r="1064" customFormat="false" ht="15" hidden="false" customHeight="false" outlineLevel="0" collapsed="false">
      <c r="A1064" s="4" t="s">
        <v>5811</v>
      </c>
      <c r="B1064" s="4" t="s">
        <v>5774</v>
      </c>
      <c r="C1064" s="22" t="n">
        <v>0.925</v>
      </c>
      <c r="D1064" s="16" t="s">
        <v>5812</v>
      </c>
      <c r="E1064" s="16" t="s">
        <v>5813</v>
      </c>
      <c r="F1064" s="6" t="n">
        <v>46224</v>
      </c>
      <c r="G1064" s="6" t="n">
        <v>46223</v>
      </c>
      <c r="H1064" s="23" t="n">
        <f aca="false">ABS(F1064-G1064)</f>
        <v>1</v>
      </c>
      <c r="I1064" s="7" t="n">
        <v>-8544.01</v>
      </c>
      <c r="J1064" s="7" t="n">
        <v>-8544.01</v>
      </c>
      <c r="K1064" s="7" t="n">
        <f aca="false">I1064-J1064</f>
        <v>0</v>
      </c>
      <c r="L1064" s="4" t="s">
        <v>5814</v>
      </c>
      <c r="M1064" s="4" t="s">
        <v>5815</v>
      </c>
      <c r="N1064" s="4"/>
    </row>
    <row r="1065" customFormat="false" ht="15" hidden="false" customHeight="false" outlineLevel="0" collapsed="false">
      <c r="A1065" s="4" t="s">
        <v>5816</v>
      </c>
      <c r="B1065" s="4" t="s">
        <v>5774</v>
      </c>
      <c r="C1065" s="22" t="n">
        <v>0.925</v>
      </c>
      <c r="D1065" s="16" t="s">
        <v>5817</v>
      </c>
      <c r="E1065" s="16" t="s">
        <v>5818</v>
      </c>
      <c r="F1065" s="6" t="n">
        <v>46238</v>
      </c>
      <c r="G1065" s="6" t="n">
        <v>46237</v>
      </c>
      <c r="H1065" s="23" t="n">
        <f aca="false">ABS(F1065-G1065)</f>
        <v>1</v>
      </c>
      <c r="I1065" s="7" t="n">
        <v>-2404.01</v>
      </c>
      <c r="J1065" s="7" t="n">
        <v>-2404.01</v>
      </c>
      <c r="K1065" s="7" t="n">
        <f aca="false">I1065-J1065</f>
        <v>0</v>
      </c>
      <c r="L1065" s="4" t="s">
        <v>5806</v>
      </c>
      <c r="M1065" s="4" t="s">
        <v>5807</v>
      </c>
      <c r="N1065" s="4"/>
    </row>
    <row r="1066" customFormat="false" ht="15" hidden="false" customHeight="false" outlineLevel="0" collapsed="false">
      <c r="A1066" s="4" t="s">
        <v>5819</v>
      </c>
      <c r="B1066" s="4" t="s">
        <v>5774</v>
      </c>
      <c r="C1066" s="22" t="n">
        <v>0.925</v>
      </c>
      <c r="D1066" s="16" t="s">
        <v>5820</v>
      </c>
      <c r="E1066" s="16" t="s">
        <v>5821</v>
      </c>
      <c r="F1066" s="6" t="n">
        <v>46250</v>
      </c>
      <c r="G1066" s="6" t="n">
        <v>46249</v>
      </c>
      <c r="H1066" s="23" t="n">
        <f aca="false">ABS(F1066-G1066)</f>
        <v>1</v>
      </c>
      <c r="I1066" s="7" t="n">
        <v>-7700.07</v>
      </c>
      <c r="J1066" s="7" t="n">
        <v>-7700.07</v>
      </c>
      <c r="K1066" s="7" t="n">
        <f aca="false">I1066-J1066</f>
        <v>0</v>
      </c>
      <c r="L1066" s="4" t="s">
        <v>5798</v>
      </c>
      <c r="M1066" s="4" t="s">
        <v>5799</v>
      </c>
      <c r="N1066" s="4"/>
    </row>
    <row r="1067" customFormat="false" ht="15" hidden="false" customHeight="false" outlineLevel="0" collapsed="false">
      <c r="A1067" s="4" t="s">
        <v>5822</v>
      </c>
      <c r="B1067" s="4" t="s">
        <v>5774</v>
      </c>
      <c r="C1067" s="22" t="n">
        <v>0.85</v>
      </c>
      <c r="D1067" s="16" t="s">
        <v>5823</v>
      </c>
      <c r="E1067" s="16" t="s">
        <v>5824</v>
      </c>
      <c r="F1067" s="6" t="n">
        <v>46213</v>
      </c>
      <c r="G1067" s="6" t="n">
        <v>46211</v>
      </c>
      <c r="H1067" s="23" t="n">
        <f aca="false">ABS(F1067-G1067)</f>
        <v>2</v>
      </c>
      <c r="I1067" s="7" t="n">
        <v>-4040.74</v>
      </c>
      <c r="J1067" s="7" t="n">
        <v>-4040.74</v>
      </c>
      <c r="K1067" s="7" t="n">
        <f aca="false">I1067-J1067</f>
        <v>0</v>
      </c>
      <c r="L1067" s="4" t="s">
        <v>5782</v>
      </c>
      <c r="M1067" s="4" t="s">
        <v>5783</v>
      </c>
      <c r="N1067" s="4"/>
    </row>
    <row r="1068" customFormat="false" ht="15" hidden="false" customHeight="false" outlineLevel="0" collapsed="false">
      <c r="A1068" s="4" t="s">
        <v>5825</v>
      </c>
      <c r="B1068" s="4" t="s">
        <v>5774</v>
      </c>
      <c r="C1068" s="22" t="n">
        <v>0.85</v>
      </c>
      <c r="D1068" s="16" t="s">
        <v>5826</v>
      </c>
      <c r="E1068" s="16" t="s">
        <v>5827</v>
      </c>
      <c r="F1068" s="6" t="n">
        <v>46217</v>
      </c>
      <c r="G1068" s="6" t="n">
        <v>46215</v>
      </c>
      <c r="H1068" s="23" t="n">
        <f aca="false">ABS(F1068-G1068)</f>
        <v>2</v>
      </c>
      <c r="I1068" s="7" t="n">
        <v>-3465.55</v>
      </c>
      <c r="J1068" s="7" t="n">
        <v>-3465.55</v>
      </c>
      <c r="K1068" s="7" t="n">
        <f aca="false">I1068-J1068</f>
        <v>0</v>
      </c>
      <c r="L1068" s="4" t="s">
        <v>5787</v>
      </c>
      <c r="M1068" s="4" t="s">
        <v>5788</v>
      </c>
      <c r="N1068" s="4"/>
    </row>
    <row r="1069" customFormat="false" ht="15" hidden="false" customHeight="false" outlineLevel="0" collapsed="false">
      <c r="A1069" s="4" t="s">
        <v>5828</v>
      </c>
      <c r="B1069" s="4" t="s">
        <v>5774</v>
      </c>
      <c r="C1069" s="22" t="n">
        <v>0.85</v>
      </c>
      <c r="D1069" s="16" t="s">
        <v>5829</v>
      </c>
      <c r="E1069" s="16" t="s">
        <v>5830</v>
      </c>
      <c r="F1069" s="6" t="n">
        <v>46255</v>
      </c>
      <c r="G1069" s="6" t="n">
        <v>46253</v>
      </c>
      <c r="H1069" s="23" t="n">
        <f aca="false">ABS(F1069-G1069)</f>
        <v>2</v>
      </c>
      <c r="I1069" s="7" t="n">
        <v>-3261.16</v>
      </c>
      <c r="J1069" s="7" t="n">
        <v>-3261.16</v>
      </c>
      <c r="K1069" s="7" t="n">
        <f aca="false">I1069-J1069</f>
        <v>0</v>
      </c>
      <c r="L1069" s="4" t="s">
        <v>5814</v>
      </c>
      <c r="M1069" s="4" t="s">
        <v>5815</v>
      </c>
      <c r="N1069" s="4"/>
    </row>
    <row r="1070" customFormat="false" ht="15" hidden="false" customHeight="false" outlineLevel="0" collapsed="false">
      <c r="A1070" s="4" t="s">
        <v>5831</v>
      </c>
      <c r="B1070" s="4" t="s">
        <v>5774</v>
      </c>
      <c r="C1070" s="22" t="n">
        <v>0.85</v>
      </c>
      <c r="D1070" s="16" t="s">
        <v>5832</v>
      </c>
      <c r="E1070" s="16" t="s">
        <v>5833</v>
      </c>
      <c r="F1070" s="6" t="n">
        <v>46269</v>
      </c>
      <c r="G1070" s="6" t="n">
        <v>46267</v>
      </c>
      <c r="H1070" s="23" t="n">
        <f aca="false">ABS(F1070-G1070)</f>
        <v>2</v>
      </c>
      <c r="I1070" s="7" t="n">
        <v>-5487.52</v>
      </c>
      <c r="J1070" s="7" t="n">
        <v>-5487.52</v>
      </c>
      <c r="K1070" s="7" t="n">
        <f aca="false">I1070-J1070</f>
        <v>0</v>
      </c>
      <c r="L1070" s="4" t="s">
        <v>5806</v>
      </c>
      <c r="M1070" s="4" t="s">
        <v>5807</v>
      </c>
      <c r="N1070" s="4"/>
    </row>
    <row r="1071" customFormat="false" ht="15" hidden="false" customHeight="false" outlineLevel="0" collapsed="false">
      <c r="A1071" s="4" t="s">
        <v>5834</v>
      </c>
      <c r="B1071" s="4" t="s">
        <v>5774</v>
      </c>
      <c r="C1071" s="22" t="n">
        <v>0.85</v>
      </c>
      <c r="D1071" s="16" t="s">
        <v>5835</v>
      </c>
      <c r="E1071" s="16" t="s">
        <v>5836</v>
      </c>
      <c r="F1071" s="6" t="n">
        <v>46273</v>
      </c>
      <c r="G1071" s="6" t="n">
        <v>46271</v>
      </c>
      <c r="H1071" s="23" t="n">
        <f aca="false">ABS(F1071-G1071)</f>
        <v>2</v>
      </c>
      <c r="I1071" s="7" t="n">
        <v>-7043.03</v>
      </c>
      <c r="J1071" s="7" t="n">
        <v>-7043.03</v>
      </c>
      <c r="K1071" s="7" t="n">
        <f aca="false">I1071-J1071</f>
        <v>0</v>
      </c>
      <c r="L1071" s="4" t="s">
        <v>5782</v>
      </c>
      <c r="M1071" s="4" t="s">
        <v>5783</v>
      </c>
      <c r="N1071" s="4"/>
    </row>
    <row r="1072" customFormat="false" ht="15" hidden="false" customHeight="false" outlineLevel="0" collapsed="false">
      <c r="A1072" s="4" t="s">
        <v>5837</v>
      </c>
      <c r="B1072" s="4" t="s">
        <v>5774</v>
      </c>
      <c r="C1072" s="22" t="n">
        <v>0.85</v>
      </c>
      <c r="D1072" s="16" t="s">
        <v>5838</v>
      </c>
      <c r="E1072" s="16" t="s">
        <v>5839</v>
      </c>
      <c r="F1072" s="6" t="n">
        <v>46285</v>
      </c>
      <c r="G1072" s="6" t="n">
        <v>46283</v>
      </c>
      <c r="H1072" s="23" t="n">
        <f aca="false">ABS(F1072-G1072)</f>
        <v>2</v>
      </c>
      <c r="I1072" s="7" t="n">
        <v>-3020.43</v>
      </c>
      <c r="J1072" s="7" t="n">
        <v>-3020.43</v>
      </c>
      <c r="K1072" s="7" t="n">
        <f aca="false">I1072-J1072</f>
        <v>0</v>
      </c>
      <c r="L1072" s="4" t="s">
        <v>5814</v>
      </c>
      <c r="M1072" s="4" t="s">
        <v>5815</v>
      </c>
      <c r="N1072" s="4"/>
    </row>
    <row r="1073" customFormat="false" ht="15" hidden="false" customHeight="false" outlineLevel="0" collapsed="false">
      <c r="A1073" s="4" t="s">
        <v>5840</v>
      </c>
      <c r="B1073" s="4" t="s">
        <v>5841</v>
      </c>
      <c r="C1073" s="22" t="n">
        <v>0.95</v>
      </c>
      <c r="D1073" s="16" t="s">
        <v>226</v>
      </c>
      <c r="E1073" s="16" t="s">
        <v>227</v>
      </c>
      <c r="F1073" s="6" t="n">
        <v>46208</v>
      </c>
      <c r="G1073" s="6" t="n">
        <v>46208</v>
      </c>
      <c r="H1073" s="23" t="n">
        <f aca="false">ABS(F1073-G1073)</f>
        <v>0</v>
      </c>
      <c r="I1073" s="7" t="n">
        <v>-14380.51</v>
      </c>
      <c r="J1073" s="7" t="n">
        <v>14380.51</v>
      </c>
      <c r="K1073" s="7" t="n">
        <f aca="false">I1073-J1073</f>
        <v>-28761.02</v>
      </c>
      <c r="L1073" s="4" t="s">
        <v>5842</v>
      </c>
      <c r="M1073" s="4" t="s">
        <v>5843</v>
      </c>
      <c r="N1073" s="4" t="s">
        <v>225</v>
      </c>
    </row>
    <row r="1074" customFormat="false" ht="15" hidden="false" customHeight="false" outlineLevel="0" collapsed="false">
      <c r="A1074" s="4" t="s">
        <v>5844</v>
      </c>
      <c r="B1074" s="4" t="s">
        <v>5841</v>
      </c>
      <c r="C1074" s="22" t="n">
        <v>0.95</v>
      </c>
      <c r="D1074" s="16" t="s">
        <v>473</v>
      </c>
      <c r="E1074" s="16" t="s">
        <v>474</v>
      </c>
      <c r="F1074" s="6" t="n">
        <v>46215</v>
      </c>
      <c r="G1074" s="6" t="n">
        <v>46215</v>
      </c>
      <c r="H1074" s="23" t="n">
        <f aca="false">ABS(F1074-G1074)</f>
        <v>0</v>
      </c>
      <c r="I1074" s="7" t="n">
        <v>45886.89</v>
      </c>
      <c r="J1074" s="7" t="n">
        <v>45928.97</v>
      </c>
      <c r="K1074" s="7" t="n">
        <f aca="false">I1074-J1074</f>
        <v>-42.0800000000017</v>
      </c>
      <c r="L1074" s="4" t="s">
        <v>5845</v>
      </c>
      <c r="M1074" s="4" t="s">
        <v>5846</v>
      </c>
      <c r="N1074" s="4" t="s">
        <v>472</v>
      </c>
    </row>
    <row r="1075" customFormat="false" ht="15" hidden="false" customHeight="false" outlineLevel="0" collapsed="false">
      <c r="A1075" s="4" t="s">
        <v>5847</v>
      </c>
      <c r="B1075" s="4" t="s">
        <v>5841</v>
      </c>
      <c r="C1075" s="22" t="n">
        <v>0.95</v>
      </c>
      <c r="D1075" s="16" t="s">
        <v>493</v>
      </c>
      <c r="E1075" s="16" t="s">
        <v>494</v>
      </c>
      <c r="F1075" s="6" t="n">
        <v>46242</v>
      </c>
      <c r="G1075" s="6" t="n">
        <v>46242</v>
      </c>
      <c r="H1075" s="23" t="n">
        <f aca="false">ABS(F1075-G1075)</f>
        <v>0</v>
      </c>
      <c r="I1075" s="7" t="n">
        <v>23572.15</v>
      </c>
      <c r="J1075" s="7" t="n">
        <v>23572.72</v>
      </c>
      <c r="K1075" s="7" t="n">
        <f aca="false">I1075-J1075</f>
        <v>-0.569999999999709</v>
      </c>
      <c r="L1075" s="4" t="s">
        <v>5848</v>
      </c>
      <c r="M1075" s="4" t="s">
        <v>5849</v>
      </c>
      <c r="N1075" s="4" t="s">
        <v>492</v>
      </c>
    </row>
    <row r="1076" customFormat="false" ht="15" hidden="false" customHeight="false" outlineLevel="0" collapsed="false">
      <c r="A1076" s="4" t="s">
        <v>5850</v>
      </c>
      <c r="B1076" s="4" t="s">
        <v>5841</v>
      </c>
      <c r="C1076" s="22" t="n">
        <v>0.95</v>
      </c>
      <c r="D1076" s="16" t="s">
        <v>479</v>
      </c>
      <c r="E1076" s="16" t="s">
        <v>480</v>
      </c>
      <c r="F1076" s="6" t="n">
        <v>46249</v>
      </c>
      <c r="G1076" s="6" t="n">
        <v>46249</v>
      </c>
      <c r="H1076" s="23" t="n">
        <f aca="false">ABS(F1076-G1076)</f>
        <v>0</v>
      </c>
      <c r="I1076" s="7" t="n">
        <v>13548.95</v>
      </c>
      <c r="J1076" s="7" t="n">
        <v>13577.96</v>
      </c>
      <c r="K1076" s="7" t="n">
        <f aca="false">I1076-J1076</f>
        <v>-29.0099999999984</v>
      </c>
      <c r="L1076" s="4" t="s">
        <v>5851</v>
      </c>
      <c r="M1076" s="4" t="s">
        <v>5852</v>
      </c>
      <c r="N1076" s="4" t="s">
        <v>478</v>
      </c>
    </row>
    <row r="1077" customFormat="false" ht="15" hidden="false" customHeight="false" outlineLevel="0" collapsed="false">
      <c r="A1077" s="4" t="s">
        <v>5853</v>
      </c>
      <c r="B1077" s="4" t="s">
        <v>5841</v>
      </c>
      <c r="C1077" s="22" t="n">
        <v>0.95</v>
      </c>
      <c r="D1077" s="16" t="s">
        <v>461</v>
      </c>
      <c r="E1077" s="16" t="s">
        <v>462</v>
      </c>
      <c r="F1077" s="6" t="n">
        <v>46264</v>
      </c>
      <c r="G1077" s="6" t="n">
        <v>46264</v>
      </c>
      <c r="H1077" s="23" t="n">
        <f aca="false">ABS(F1077-G1077)</f>
        <v>0</v>
      </c>
      <c r="I1077" s="7" t="n">
        <v>20044.73</v>
      </c>
      <c r="J1077" s="7" t="n">
        <v>20099.37</v>
      </c>
      <c r="K1077" s="7" t="n">
        <f aca="false">I1077-J1077</f>
        <v>-54.6399999999994</v>
      </c>
      <c r="L1077" s="4" t="s">
        <v>5854</v>
      </c>
      <c r="M1077" s="4" t="s">
        <v>5855</v>
      </c>
      <c r="N1077" s="4" t="s">
        <v>460</v>
      </c>
    </row>
    <row r="1078" customFormat="false" ht="15" hidden="false" customHeight="false" outlineLevel="0" collapsed="false">
      <c r="A1078" s="4" t="s">
        <v>5856</v>
      </c>
      <c r="B1078" s="4" t="s">
        <v>5841</v>
      </c>
      <c r="C1078" s="22" t="n">
        <v>0.95</v>
      </c>
      <c r="D1078" s="16" t="s">
        <v>443</v>
      </c>
      <c r="E1078" s="16" t="s">
        <v>444</v>
      </c>
      <c r="F1078" s="6" t="n">
        <v>46280</v>
      </c>
      <c r="G1078" s="6" t="n">
        <v>46280</v>
      </c>
      <c r="H1078" s="23" t="n">
        <f aca="false">ABS(F1078-G1078)</f>
        <v>0</v>
      </c>
      <c r="I1078" s="7" t="n">
        <v>69690.98</v>
      </c>
      <c r="J1078" s="7" t="n">
        <v>69799.41</v>
      </c>
      <c r="K1078" s="7" t="n">
        <f aca="false">I1078-J1078</f>
        <v>-108.430000000008</v>
      </c>
      <c r="L1078" s="4" t="s">
        <v>5857</v>
      </c>
      <c r="M1078" s="4" t="s">
        <v>5858</v>
      </c>
      <c r="N1078" s="4" t="s">
        <v>442</v>
      </c>
    </row>
    <row r="1079" customFormat="false" ht="15" hidden="false" customHeight="false" outlineLevel="0" collapsed="false">
      <c r="A1079" s="4" t="s">
        <v>5859</v>
      </c>
      <c r="B1079" s="4" t="s">
        <v>5841</v>
      </c>
      <c r="C1079" s="22" t="n">
        <v>0.945</v>
      </c>
      <c r="D1079" s="16" t="s">
        <v>436</v>
      </c>
      <c r="E1079" s="16" t="s">
        <v>437</v>
      </c>
      <c r="F1079" s="6" t="n">
        <v>46207</v>
      </c>
      <c r="G1079" s="6" t="n">
        <v>46206</v>
      </c>
      <c r="H1079" s="23" t="n">
        <f aca="false">ABS(F1079-G1079)</f>
        <v>1</v>
      </c>
      <c r="I1079" s="7" t="n">
        <v>41606.63</v>
      </c>
      <c r="J1079" s="7" t="n">
        <v>41743.69</v>
      </c>
      <c r="K1079" s="7" t="n">
        <f aca="false">I1079-J1079</f>
        <v>-137.060000000005</v>
      </c>
      <c r="L1079" s="4" t="s">
        <v>5860</v>
      </c>
      <c r="M1079" s="4" t="s">
        <v>5861</v>
      </c>
      <c r="N1079" s="4" t="s">
        <v>434</v>
      </c>
    </row>
    <row r="1080" customFormat="false" ht="15" hidden="false" customHeight="false" outlineLevel="0" collapsed="false">
      <c r="A1080" s="4" t="s">
        <v>5862</v>
      </c>
      <c r="B1080" s="4" t="s">
        <v>5841</v>
      </c>
      <c r="C1080" s="22" t="n">
        <v>0.945</v>
      </c>
      <c r="D1080" s="16" t="s">
        <v>467</v>
      </c>
      <c r="E1080" s="16" t="s">
        <v>468</v>
      </c>
      <c r="F1080" s="6" t="n">
        <v>46216</v>
      </c>
      <c r="G1080" s="6" t="n">
        <v>46215</v>
      </c>
      <c r="H1080" s="23" t="n">
        <f aca="false">ABS(F1080-G1080)</f>
        <v>1</v>
      </c>
      <c r="I1080" s="7" t="n">
        <v>71661.98</v>
      </c>
      <c r="J1080" s="7" t="n">
        <v>71704.47</v>
      </c>
      <c r="K1080" s="7" t="n">
        <f aca="false">I1080-J1080</f>
        <v>-42.4900000000052</v>
      </c>
      <c r="L1080" s="4" t="s">
        <v>5863</v>
      </c>
      <c r="M1080" s="4" t="s">
        <v>5864</v>
      </c>
      <c r="N1080" s="4" t="s">
        <v>466</v>
      </c>
    </row>
    <row r="1081" customFormat="false" ht="15" hidden="false" customHeight="false" outlineLevel="0" collapsed="false">
      <c r="A1081" s="4" t="s">
        <v>5865</v>
      </c>
      <c r="B1081" s="4" t="s">
        <v>5841</v>
      </c>
      <c r="C1081" s="22" t="n">
        <v>0.945</v>
      </c>
      <c r="D1081" s="16" t="s">
        <v>351</v>
      </c>
      <c r="E1081" s="16" t="s">
        <v>352</v>
      </c>
      <c r="F1081" s="6" t="n">
        <v>46224</v>
      </c>
      <c r="G1081" s="6" t="n">
        <v>46223</v>
      </c>
      <c r="H1081" s="23" t="n">
        <f aca="false">ABS(F1081-G1081)</f>
        <v>1</v>
      </c>
      <c r="I1081" s="7" t="n">
        <v>52468.86</v>
      </c>
      <c r="J1081" s="7" t="n">
        <v>52648.86</v>
      </c>
      <c r="K1081" s="7" t="n">
        <f aca="false">I1081-J1081</f>
        <v>-180</v>
      </c>
      <c r="L1081" s="4" t="s">
        <v>5866</v>
      </c>
      <c r="M1081" s="4" t="s">
        <v>5867</v>
      </c>
      <c r="N1081" s="4" t="s">
        <v>350</v>
      </c>
    </row>
    <row r="1082" customFormat="false" ht="15" hidden="false" customHeight="false" outlineLevel="0" collapsed="false">
      <c r="A1082" s="4" t="s">
        <v>5868</v>
      </c>
      <c r="B1082" s="4" t="s">
        <v>5841</v>
      </c>
      <c r="C1082" s="22" t="n">
        <v>0.945</v>
      </c>
      <c r="D1082" s="16" t="s">
        <v>339</v>
      </c>
      <c r="E1082" s="16" t="s">
        <v>340</v>
      </c>
      <c r="F1082" s="6" t="n">
        <v>46225</v>
      </c>
      <c r="G1082" s="6" t="n">
        <v>46224</v>
      </c>
      <c r="H1082" s="23" t="n">
        <f aca="false">ABS(F1082-G1082)</f>
        <v>1</v>
      </c>
      <c r="I1082" s="7" t="n">
        <v>13638.48</v>
      </c>
      <c r="J1082" s="7" t="n">
        <v>16338.48</v>
      </c>
      <c r="K1082" s="7" t="n">
        <f aca="false">I1082-J1082</f>
        <v>-2700</v>
      </c>
      <c r="L1082" s="4" t="s">
        <v>5869</v>
      </c>
      <c r="M1082" s="4" t="s">
        <v>5870</v>
      </c>
      <c r="N1082" s="4" t="s">
        <v>338</v>
      </c>
    </row>
    <row r="1083" customFormat="false" ht="15" hidden="false" customHeight="false" outlineLevel="0" collapsed="false">
      <c r="A1083" s="4" t="s">
        <v>5871</v>
      </c>
      <c r="B1083" s="4" t="s">
        <v>5841</v>
      </c>
      <c r="C1083" s="22" t="n">
        <v>0.945</v>
      </c>
      <c r="D1083" s="16" t="s">
        <v>499</v>
      </c>
      <c r="E1083" s="16" t="s">
        <v>500</v>
      </c>
      <c r="F1083" s="6" t="n">
        <v>46227</v>
      </c>
      <c r="G1083" s="6" t="n">
        <v>46226</v>
      </c>
      <c r="H1083" s="23" t="n">
        <f aca="false">ABS(F1083-G1083)</f>
        <v>1</v>
      </c>
      <c r="I1083" s="7" t="n">
        <v>12701.31</v>
      </c>
      <c r="J1083" s="7" t="n">
        <v>12700.94</v>
      </c>
      <c r="K1083" s="7" t="n">
        <f aca="false">I1083-J1083</f>
        <v>0.369999999998981</v>
      </c>
      <c r="L1083" s="4" t="s">
        <v>5872</v>
      </c>
      <c r="M1083" s="4" t="s">
        <v>5873</v>
      </c>
      <c r="N1083" s="4" t="s">
        <v>498</v>
      </c>
    </row>
    <row r="1084" customFormat="false" ht="15" hidden="false" customHeight="false" outlineLevel="0" collapsed="false">
      <c r="A1084" s="4" t="s">
        <v>5874</v>
      </c>
      <c r="B1084" s="4" t="s">
        <v>5841</v>
      </c>
      <c r="C1084" s="22" t="n">
        <v>0.945</v>
      </c>
      <c r="D1084" s="16" t="s">
        <v>505</v>
      </c>
      <c r="E1084" s="16" t="s">
        <v>506</v>
      </c>
      <c r="F1084" s="6" t="n">
        <v>46251</v>
      </c>
      <c r="G1084" s="6" t="n">
        <v>46250</v>
      </c>
      <c r="H1084" s="23" t="n">
        <f aca="false">ABS(F1084-G1084)</f>
        <v>1</v>
      </c>
      <c r="I1084" s="7" t="n">
        <v>10648.31</v>
      </c>
      <c r="J1084" s="7" t="n">
        <v>10648.46</v>
      </c>
      <c r="K1084" s="7" t="n">
        <f aca="false">I1084-J1084</f>
        <v>-0.149999999999636</v>
      </c>
      <c r="L1084" s="4" t="s">
        <v>5875</v>
      </c>
      <c r="M1084" s="4" t="s">
        <v>5876</v>
      </c>
      <c r="N1084" s="4" t="s">
        <v>504</v>
      </c>
    </row>
    <row r="1085" customFormat="false" ht="15" hidden="false" customHeight="false" outlineLevel="0" collapsed="false">
      <c r="A1085" s="4" t="s">
        <v>5877</v>
      </c>
      <c r="B1085" s="4" t="s">
        <v>5841</v>
      </c>
      <c r="C1085" s="22" t="n">
        <v>0.945</v>
      </c>
      <c r="D1085" s="16" t="s">
        <v>327</v>
      </c>
      <c r="E1085" s="16" t="s">
        <v>328</v>
      </c>
      <c r="F1085" s="6" t="n">
        <v>46255</v>
      </c>
      <c r="G1085" s="6" t="n">
        <v>46254</v>
      </c>
      <c r="H1085" s="23" t="n">
        <f aca="false">ABS(F1085-G1085)</f>
        <v>1</v>
      </c>
      <c r="I1085" s="7" t="n">
        <v>83808.32</v>
      </c>
      <c r="J1085" s="7" t="n">
        <v>88308.32</v>
      </c>
      <c r="K1085" s="7" t="n">
        <f aca="false">I1085-J1085</f>
        <v>-4500</v>
      </c>
      <c r="L1085" s="4" t="s">
        <v>5878</v>
      </c>
      <c r="M1085" s="4" t="s">
        <v>5879</v>
      </c>
      <c r="N1085" s="4" t="s">
        <v>326</v>
      </c>
    </row>
    <row r="1086" customFormat="false" ht="15" hidden="false" customHeight="false" outlineLevel="0" collapsed="false">
      <c r="A1086" s="4" t="s">
        <v>5880</v>
      </c>
      <c r="B1086" s="4" t="s">
        <v>5841</v>
      </c>
      <c r="C1086" s="22" t="n">
        <v>0.945</v>
      </c>
      <c r="D1086" s="16" t="s">
        <v>455</v>
      </c>
      <c r="E1086" s="16" t="s">
        <v>456</v>
      </c>
      <c r="F1086" s="6" t="n">
        <v>46260</v>
      </c>
      <c r="G1086" s="6" t="n">
        <v>46259</v>
      </c>
      <c r="H1086" s="23" t="n">
        <f aca="false">ABS(F1086-G1086)</f>
        <v>1</v>
      </c>
      <c r="I1086" s="7" t="n">
        <v>59552.65</v>
      </c>
      <c r="J1086" s="7" t="n">
        <v>59617.96</v>
      </c>
      <c r="K1086" s="7" t="n">
        <f aca="false">I1086-J1086</f>
        <v>-65.3099999999977</v>
      </c>
      <c r="L1086" s="4" t="s">
        <v>5881</v>
      </c>
      <c r="M1086" s="4" t="s">
        <v>5882</v>
      </c>
      <c r="N1086" s="4" t="s">
        <v>454</v>
      </c>
    </row>
    <row r="1087" customFormat="false" ht="15" hidden="false" customHeight="false" outlineLevel="0" collapsed="false">
      <c r="A1087" s="4" t="s">
        <v>5883</v>
      </c>
      <c r="B1087" s="4" t="s">
        <v>5841</v>
      </c>
      <c r="C1087" s="22" t="n">
        <v>0.945</v>
      </c>
      <c r="D1087" s="16" t="s">
        <v>449</v>
      </c>
      <c r="E1087" s="16" t="s">
        <v>450</v>
      </c>
      <c r="F1087" s="6" t="n">
        <v>46272</v>
      </c>
      <c r="G1087" s="6" t="n">
        <v>46271</v>
      </c>
      <c r="H1087" s="23" t="n">
        <f aca="false">ABS(F1087-G1087)</f>
        <v>1</v>
      </c>
      <c r="I1087" s="7" t="n">
        <v>79611.11</v>
      </c>
      <c r="J1087" s="7" t="n">
        <v>79709.64</v>
      </c>
      <c r="K1087" s="7" t="n">
        <f aca="false">I1087-J1087</f>
        <v>-98.5299999999988</v>
      </c>
      <c r="L1087" s="4" t="s">
        <v>5884</v>
      </c>
      <c r="M1087" s="4" t="s">
        <v>5885</v>
      </c>
      <c r="N1087" s="4" t="s">
        <v>448</v>
      </c>
    </row>
    <row r="1088" customFormat="false" ht="15" hidden="false" customHeight="false" outlineLevel="0" collapsed="false">
      <c r="A1088" s="4" t="s">
        <v>5886</v>
      </c>
      <c r="B1088" s="4" t="s">
        <v>5841</v>
      </c>
      <c r="C1088" s="22" t="n">
        <v>0.94</v>
      </c>
      <c r="D1088" s="16" t="s">
        <v>345</v>
      </c>
      <c r="E1088" s="16" t="s">
        <v>346</v>
      </c>
      <c r="F1088" s="6" t="n">
        <v>46233</v>
      </c>
      <c r="G1088" s="6" t="n">
        <v>46231</v>
      </c>
      <c r="H1088" s="23" t="n">
        <f aca="false">ABS(F1088-G1088)</f>
        <v>2</v>
      </c>
      <c r="I1088" s="7" t="n">
        <v>35273.35</v>
      </c>
      <c r="J1088" s="7" t="n">
        <v>32573.35</v>
      </c>
      <c r="K1088" s="7" t="n">
        <f aca="false">I1088-J1088</f>
        <v>2700</v>
      </c>
      <c r="L1088" s="4" t="s">
        <v>5887</v>
      </c>
      <c r="M1088" s="4" t="s">
        <v>5888</v>
      </c>
      <c r="N1088" s="4" t="s">
        <v>344</v>
      </c>
    </row>
    <row r="1089" customFormat="false" ht="15" hidden="false" customHeight="false" outlineLevel="0" collapsed="false">
      <c r="A1089" s="4" t="s">
        <v>5889</v>
      </c>
      <c r="B1089" s="4" t="s">
        <v>5841</v>
      </c>
      <c r="C1089" s="22" t="n">
        <v>0.94</v>
      </c>
      <c r="D1089" s="16" t="s">
        <v>320</v>
      </c>
      <c r="E1089" s="16" t="s">
        <v>321</v>
      </c>
      <c r="F1089" s="6" t="n">
        <v>46243</v>
      </c>
      <c r="G1089" s="6" t="n">
        <v>46241</v>
      </c>
      <c r="H1089" s="23" t="n">
        <f aca="false">ABS(F1089-G1089)</f>
        <v>2</v>
      </c>
      <c r="I1089" s="7" t="n">
        <v>32797.84</v>
      </c>
      <c r="J1089" s="7" t="n">
        <v>37297.84</v>
      </c>
      <c r="K1089" s="7" t="n">
        <f aca="false">I1089-J1089</f>
        <v>-4500</v>
      </c>
      <c r="L1089" s="4" t="s">
        <v>5890</v>
      </c>
      <c r="M1089" s="4" t="s">
        <v>5891</v>
      </c>
      <c r="N1089" s="4" t="s">
        <v>318</v>
      </c>
    </row>
    <row r="1090" customFormat="false" ht="15" hidden="false" customHeight="false" outlineLevel="0" collapsed="false">
      <c r="A1090" s="4" t="s">
        <v>5892</v>
      </c>
      <c r="B1090" s="4" t="s">
        <v>5841</v>
      </c>
      <c r="C1090" s="22" t="n">
        <v>0.94</v>
      </c>
      <c r="D1090" s="16" t="s">
        <v>486</v>
      </c>
      <c r="E1090" s="16" t="s">
        <v>487</v>
      </c>
      <c r="F1090" s="6" t="n">
        <v>46250</v>
      </c>
      <c r="G1090" s="6" t="n">
        <v>46248</v>
      </c>
      <c r="H1090" s="23" t="n">
        <f aca="false">ABS(F1090-G1090)</f>
        <v>2</v>
      </c>
      <c r="I1090" s="7" t="n">
        <v>38725.93</v>
      </c>
      <c r="J1090" s="7" t="n">
        <v>38726.83</v>
      </c>
      <c r="K1090" s="7" t="n">
        <f aca="false">I1090-J1090</f>
        <v>-0.900000000001455</v>
      </c>
      <c r="L1090" s="4" t="s">
        <v>5893</v>
      </c>
      <c r="M1090" s="4" t="s">
        <v>5894</v>
      </c>
      <c r="N1090" s="4" t="s">
        <v>484</v>
      </c>
    </row>
    <row r="1091" customFormat="false" ht="15" hidden="false" customHeight="false" outlineLevel="0" collapsed="false">
      <c r="A1091" s="4" t="s">
        <v>5895</v>
      </c>
      <c r="B1091" s="4" t="s">
        <v>5841</v>
      </c>
      <c r="C1091" s="22" t="n">
        <v>0.94</v>
      </c>
      <c r="D1091" s="16" t="s">
        <v>511</v>
      </c>
      <c r="E1091" s="16" t="s">
        <v>512</v>
      </c>
      <c r="F1091" s="6" t="n">
        <v>46277</v>
      </c>
      <c r="G1091" s="6" t="n">
        <v>46275</v>
      </c>
      <c r="H1091" s="23" t="n">
        <f aca="false">ABS(F1091-G1091)</f>
        <v>2</v>
      </c>
      <c r="I1091" s="7" t="n">
        <v>32551.52</v>
      </c>
      <c r="J1091" s="7" t="n">
        <v>32551.38</v>
      </c>
      <c r="K1091" s="7" t="n">
        <f aca="false">I1091-J1091</f>
        <v>0.139999999999418</v>
      </c>
      <c r="L1091" s="4" t="s">
        <v>5896</v>
      </c>
      <c r="M1091" s="4" t="s">
        <v>5897</v>
      </c>
      <c r="N1091" s="4" t="s">
        <v>510</v>
      </c>
    </row>
    <row r="1092" customFormat="false" ht="15" hidden="false" customHeight="false" outlineLevel="0" collapsed="false">
      <c r="A1092" s="4" t="s">
        <v>5898</v>
      </c>
      <c r="B1092" s="4" t="s">
        <v>5841</v>
      </c>
      <c r="C1092" s="22" t="n">
        <v>0.94</v>
      </c>
      <c r="D1092" s="16" t="s">
        <v>333</v>
      </c>
      <c r="E1092" s="16" t="s">
        <v>334</v>
      </c>
      <c r="F1092" s="6" t="n">
        <v>46280</v>
      </c>
      <c r="G1092" s="6" t="n">
        <v>46278</v>
      </c>
      <c r="H1092" s="23" t="n">
        <f aca="false">ABS(F1092-G1092)</f>
        <v>2</v>
      </c>
      <c r="I1092" s="7" t="n">
        <v>64944.33</v>
      </c>
      <c r="J1092" s="7" t="n">
        <v>69444.33</v>
      </c>
      <c r="K1092" s="7" t="n">
        <f aca="false">I1092-J1092</f>
        <v>-4500</v>
      </c>
      <c r="L1092" s="4" t="s">
        <v>5899</v>
      </c>
      <c r="M1092" s="4" t="s">
        <v>5900</v>
      </c>
      <c r="N1092" s="4" t="s">
        <v>332</v>
      </c>
    </row>
    <row r="1093" customFormat="false" ht="15" hidden="false" customHeight="false" outlineLevel="0" collapsed="false">
      <c r="A1093" s="4" t="s">
        <v>5901</v>
      </c>
      <c r="B1093" s="4" t="s">
        <v>5841</v>
      </c>
      <c r="C1093" s="22" t="n">
        <v>0.935</v>
      </c>
      <c r="D1093" s="16" t="s">
        <v>220</v>
      </c>
      <c r="E1093" s="16" t="s">
        <v>221</v>
      </c>
      <c r="F1093" s="6" t="n">
        <v>46219</v>
      </c>
      <c r="G1093" s="6" t="n">
        <v>46216</v>
      </c>
      <c r="H1093" s="23" t="n">
        <f aca="false">ABS(F1093-G1093)</f>
        <v>3</v>
      </c>
      <c r="I1093" s="7" t="n">
        <v>-15887.58</v>
      </c>
      <c r="J1093" s="7" t="n">
        <v>15887.58</v>
      </c>
      <c r="K1093" s="7" t="n">
        <f aca="false">I1093-J1093</f>
        <v>-31775.16</v>
      </c>
      <c r="L1093" s="4" t="s">
        <v>5902</v>
      </c>
      <c r="M1093" s="4" t="s">
        <v>5903</v>
      </c>
      <c r="N1093" s="4" t="s">
        <v>219</v>
      </c>
    </row>
    <row r="1094" customFormat="false" ht="15" hidden="false" customHeight="false" outlineLevel="0" collapsed="false">
      <c r="A1094" s="4" t="s">
        <v>5904</v>
      </c>
      <c r="B1094" s="4" t="s">
        <v>5841</v>
      </c>
      <c r="C1094" s="22" t="n">
        <v>0.935</v>
      </c>
      <c r="D1094" s="16" t="s">
        <v>213</v>
      </c>
      <c r="E1094" s="16" t="s">
        <v>214</v>
      </c>
      <c r="F1094" s="6" t="n">
        <v>46223</v>
      </c>
      <c r="G1094" s="6" t="n">
        <v>46220</v>
      </c>
      <c r="H1094" s="23" t="n">
        <f aca="false">ABS(F1094-G1094)</f>
        <v>3</v>
      </c>
      <c r="I1094" s="7" t="n">
        <v>-19757.52</v>
      </c>
      <c r="J1094" s="7" t="n">
        <v>19757.52</v>
      </c>
      <c r="K1094" s="7" t="n">
        <f aca="false">I1094-J1094</f>
        <v>-39515.04</v>
      </c>
      <c r="L1094" s="4" t="s">
        <v>5905</v>
      </c>
      <c r="M1094" s="4" t="s">
        <v>5906</v>
      </c>
      <c r="N1094" s="4" t="s">
        <v>211</v>
      </c>
    </row>
    <row r="1095" customFormat="false" ht="15" hidden="false" customHeight="false" outlineLevel="0" collapsed="false">
      <c r="A1095" s="4" t="s">
        <v>5907</v>
      </c>
      <c r="B1095" s="4" t="s">
        <v>5841</v>
      </c>
      <c r="C1095" s="22" t="n">
        <v>0.935</v>
      </c>
      <c r="D1095" s="16" t="s">
        <v>313</v>
      </c>
      <c r="E1095" s="16" t="s">
        <v>314</v>
      </c>
      <c r="F1095" s="6" t="n">
        <v>46227</v>
      </c>
      <c r="G1095" s="6" t="n">
        <v>46224</v>
      </c>
      <c r="H1095" s="23" t="n">
        <f aca="false">ABS(F1095-G1095)</f>
        <v>3</v>
      </c>
      <c r="I1095" s="7" t="n">
        <v>-4275.64</v>
      </c>
      <c r="J1095" s="7" t="n">
        <v>4275.64</v>
      </c>
      <c r="K1095" s="7" t="n">
        <f aca="false">I1095-J1095</f>
        <v>-8551.28</v>
      </c>
      <c r="L1095" s="4" t="s">
        <v>5908</v>
      </c>
      <c r="M1095" s="4" t="s">
        <v>5909</v>
      </c>
      <c r="N1095" s="4" t="s">
        <v>312</v>
      </c>
    </row>
    <row r="1096" customFormat="false" ht="15" hidden="false" customHeight="false" outlineLevel="0" collapsed="false">
      <c r="A1096" s="4" t="s">
        <v>5910</v>
      </c>
      <c r="B1096" s="4" t="s">
        <v>5911</v>
      </c>
      <c r="C1096" s="22" t="n">
        <v>0.6</v>
      </c>
      <c r="D1096" s="16" t="s">
        <v>364</v>
      </c>
      <c r="E1096" s="16" t="s">
        <v>365</v>
      </c>
      <c r="F1096" s="6" t="n">
        <v>46256</v>
      </c>
      <c r="G1096" s="6" t="n">
        <v>46256</v>
      </c>
      <c r="H1096" s="23" t="n">
        <f aca="false">ABS(F1096-G1096)</f>
        <v>0</v>
      </c>
      <c r="I1096" s="7" t="n">
        <v>-3429.18</v>
      </c>
      <c r="J1096" s="7" t="n">
        <v>-3429.18</v>
      </c>
      <c r="K1096" s="7" t="n">
        <f aca="false">I1096-J1096</f>
        <v>0</v>
      </c>
      <c r="L1096" s="4" t="s">
        <v>5912</v>
      </c>
      <c r="M1096" s="4" t="s">
        <v>5913</v>
      </c>
      <c r="N1096" s="4" t="s">
        <v>363</v>
      </c>
    </row>
    <row r="1097" customFormat="false" ht="15" hidden="false" customHeight="false" outlineLevel="0" collapsed="false">
      <c r="A1097" s="4" t="s">
        <v>5914</v>
      </c>
      <c r="B1097" s="4" t="s">
        <v>5911</v>
      </c>
      <c r="C1097" s="22" t="n">
        <v>0.6</v>
      </c>
      <c r="D1097" s="16" t="s">
        <v>522</v>
      </c>
      <c r="E1097" s="16" t="s">
        <v>523</v>
      </c>
      <c r="F1097" s="6" t="n">
        <v>46284</v>
      </c>
      <c r="G1097" s="6" t="n">
        <v>46284</v>
      </c>
      <c r="H1097" s="23" t="n">
        <f aca="false">ABS(F1097-G1097)</f>
        <v>0</v>
      </c>
      <c r="I1097" s="7" t="n">
        <v>-531.77</v>
      </c>
      <c r="J1097" s="7" t="n">
        <v>-531.77</v>
      </c>
      <c r="K1097" s="7" t="n">
        <f aca="false">I1097-J1097</f>
        <v>0</v>
      </c>
      <c r="L1097" s="4" t="s">
        <v>5915</v>
      </c>
      <c r="M1097" s="4" t="s">
        <v>5916</v>
      </c>
      <c r="N1097" s="4" t="s">
        <v>521</v>
      </c>
    </row>
    <row r="1098" customFormat="false" ht="15" hidden="false" customHeight="false" outlineLevel="0" collapsed="false">
      <c r="A1098" s="4" t="s">
        <v>5917</v>
      </c>
      <c r="B1098" s="4" t="s">
        <v>5911</v>
      </c>
      <c r="C1098" s="22" t="n">
        <v>0.55</v>
      </c>
      <c r="D1098" s="16" t="s">
        <v>517</v>
      </c>
      <c r="E1098" s="16" t="s">
        <v>518</v>
      </c>
      <c r="F1098" s="6" t="n">
        <v>46272</v>
      </c>
      <c r="G1098" s="6" t="n">
        <v>46271</v>
      </c>
      <c r="H1098" s="23" t="n">
        <f aca="false">ABS(F1098-G1098)</f>
        <v>1</v>
      </c>
      <c r="I1098" s="7" t="n">
        <v>-439.6</v>
      </c>
      <c r="J1098" s="7" t="n">
        <v>-439.6</v>
      </c>
      <c r="K1098" s="7" t="n">
        <f aca="false">I1098-J1098</f>
        <v>0</v>
      </c>
      <c r="L1098" s="4" t="s">
        <v>5918</v>
      </c>
      <c r="M1098" s="4" t="s">
        <v>5919</v>
      </c>
      <c r="N1098" s="4" t="s">
        <v>516</v>
      </c>
    </row>
    <row r="1099" customFormat="false" ht="15" hidden="false" customHeight="false" outlineLevel="0" collapsed="false">
      <c r="A1099" s="4" t="s">
        <v>5920</v>
      </c>
      <c r="B1099" s="4" t="s">
        <v>5911</v>
      </c>
      <c r="C1099" s="22" t="n">
        <v>0.5</v>
      </c>
      <c r="D1099" s="16" t="s">
        <v>358</v>
      </c>
      <c r="E1099" s="16" t="s">
        <v>359</v>
      </c>
      <c r="F1099" s="6" t="n">
        <v>46250</v>
      </c>
      <c r="G1099" s="6" t="n">
        <v>46248</v>
      </c>
      <c r="H1099" s="23" t="n">
        <f aca="false">ABS(F1099-G1099)</f>
        <v>2</v>
      </c>
      <c r="I1099" s="7" t="n">
        <v>-2708.5</v>
      </c>
      <c r="J1099" s="7" t="n">
        <v>-2708.5</v>
      </c>
      <c r="K1099" s="7" t="n">
        <f aca="false">I1099-J1099</f>
        <v>0</v>
      </c>
      <c r="L1099" s="4" t="s">
        <v>5921</v>
      </c>
      <c r="M1099" s="4" t="s">
        <v>5922</v>
      </c>
      <c r="N1099" s="4" t="s">
        <v>356</v>
      </c>
    </row>
    <row r="1100" customFormat="false" ht="15" hidden="false" customHeight="false" outlineLevel="0" collapsed="false">
      <c r="A1100" s="4" t="s">
        <v>5923</v>
      </c>
      <c r="B1100" s="4" t="s">
        <v>5911</v>
      </c>
      <c r="C1100" s="22" t="n">
        <v>0.5</v>
      </c>
      <c r="D1100" s="16" t="s">
        <v>369</v>
      </c>
      <c r="E1100" s="16" t="s">
        <v>370</v>
      </c>
      <c r="F1100" s="6" t="n">
        <v>46283</v>
      </c>
      <c r="G1100" s="6" t="n">
        <v>46281</v>
      </c>
      <c r="H1100" s="23" t="n">
        <f aca="false">ABS(F1100-G1100)</f>
        <v>2</v>
      </c>
      <c r="I1100" s="7" t="n">
        <v>-3659.96</v>
      </c>
      <c r="J1100" s="7" t="n">
        <v>-3659.96</v>
      </c>
      <c r="K1100" s="7" t="n">
        <f aca="false">I1100-J1100</f>
        <v>0</v>
      </c>
      <c r="L1100" s="4" t="s">
        <v>5924</v>
      </c>
      <c r="M1100" s="4" t="s">
        <v>5925</v>
      </c>
      <c r="N1100" s="4" t="s">
        <v>368</v>
      </c>
    </row>
    <row r="1101" customFormat="false" ht="23.85" hidden="false" customHeight="false" outlineLevel="0" collapsed="false">
      <c r="A1101" s="4" t="s">
        <v>5926</v>
      </c>
      <c r="B1101" s="4" t="s">
        <v>5927</v>
      </c>
      <c r="C1101" s="22" t="n">
        <v>0.5</v>
      </c>
      <c r="D1101" s="16" t="s">
        <v>375</v>
      </c>
      <c r="E1101" s="16" t="s">
        <v>376</v>
      </c>
      <c r="F1101" s="6" t="n">
        <v>46211</v>
      </c>
      <c r="G1101" s="6" t="n">
        <v>46211</v>
      </c>
      <c r="H1101" s="23" t="n">
        <f aca="false">ABS(F1101-G1101)</f>
        <v>0</v>
      </c>
      <c r="I1101" s="7" t="n">
        <v>20248.29</v>
      </c>
      <c r="J1101" s="7" t="n">
        <v>20248.29</v>
      </c>
      <c r="K1101" s="7" t="n">
        <f aca="false">I1101-J1101</f>
        <v>0</v>
      </c>
      <c r="L1101" s="4" t="s">
        <v>5928</v>
      </c>
      <c r="M1101" s="4" t="s">
        <v>5929</v>
      </c>
      <c r="N1101" s="4" t="s">
        <v>373</v>
      </c>
    </row>
    <row r="1102" customFormat="false" ht="23.85" hidden="false" customHeight="false" outlineLevel="0" collapsed="false">
      <c r="A1102" s="4" t="s">
        <v>5930</v>
      </c>
      <c r="B1102" s="4" t="s">
        <v>5927</v>
      </c>
      <c r="C1102" s="22" t="n">
        <v>0.5</v>
      </c>
      <c r="D1102" s="16" t="s">
        <v>381</v>
      </c>
      <c r="E1102" s="16" t="s">
        <v>382</v>
      </c>
      <c r="F1102" s="6" t="n">
        <v>46221</v>
      </c>
      <c r="G1102" s="6" t="n">
        <v>46221</v>
      </c>
      <c r="H1102" s="23" t="n">
        <f aca="false">ABS(F1102-G1102)</f>
        <v>0</v>
      </c>
      <c r="I1102" s="7" t="n">
        <v>16136.53</v>
      </c>
      <c r="J1102" s="7" t="n">
        <v>16136.53</v>
      </c>
      <c r="K1102" s="7" t="n">
        <f aca="false">I1102-J1102</f>
        <v>0</v>
      </c>
      <c r="L1102" s="4" t="s">
        <v>5931</v>
      </c>
      <c r="M1102" s="4" t="s">
        <v>5932</v>
      </c>
      <c r="N1102" s="4" t="s">
        <v>380</v>
      </c>
    </row>
    <row r="1103" customFormat="false" ht="23.85" hidden="false" customHeight="false" outlineLevel="0" collapsed="false">
      <c r="A1103" s="4" t="s">
        <v>5933</v>
      </c>
      <c r="B1103" s="4" t="s">
        <v>5927</v>
      </c>
      <c r="C1103" s="22" t="n">
        <v>0.5</v>
      </c>
      <c r="D1103" s="16" t="s">
        <v>386</v>
      </c>
      <c r="E1103" s="16" t="s">
        <v>387</v>
      </c>
      <c r="F1103" s="6" t="n">
        <v>46223</v>
      </c>
      <c r="G1103" s="6" t="n">
        <v>46222</v>
      </c>
      <c r="H1103" s="23" t="n">
        <f aca="false">ABS(F1103-G1103)</f>
        <v>1</v>
      </c>
      <c r="I1103" s="7" t="n">
        <v>15459.17</v>
      </c>
      <c r="J1103" s="7" t="n">
        <v>15459.17</v>
      </c>
      <c r="K1103" s="7" t="n">
        <f aca="false">I1103-J1103</f>
        <v>0</v>
      </c>
      <c r="L1103" s="4" t="s">
        <v>5934</v>
      </c>
      <c r="M1103" s="4" t="s">
        <v>5935</v>
      </c>
      <c r="N1103" s="4" t="s">
        <v>385</v>
      </c>
    </row>
    <row r="1104" customFormat="false" ht="23.85" hidden="false" customHeight="false" outlineLevel="0" collapsed="false">
      <c r="A1104" s="4" t="s">
        <v>5936</v>
      </c>
      <c r="B1104" s="4" t="s">
        <v>5927</v>
      </c>
      <c r="C1104" s="22" t="n">
        <v>0.5</v>
      </c>
      <c r="D1104" s="16" t="s">
        <v>391</v>
      </c>
      <c r="E1104" s="16" t="s">
        <v>392</v>
      </c>
      <c r="F1104" s="6" t="n">
        <v>46229</v>
      </c>
      <c r="G1104" s="6" t="n">
        <v>46229</v>
      </c>
      <c r="H1104" s="23" t="n">
        <f aca="false">ABS(F1104-G1104)</f>
        <v>0</v>
      </c>
      <c r="I1104" s="7" t="n">
        <v>18401.02</v>
      </c>
      <c r="J1104" s="7" t="n">
        <v>18401.02</v>
      </c>
      <c r="K1104" s="7" t="n">
        <f aca="false">I1104-J1104</f>
        <v>0</v>
      </c>
      <c r="L1104" s="4" t="s">
        <v>5937</v>
      </c>
      <c r="M1104" s="4" t="s">
        <v>5938</v>
      </c>
      <c r="N1104" s="4" t="s">
        <v>390</v>
      </c>
    </row>
    <row r="1105" customFormat="false" ht="23.85" hidden="false" customHeight="false" outlineLevel="0" collapsed="false">
      <c r="A1105" s="4" t="s">
        <v>5939</v>
      </c>
      <c r="B1105" s="4" t="s">
        <v>5927</v>
      </c>
      <c r="C1105" s="22" t="n">
        <v>0.5</v>
      </c>
      <c r="D1105" s="16" t="s">
        <v>396</v>
      </c>
      <c r="E1105" s="16" t="s">
        <v>397</v>
      </c>
      <c r="F1105" s="6" t="n">
        <v>46253</v>
      </c>
      <c r="G1105" s="6" t="n">
        <v>46253</v>
      </c>
      <c r="H1105" s="23" t="n">
        <f aca="false">ABS(F1105-G1105)</f>
        <v>0</v>
      </c>
      <c r="I1105" s="7" t="n">
        <v>16045.15</v>
      </c>
      <c r="J1105" s="7" t="n">
        <v>16045.15</v>
      </c>
      <c r="K1105" s="7" t="n">
        <f aca="false">I1105-J1105</f>
        <v>0</v>
      </c>
      <c r="L1105" s="4" t="s">
        <v>5940</v>
      </c>
      <c r="M1105" s="4" t="s">
        <v>5941</v>
      </c>
      <c r="N1105" s="4" t="s">
        <v>395</v>
      </c>
    </row>
    <row r="1106" customFormat="false" ht="23.85" hidden="false" customHeight="false" outlineLevel="0" collapsed="false">
      <c r="A1106" s="4" t="s">
        <v>5942</v>
      </c>
      <c r="B1106" s="4" t="s">
        <v>5927</v>
      </c>
      <c r="C1106" s="22" t="n">
        <v>0.5</v>
      </c>
      <c r="D1106" s="16" t="s">
        <v>401</v>
      </c>
      <c r="E1106" s="16" t="s">
        <v>402</v>
      </c>
      <c r="F1106" s="6" t="n">
        <v>46253</v>
      </c>
      <c r="G1106" s="6" t="n">
        <v>46252</v>
      </c>
      <c r="H1106" s="23" t="n">
        <f aca="false">ABS(F1106-G1106)</f>
        <v>1</v>
      </c>
      <c r="I1106" s="7" t="n">
        <v>11448.33</v>
      </c>
      <c r="J1106" s="7" t="n">
        <v>11448.33</v>
      </c>
      <c r="K1106" s="7" t="n">
        <f aca="false">I1106-J1106</f>
        <v>0</v>
      </c>
      <c r="L1106" s="4" t="s">
        <v>5943</v>
      </c>
      <c r="M1106" s="4" t="s">
        <v>5944</v>
      </c>
      <c r="N1106" s="4" t="s">
        <v>400</v>
      </c>
    </row>
  </sheetData>
  <autoFilter ref="A4:N11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5" t="s">
        <v>5945</v>
      </c>
    </row>
    <row r="2" customFormat="false" ht="15" hidden="false" customHeight="false" outlineLevel="0" collapsed="false">
      <c r="A2" s="2" t="s">
        <v>5946</v>
      </c>
    </row>
    <row r="4" customFormat="false" ht="31.5" hidden="false" customHeight="true" outlineLevel="0" collapsed="false">
      <c r="A4" s="11" t="s">
        <v>5947</v>
      </c>
      <c r="B4" s="11" t="s">
        <v>5948</v>
      </c>
      <c r="C4" s="11" t="s">
        <v>53</v>
      </c>
      <c r="D4" s="11" t="s">
        <v>70</v>
      </c>
      <c r="E4" s="11" t="s">
        <v>69</v>
      </c>
      <c r="F4" s="11" t="s">
        <v>5949</v>
      </c>
      <c r="G4" s="11" t="s">
        <v>5950</v>
      </c>
      <c r="H4" s="11" t="s">
        <v>528</v>
      </c>
      <c r="I4" s="11" t="s">
        <v>61</v>
      </c>
    </row>
    <row r="5" customFormat="false" ht="15" hidden="false" customHeight="false" outlineLevel="0" collapsed="false">
      <c r="A5" s="4" t="s">
        <v>540</v>
      </c>
      <c r="B5" s="23" t="n">
        <v>2</v>
      </c>
      <c r="C5" s="6" t="n">
        <v>46204</v>
      </c>
      <c r="D5" s="4" t="s">
        <v>542</v>
      </c>
      <c r="E5" s="4"/>
      <c r="F5" s="7" t="n">
        <v>74471.27</v>
      </c>
      <c r="G5" s="24" t="s">
        <v>5951</v>
      </c>
      <c r="H5" s="4" t="s">
        <v>538</v>
      </c>
      <c r="I5" s="4"/>
    </row>
    <row r="6" customFormat="false" ht="15" hidden="false" customHeight="false" outlineLevel="0" collapsed="false">
      <c r="A6" s="4" t="s">
        <v>545</v>
      </c>
      <c r="B6" s="23" t="n">
        <v>3</v>
      </c>
      <c r="C6" s="6" t="n">
        <v>46204</v>
      </c>
      <c r="D6" s="4" t="s">
        <v>547</v>
      </c>
      <c r="E6" s="4"/>
      <c r="F6" s="7" t="n">
        <v>85406.51</v>
      </c>
      <c r="G6" s="24" t="s">
        <v>5951</v>
      </c>
      <c r="H6" s="4" t="s">
        <v>544</v>
      </c>
      <c r="I6" s="4"/>
    </row>
    <row r="7" customFormat="false" ht="15" hidden="false" customHeight="false" outlineLevel="0" collapsed="false">
      <c r="A7" s="4" t="s">
        <v>550</v>
      </c>
      <c r="B7" s="23" t="n">
        <v>4</v>
      </c>
      <c r="C7" s="6" t="n">
        <v>46204</v>
      </c>
      <c r="D7" s="4" t="s">
        <v>552</v>
      </c>
      <c r="E7" s="4"/>
      <c r="F7" s="7" t="n">
        <v>25861.73</v>
      </c>
      <c r="G7" s="24" t="s">
        <v>5951</v>
      </c>
      <c r="H7" s="4" t="s">
        <v>549</v>
      </c>
      <c r="I7" s="4"/>
    </row>
    <row r="8" customFormat="false" ht="15" hidden="false" customHeight="false" outlineLevel="0" collapsed="false">
      <c r="A8" s="4" t="s">
        <v>555</v>
      </c>
      <c r="B8" s="23" t="n">
        <v>5</v>
      </c>
      <c r="C8" s="6" t="n">
        <v>46204</v>
      </c>
      <c r="D8" s="4" t="s">
        <v>557</v>
      </c>
      <c r="E8" s="4" t="s">
        <v>5952</v>
      </c>
      <c r="F8" s="7" t="n">
        <v>80253.44</v>
      </c>
      <c r="G8" s="24" t="s">
        <v>5951</v>
      </c>
      <c r="H8" s="4" t="s">
        <v>554</v>
      </c>
      <c r="I8" s="4"/>
    </row>
    <row r="9" customFormat="false" ht="15" hidden="false" customHeight="false" outlineLevel="0" collapsed="false">
      <c r="A9" s="4" t="s">
        <v>560</v>
      </c>
      <c r="B9" s="23" t="n">
        <v>6</v>
      </c>
      <c r="C9" s="6" t="n">
        <v>46204</v>
      </c>
      <c r="D9" s="4" t="s">
        <v>562</v>
      </c>
      <c r="E9" s="4" t="s">
        <v>5953</v>
      </c>
      <c r="F9" s="7" t="n">
        <v>70918.12</v>
      </c>
      <c r="G9" s="24" t="s">
        <v>5951</v>
      </c>
      <c r="H9" s="4" t="s">
        <v>559</v>
      </c>
      <c r="I9" s="4"/>
    </row>
    <row r="10" customFormat="false" ht="15" hidden="false" customHeight="false" outlineLevel="0" collapsed="false">
      <c r="A10" s="4" t="s">
        <v>565</v>
      </c>
      <c r="B10" s="23" t="n">
        <v>7</v>
      </c>
      <c r="C10" s="6" t="n">
        <v>46204</v>
      </c>
      <c r="D10" s="4" t="s">
        <v>567</v>
      </c>
      <c r="E10" s="4" t="s">
        <v>5954</v>
      </c>
      <c r="F10" s="7" t="n">
        <v>58163.35</v>
      </c>
      <c r="G10" s="24" t="s">
        <v>5951</v>
      </c>
      <c r="H10" s="4" t="s">
        <v>564</v>
      </c>
      <c r="I10" s="4"/>
    </row>
    <row r="11" customFormat="false" ht="15" hidden="false" customHeight="false" outlineLevel="0" collapsed="false">
      <c r="A11" s="4" t="s">
        <v>570</v>
      </c>
      <c r="B11" s="23" t="n">
        <v>8</v>
      </c>
      <c r="C11" s="6" t="n">
        <v>46204</v>
      </c>
      <c r="D11" s="4" t="s">
        <v>572</v>
      </c>
      <c r="E11" s="4"/>
      <c r="F11" s="7" t="n">
        <v>30637.39</v>
      </c>
      <c r="G11" s="24" t="s">
        <v>5951</v>
      </c>
      <c r="H11" s="4" t="s">
        <v>569</v>
      </c>
      <c r="I11" s="4"/>
    </row>
    <row r="12" customFormat="false" ht="15" hidden="false" customHeight="false" outlineLevel="0" collapsed="false">
      <c r="A12" s="4" t="s">
        <v>575</v>
      </c>
      <c r="B12" s="23" t="n">
        <v>9</v>
      </c>
      <c r="C12" s="6" t="n">
        <v>46204</v>
      </c>
      <c r="D12" s="4" t="s">
        <v>577</v>
      </c>
      <c r="E12" s="4" t="s">
        <v>5955</v>
      </c>
      <c r="F12" s="7" t="n">
        <v>16321.38</v>
      </c>
      <c r="G12" s="24" t="s">
        <v>5951</v>
      </c>
      <c r="H12" s="4" t="s">
        <v>574</v>
      </c>
      <c r="I12" s="4"/>
    </row>
    <row r="13" customFormat="false" ht="15" hidden="false" customHeight="false" outlineLevel="0" collapsed="false">
      <c r="A13" s="4" t="s">
        <v>580</v>
      </c>
      <c r="B13" s="23" t="n">
        <v>10</v>
      </c>
      <c r="C13" s="6" t="n">
        <v>46204</v>
      </c>
      <c r="D13" s="4" t="s">
        <v>582</v>
      </c>
      <c r="E13" s="4" t="s">
        <v>5956</v>
      </c>
      <c r="F13" s="7" t="n">
        <v>-34728.88</v>
      </c>
      <c r="G13" s="24" t="s">
        <v>5951</v>
      </c>
      <c r="H13" s="4" t="s">
        <v>579</v>
      </c>
      <c r="I13" s="4"/>
    </row>
    <row r="14" customFormat="false" ht="15" hidden="false" customHeight="false" outlineLevel="0" collapsed="false">
      <c r="A14" s="4" t="s">
        <v>2212</v>
      </c>
      <c r="B14" s="23" t="n">
        <v>11</v>
      </c>
      <c r="C14" s="6" t="n">
        <v>46205</v>
      </c>
      <c r="D14" s="4" t="s">
        <v>2214</v>
      </c>
      <c r="E14" s="4" t="s">
        <v>5957</v>
      </c>
      <c r="F14" s="7" t="n">
        <v>80301.26</v>
      </c>
      <c r="G14" s="24" t="s">
        <v>5951</v>
      </c>
      <c r="H14" s="4" t="s">
        <v>2211</v>
      </c>
      <c r="I14" s="4"/>
    </row>
    <row r="15" customFormat="false" ht="15" hidden="false" customHeight="false" outlineLevel="0" collapsed="false">
      <c r="A15" s="4" t="s">
        <v>2217</v>
      </c>
      <c r="B15" s="23" t="n">
        <v>12</v>
      </c>
      <c r="C15" s="6" t="n">
        <v>46205</v>
      </c>
      <c r="D15" s="4" t="s">
        <v>2219</v>
      </c>
      <c r="E15" s="4" t="s">
        <v>5958</v>
      </c>
      <c r="F15" s="7" t="n">
        <v>39464.96</v>
      </c>
      <c r="G15" s="24" t="s">
        <v>5951</v>
      </c>
      <c r="H15" s="4" t="s">
        <v>2216</v>
      </c>
      <c r="I15" s="4"/>
    </row>
    <row r="16" customFormat="false" ht="15" hidden="false" customHeight="false" outlineLevel="0" collapsed="false">
      <c r="A16" s="4" t="s">
        <v>2222</v>
      </c>
      <c r="B16" s="23" t="n">
        <v>13</v>
      </c>
      <c r="C16" s="6" t="n">
        <v>46205</v>
      </c>
      <c r="D16" s="4" t="s">
        <v>2224</v>
      </c>
      <c r="E16" s="4" t="s">
        <v>5959</v>
      </c>
      <c r="F16" s="7" t="n">
        <v>40257.56</v>
      </c>
      <c r="G16" s="24" t="s">
        <v>5951</v>
      </c>
      <c r="H16" s="4" t="s">
        <v>2221</v>
      </c>
      <c r="I16" s="4"/>
    </row>
    <row r="17" customFormat="false" ht="15" hidden="false" customHeight="false" outlineLevel="0" collapsed="false">
      <c r="A17" s="4" t="s">
        <v>585</v>
      </c>
      <c r="B17" s="23" t="n">
        <v>14</v>
      </c>
      <c r="C17" s="6" t="n">
        <v>46205</v>
      </c>
      <c r="D17" s="4" t="s">
        <v>587</v>
      </c>
      <c r="E17" s="4" t="s">
        <v>5960</v>
      </c>
      <c r="F17" s="7" t="n">
        <v>17593.36</v>
      </c>
      <c r="G17" s="24" t="s">
        <v>5951</v>
      </c>
      <c r="H17" s="4" t="s">
        <v>584</v>
      </c>
      <c r="I17" s="4"/>
    </row>
    <row r="18" customFormat="false" ht="15" hidden="false" customHeight="false" outlineLevel="0" collapsed="false">
      <c r="A18" s="4" t="s">
        <v>2227</v>
      </c>
      <c r="B18" s="23" t="n">
        <v>15</v>
      </c>
      <c r="C18" s="6" t="n">
        <v>46205</v>
      </c>
      <c r="D18" s="4" t="s">
        <v>2229</v>
      </c>
      <c r="E18" s="4" t="s">
        <v>5961</v>
      </c>
      <c r="F18" s="7" t="n">
        <v>92963.64</v>
      </c>
      <c r="G18" s="24" t="s">
        <v>5951</v>
      </c>
      <c r="H18" s="4" t="s">
        <v>2226</v>
      </c>
      <c r="I18" s="4"/>
    </row>
    <row r="19" customFormat="false" ht="15" hidden="false" customHeight="false" outlineLevel="0" collapsed="false">
      <c r="A19" s="4" t="s">
        <v>590</v>
      </c>
      <c r="B19" s="23" t="n">
        <v>16</v>
      </c>
      <c r="C19" s="6" t="n">
        <v>46205</v>
      </c>
      <c r="D19" s="4" t="s">
        <v>592</v>
      </c>
      <c r="E19" s="4" t="s">
        <v>5962</v>
      </c>
      <c r="F19" s="7" t="n">
        <v>58735.72</v>
      </c>
      <c r="G19" s="24" t="s">
        <v>5951</v>
      </c>
      <c r="H19" s="4" t="s">
        <v>589</v>
      </c>
      <c r="I19" s="4"/>
    </row>
    <row r="20" customFormat="false" ht="15" hidden="false" customHeight="false" outlineLevel="0" collapsed="false">
      <c r="A20" s="4" t="s">
        <v>2232</v>
      </c>
      <c r="B20" s="23" t="n">
        <v>17</v>
      </c>
      <c r="C20" s="6" t="n">
        <v>46205</v>
      </c>
      <c r="D20" s="4" t="s">
        <v>2234</v>
      </c>
      <c r="E20" s="4" t="s">
        <v>5963</v>
      </c>
      <c r="F20" s="7" t="n">
        <v>29064.46</v>
      </c>
      <c r="G20" s="24" t="s">
        <v>5951</v>
      </c>
      <c r="H20" s="4" t="s">
        <v>2231</v>
      </c>
      <c r="I20" s="4"/>
    </row>
    <row r="21" customFormat="false" ht="15" hidden="false" customHeight="false" outlineLevel="0" collapsed="false">
      <c r="A21" s="4" t="s">
        <v>595</v>
      </c>
      <c r="B21" s="23" t="n">
        <v>18</v>
      </c>
      <c r="C21" s="6" t="n">
        <v>46205</v>
      </c>
      <c r="D21" s="4" t="s">
        <v>597</v>
      </c>
      <c r="E21" s="4" t="s">
        <v>5964</v>
      </c>
      <c r="F21" s="7" t="n">
        <v>-56444.22</v>
      </c>
      <c r="G21" s="24" t="s">
        <v>5951</v>
      </c>
      <c r="H21" s="4" t="s">
        <v>594</v>
      </c>
      <c r="I21" s="4"/>
    </row>
    <row r="22" customFormat="false" ht="15" hidden="false" customHeight="false" outlineLevel="0" collapsed="false">
      <c r="A22" s="4" t="s">
        <v>600</v>
      </c>
      <c r="B22" s="23" t="n">
        <v>19</v>
      </c>
      <c r="C22" s="6" t="n">
        <v>46205</v>
      </c>
      <c r="D22" s="4" t="s">
        <v>602</v>
      </c>
      <c r="E22" s="4" t="s">
        <v>5965</v>
      </c>
      <c r="F22" s="7" t="n">
        <v>-6914.35</v>
      </c>
      <c r="G22" s="24" t="s">
        <v>5951</v>
      </c>
      <c r="H22" s="4" t="s">
        <v>599</v>
      </c>
      <c r="I22" s="4"/>
    </row>
    <row r="23" customFormat="false" ht="15" hidden="false" customHeight="false" outlineLevel="0" collapsed="false">
      <c r="A23" s="4" t="s">
        <v>605</v>
      </c>
      <c r="B23" s="23" t="n">
        <v>20</v>
      </c>
      <c r="C23" s="6" t="n">
        <v>46205</v>
      </c>
      <c r="D23" s="4" t="s">
        <v>607</v>
      </c>
      <c r="E23" s="4" t="s">
        <v>5966</v>
      </c>
      <c r="F23" s="7" t="n">
        <v>-34476.01</v>
      </c>
      <c r="G23" s="24" t="s">
        <v>5951</v>
      </c>
      <c r="H23" s="4" t="s">
        <v>604</v>
      </c>
      <c r="I23" s="4"/>
    </row>
    <row r="24" customFormat="false" ht="15" hidden="false" customHeight="false" outlineLevel="0" collapsed="false">
      <c r="A24" s="4" t="s">
        <v>2237</v>
      </c>
      <c r="B24" s="23" t="n">
        <v>21</v>
      </c>
      <c r="C24" s="6" t="n">
        <v>46205</v>
      </c>
      <c r="D24" s="4" t="s">
        <v>2239</v>
      </c>
      <c r="E24" s="4" t="s">
        <v>5967</v>
      </c>
      <c r="F24" s="7" t="n">
        <v>-31334.04</v>
      </c>
      <c r="G24" s="24" t="s">
        <v>5951</v>
      </c>
      <c r="H24" s="4" t="s">
        <v>2236</v>
      </c>
      <c r="I24" s="4"/>
    </row>
    <row r="25" customFormat="false" ht="15" hidden="false" customHeight="false" outlineLevel="0" collapsed="false">
      <c r="A25" s="4" t="s">
        <v>610</v>
      </c>
      <c r="B25" s="23" t="n">
        <v>22</v>
      </c>
      <c r="C25" s="6" t="n">
        <v>46206</v>
      </c>
      <c r="D25" s="4" t="s">
        <v>612</v>
      </c>
      <c r="E25" s="4" t="s">
        <v>5968</v>
      </c>
      <c r="F25" s="7" t="n">
        <v>9662.1</v>
      </c>
      <c r="G25" s="24" t="s">
        <v>5951</v>
      </c>
      <c r="H25" s="4" t="s">
        <v>609</v>
      </c>
      <c r="I25" s="4"/>
    </row>
    <row r="26" customFormat="false" ht="15" hidden="false" customHeight="false" outlineLevel="0" collapsed="false">
      <c r="A26" s="4" t="s">
        <v>2242</v>
      </c>
      <c r="B26" s="23" t="n">
        <v>23</v>
      </c>
      <c r="C26" s="6" t="n">
        <v>46206</v>
      </c>
      <c r="D26" s="4" t="s">
        <v>2244</v>
      </c>
      <c r="E26" s="4" t="s">
        <v>5969</v>
      </c>
      <c r="F26" s="7" t="n">
        <v>14194.34</v>
      </c>
      <c r="G26" s="24" t="s">
        <v>5951</v>
      </c>
      <c r="H26" s="4" t="s">
        <v>2241</v>
      </c>
      <c r="I26" s="4"/>
    </row>
    <row r="27" customFormat="false" ht="15" hidden="false" customHeight="false" outlineLevel="0" collapsed="false">
      <c r="A27" s="4" t="s">
        <v>615</v>
      </c>
      <c r="B27" s="23" t="n">
        <v>24</v>
      </c>
      <c r="C27" s="6" t="n">
        <v>46206</v>
      </c>
      <c r="D27" s="4" t="s">
        <v>617</v>
      </c>
      <c r="E27" s="4"/>
      <c r="F27" s="7" t="n">
        <v>31705.47</v>
      </c>
      <c r="G27" s="24" t="s">
        <v>5951</v>
      </c>
      <c r="H27" s="4" t="s">
        <v>614</v>
      </c>
      <c r="I27" s="4"/>
    </row>
    <row r="28" customFormat="false" ht="15" hidden="false" customHeight="false" outlineLevel="0" collapsed="false">
      <c r="A28" s="4" t="s">
        <v>620</v>
      </c>
      <c r="B28" s="23" t="n">
        <v>25</v>
      </c>
      <c r="C28" s="6" t="n">
        <v>46206</v>
      </c>
      <c r="D28" s="4" t="s">
        <v>622</v>
      </c>
      <c r="E28" s="4" t="s">
        <v>5970</v>
      </c>
      <c r="F28" s="7" t="n">
        <v>30251.62</v>
      </c>
      <c r="G28" s="24" t="s">
        <v>5951</v>
      </c>
      <c r="H28" s="4" t="s">
        <v>619</v>
      </c>
      <c r="I28" s="4"/>
    </row>
    <row r="29" customFormat="false" ht="15" hidden="false" customHeight="false" outlineLevel="0" collapsed="false">
      <c r="A29" s="4" t="s">
        <v>2247</v>
      </c>
      <c r="B29" s="23" t="n">
        <v>26</v>
      </c>
      <c r="C29" s="6" t="n">
        <v>46206</v>
      </c>
      <c r="D29" s="4" t="s">
        <v>2249</v>
      </c>
      <c r="E29" s="4" t="s">
        <v>5971</v>
      </c>
      <c r="F29" s="7" t="n">
        <v>33180.93</v>
      </c>
      <c r="G29" s="24" t="s">
        <v>5951</v>
      </c>
      <c r="H29" s="4" t="s">
        <v>2246</v>
      </c>
      <c r="I29" s="4"/>
    </row>
    <row r="30" customFormat="false" ht="15" hidden="false" customHeight="false" outlineLevel="0" collapsed="false">
      <c r="A30" s="4" t="s">
        <v>2252</v>
      </c>
      <c r="B30" s="23" t="n">
        <v>27</v>
      </c>
      <c r="C30" s="6" t="n">
        <v>46206</v>
      </c>
      <c r="D30" s="4" t="s">
        <v>2254</v>
      </c>
      <c r="E30" s="4" t="s">
        <v>5972</v>
      </c>
      <c r="F30" s="7" t="n">
        <v>56947.73</v>
      </c>
      <c r="G30" s="24" t="s">
        <v>5951</v>
      </c>
      <c r="H30" s="4" t="s">
        <v>2251</v>
      </c>
      <c r="I30" s="4"/>
    </row>
    <row r="31" customFormat="false" ht="15" hidden="false" customHeight="false" outlineLevel="0" collapsed="false">
      <c r="A31" s="4" t="s">
        <v>625</v>
      </c>
      <c r="B31" s="23" t="n">
        <v>28</v>
      </c>
      <c r="C31" s="6" t="n">
        <v>46206</v>
      </c>
      <c r="D31" s="4" t="s">
        <v>627</v>
      </c>
      <c r="E31" s="4" t="s">
        <v>5973</v>
      </c>
      <c r="F31" s="7" t="n">
        <v>38427.28</v>
      </c>
      <c r="G31" s="24" t="s">
        <v>5951</v>
      </c>
      <c r="H31" s="4" t="s">
        <v>624</v>
      </c>
      <c r="I31" s="4"/>
    </row>
    <row r="32" customFormat="false" ht="15" hidden="false" customHeight="false" outlineLevel="0" collapsed="false">
      <c r="A32" s="4" t="s">
        <v>3804</v>
      </c>
      <c r="B32" s="23" t="n">
        <v>29</v>
      </c>
      <c r="C32" s="6" t="n">
        <v>46206</v>
      </c>
      <c r="D32" s="4" t="s">
        <v>3806</v>
      </c>
      <c r="E32" s="4" t="s">
        <v>5974</v>
      </c>
      <c r="F32" s="7" t="n">
        <v>15893.2</v>
      </c>
      <c r="G32" s="24" t="s">
        <v>5951</v>
      </c>
      <c r="H32" s="4" t="s">
        <v>3803</v>
      </c>
      <c r="I32" s="4"/>
    </row>
    <row r="33" customFormat="false" ht="15" hidden="false" customHeight="false" outlineLevel="0" collapsed="false">
      <c r="A33" s="4" t="s">
        <v>630</v>
      </c>
      <c r="B33" s="23" t="n">
        <v>30</v>
      </c>
      <c r="C33" s="6" t="n">
        <v>46206</v>
      </c>
      <c r="D33" s="4" t="s">
        <v>632</v>
      </c>
      <c r="E33" s="4" t="s">
        <v>5975</v>
      </c>
      <c r="F33" s="7" t="n">
        <v>52434.49</v>
      </c>
      <c r="G33" s="24" t="s">
        <v>5951</v>
      </c>
      <c r="H33" s="4" t="s">
        <v>629</v>
      </c>
      <c r="I33" s="4"/>
    </row>
    <row r="34" customFormat="false" ht="15" hidden="false" customHeight="false" outlineLevel="0" collapsed="false">
      <c r="A34" s="4" t="s">
        <v>2257</v>
      </c>
      <c r="B34" s="23" t="n">
        <v>31</v>
      </c>
      <c r="C34" s="6" t="n">
        <v>46206</v>
      </c>
      <c r="D34" s="4" t="s">
        <v>2259</v>
      </c>
      <c r="E34" s="4"/>
      <c r="F34" s="7" t="n">
        <v>14196.36</v>
      </c>
      <c r="G34" s="24" t="s">
        <v>5951</v>
      </c>
      <c r="H34" s="4" t="s">
        <v>2256</v>
      </c>
      <c r="I34" s="4"/>
    </row>
    <row r="35" customFormat="false" ht="15" hidden="false" customHeight="false" outlineLevel="0" collapsed="false">
      <c r="A35" s="4" t="s">
        <v>3809</v>
      </c>
      <c r="B35" s="23" t="n">
        <v>32</v>
      </c>
      <c r="C35" s="6" t="n">
        <v>46206</v>
      </c>
      <c r="D35" s="4" t="s">
        <v>3811</v>
      </c>
      <c r="E35" s="4" t="s">
        <v>5976</v>
      </c>
      <c r="F35" s="7" t="n">
        <v>-24979.35</v>
      </c>
      <c r="G35" s="24" t="s">
        <v>5951</v>
      </c>
      <c r="H35" s="4" t="s">
        <v>3808</v>
      </c>
      <c r="I35" s="4"/>
    </row>
    <row r="36" customFormat="false" ht="15" hidden="false" customHeight="false" outlineLevel="0" collapsed="false">
      <c r="A36" s="4" t="s">
        <v>2262</v>
      </c>
      <c r="B36" s="23" t="n">
        <v>33</v>
      </c>
      <c r="C36" s="6" t="n">
        <v>46206</v>
      </c>
      <c r="D36" s="4" t="s">
        <v>2264</v>
      </c>
      <c r="E36" s="4" t="s">
        <v>5977</v>
      </c>
      <c r="F36" s="7" t="n">
        <v>-58473.02</v>
      </c>
      <c r="G36" s="24" t="s">
        <v>5951</v>
      </c>
      <c r="H36" s="4" t="s">
        <v>2261</v>
      </c>
      <c r="I36" s="4"/>
    </row>
    <row r="37" customFormat="false" ht="15" hidden="false" customHeight="false" outlineLevel="0" collapsed="false">
      <c r="A37" s="4" t="s">
        <v>635</v>
      </c>
      <c r="B37" s="23" t="n">
        <v>34</v>
      </c>
      <c r="C37" s="6" t="n">
        <v>46207</v>
      </c>
      <c r="D37" s="4" t="s">
        <v>637</v>
      </c>
      <c r="E37" s="4" t="s">
        <v>5978</v>
      </c>
      <c r="F37" s="7" t="n">
        <v>35711.75</v>
      </c>
      <c r="G37" s="24" t="s">
        <v>5951</v>
      </c>
      <c r="H37" s="4" t="s">
        <v>634</v>
      </c>
      <c r="I37" s="4"/>
    </row>
    <row r="38" customFormat="false" ht="15" hidden="false" customHeight="false" outlineLevel="0" collapsed="false">
      <c r="A38" s="4" t="s">
        <v>2267</v>
      </c>
      <c r="B38" s="23" t="n">
        <v>35</v>
      </c>
      <c r="C38" s="6" t="n">
        <v>46207</v>
      </c>
      <c r="D38" s="4" t="s">
        <v>2269</v>
      </c>
      <c r="E38" s="4" t="s">
        <v>5979</v>
      </c>
      <c r="F38" s="7" t="n">
        <v>51162.61</v>
      </c>
      <c r="G38" s="24" t="s">
        <v>5951</v>
      </c>
      <c r="H38" s="4" t="s">
        <v>2266</v>
      </c>
      <c r="I38" s="4"/>
    </row>
    <row r="39" customFormat="false" ht="15" hidden="false" customHeight="false" outlineLevel="0" collapsed="false">
      <c r="A39" s="4" t="s">
        <v>2272</v>
      </c>
      <c r="B39" s="23" t="n">
        <v>36</v>
      </c>
      <c r="C39" s="6" t="n">
        <v>46207</v>
      </c>
      <c r="D39" s="4" t="s">
        <v>2274</v>
      </c>
      <c r="E39" s="4" t="s">
        <v>5980</v>
      </c>
      <c r="F39" s="7" t="n">
        <v>45197.71</v>
      </c>
      <c r="G39" s="24" t="s">
        <v>5951</v>
      </c>
      <c r="H39" s="4" t="s">
        <v>2271</v>
      </c>
      <c r="I39" s="4"/>
    </row>
    <row r="40" customFormat="false" ht="15" hidden="false" customHeight="false" outlineLevel="0" collapsed="false">
      <c r="A40" s="4" t="s">
        <v>2277</v>
      </c>
      <c r="B40" s="23" t="n">
        <v>37</v>
      </c>
      <c r="C40" s="6" t="n">
        <v>46207</v>
      </c>
      <c r="D40" s="4" t="s">
        <v>2279</v>
      </c>
      <c r="E40" s="4" t="s">
        <v>5981</v>
      </c>
      <c r="F40" s="7" t="n">
        <v>55404.83</v>
      </c>
      <c r="G40" s="24" t="s">
        <v>5951</v>
      </c>
      <c r="H40" s="4" t="s">
        <v>2276</v>
      </c>
      <c r="I40" s="4"/>
    </row>
    <row r="41" customFormat="false" ht="15" hidden="false" customHeight="false" outlineLevel="0" collapsed="false">
      <c r="A41" s="4" t="s">
        <v>3814</v>
      </c>
      <c r="B41" s="23" t="n">
        <v>38</v>
      </c>
      <c r="C41" s="6" t="n">
        <v>46207</v>
      </c>
      <c r="D41" s="4" t="s">
        <v>3816</v>
      </c>
      <c r="E41" s="4" t="s">
        <v>5982</v>
      </c>
      <c r="F41" s="7" t="n">
        <v>58297.6</v>
      </c>
      <c r="G41" s="24" t="s">
        <v>5951</v>
      </c>
      <c r="H41" s="4" t="s">
        <v>3813</v>
      </c>
      <c r="I41" s="4"/>
    </row>
    <row r="42" customFormat="false" ht="15" hidden="false" customHeight="false" outlineLevel="0" collapsed="false">
      <c r="A42" s="4" t="s">
        <v>640</v>
      </c>
      <c r="B42" s="23" t="n">
        <v>39</v>
      </c>
      <c r="C42" s="6" t="n">
        <v>46207</v>
      </c>
      <c r="D42" s="4" t="s">
        <v>642</v>
      </c>
      <c r="E42" s="4"/>
      <c r="F42" s="7" t="n">
        <v>67468.06</v>
      </c>
      <c r="G42" s="24" t="s">
        <v>5951</v>
      </c>
      <c r="H42" s="4" t="s">
        <v>639</v>
      </c>
      <c r="I42" s="4"/>
    </row>
    <row r="43" customFormat="false" ht="15" hidden="false" customHeight="false" outlineLevel="0" collapsed="false">
      <c r="A43" s="4" t="s">
        <v>2282</v>
      </c>
      <c r="B43" s="23" t="n">
        <v>40</v>
      </c>
      <c r="C43" s="6" t="n">
        <v>46207</v>
      </c>
      <c r="D43" s="4" t="s">
        <v>2284</v>
      </c>
      <c r="E43" s="4" t="s">
        <v>5983</v>
      </c>
      <c r="F43" s="7" t="n">
        <v>46767.67</v>
      </c>
      <c r="G43" s="24" t="s">
        <v>5951</v>
      </c>
      <c r="H43" s="4" t="s">
        <v>2281</v>
      </c>
      <c r="I43" s="4"/>
    </row>
    <row r="44" customFormat="false" ht="15" hidden="false" customHeight="false" outlineLevel="0" collapsed="false">
      <c r="A44" s="4" t="s">
        <v>645</v>
      </c>
      <c r="B44" s="23" t="n">
        <v>41</v>
      </c>
      <c r="C44" s="6" t="n">
        <v>46207</v>
      </c>
      <c r="D44" s="4" t="s">
        <v>647</v>
      </c>
      <c r="E44" s="4" t="s">
        <v>5984</v>
      </c>
      <c r="F44" s="7" t="n">
        <v>61523.6</v>
      </c>
      <c r="G44" s="24" t="s">
        <v>5951</v>
      </c>
      <c r="H44" s="4" t="s">
        <v>644</v>
      </c>
      <c r="I44" s="4"/>
    </row>
    <row r="45" customFormat="false" ht="15" hidden="false" customHeight="false" outlineLevel="0" collapsed="false">
      <c r="A45" s="4" t="s">
        <v>650</v>
      </c>
      <c r="B45" s="23" t="n">
        <v>42</v>
      </c>
      <c r="C45" s="6" t="n">
        <v>46207</v>
      </c>
      <c r="D45" s="4" t="s">
        <v>652</v>
      </c>
      <c r="E45" s="4"/>
      <c r="F45" s="7" t="n">
        <v>26042.14</v>
      </c>
      <c r="G45" s="24" t="s">
        <v>5951</v>
      </c>
      <c r="H45" s="4" t="s">
        <v>649</v>
      </c>
      <c r="I45" s="4"/>
    </row>
    <row r="46" customFormat="false" ht="15" hidden="false" customHeight="false" outlineLevel="0" collapsed="false">
      <c r="A46" s="4" t="s">
        <v>2287</v>
      </c>
      <c r="B46" s="23" t="n">
        <v>43</v>
      </c>
      <c r="C46" s="6" t="n">
        <v>46207</v>
      </c>
      <c r="D46" s="4" t="s">
        <v>2289</v>
      </c>
      <c r="E46" s="4" t="s">
        <v>5985</v>
      </c>
      <c r="F46" s="7" t="n">
        <v>39488.33</v>
      </c>
      <c r="G46" s="24" t="s">
        <v>5951</v>
      </c>
      <c r="H46" s="4" t="s">
        <v>2286</v>
      </c>
      <c r="I46" s="4"/>
    </row>
    <row r="47" customFormat="false" ht="15" hidden="false" customHeight="false" outlineLevel="0" collapsed="false">
      <c r="A47" s="4" t="s">
        <v>2292</v>
      </c>
      <c r="B47" s="23" t="n">
        <v>44</v>
      </c>
      <c r="C47" s="6" t="n">
        <v>46207</v>
      </c>
      <c r="D47" s="4" t="s">
        <v>2294</v>
      </c>
      <c r="E47" s="4" t="s">
        <v>5986</v>
      </c>
      <c r="F47" s="7" t="n">
        <v>-14595.64</v>
      </c>
      <c r="G47" s="24" t="s">
        <v>5951</v>
      </c>
      <c r="H47" s="4" t="s">
        <v>2291</v>
      </c>
      <c r="I47" s="4"/>
    </row>
    <row r="48" customFormat="false" ht="15" hidden="false" customHeight="false" outlineLevel="0" collapsed="false">
      <c r="A48" s="4" t="s">
        <v>436</v>
      </c>
      <c r="B48" s="23" t="n">
        <v>45</v>
      </c>
      <c r="C48" s="6" t="n">
        <v>46207</v>
      </c>
      <c r="D48" s="4" t="s">
        <v>5860</v>
      </c>
      <c r="E48" s="4" t="s">
        <v>438</v>
      </c>
      <c r="F48" s="7" t="n">
        <v>41606.63</v>
      </c>
      <c r="G48" s="25" t="s">
        <v>5987</v>
      </c>
      <c r="H48" s="4" t="s">
        <v>5859</v>
      </c>
      <c r="I48" s="4" t="s">
        <v>434</v>
      </c>
    </row>
    <row r="49" customFormat="false" ht="15" hidden="false" customHeight="false" outlineLevel="0" collapsed="false">
      <c r="A49" s="4" t="s">
        <v>3819</v>
      </c>
      <c r="B49" s="23" t="n">
        <v>46</v>
      </c>
      <c r="C49" s="6" t="n">
        <v>46208</v>
      </c>
      <c r="D49" s="4" t="s">
        <v>3821</v>
      </c>
      <c r="E49" s="4" t="s">
        <v>5988</v>
      </c>
      <c r="F49" s="7" t="n">
        <v>55300.11</v>
      </c>
      <c r="G49" s="24" t="s">
        <v>5951</v>
      </c>
      <c r="H49" s="4" t="s">
        <v>3818</v>
      </c>
      <c r="I49" s="4"/>
    </row>
    <row r="50" customFormat="false" ht="15" hidden="false" customHeight="false" outlineLevel="0" collapsed="false">
      <c r="A50" s="4" t="s">
        <v>655</v>
      </c>
      <c r="B50" s="23" t="n">
        <v>47</v>
      </c>
      <c r="C50" s="6" t="n">
        <v>46208</v>
      </c>
      <c r="D50" s="4" t="s">
        <v>657</v>
      </c>
      <c r="E50" s="4"/>
      <c r="F50" s="7" t="n">
        <v>18782.24</v>
      </c>
      <c r="G50" s="24" t="s">
        <v>5951</v>
      </c>
      <c r="H50" s="4" t="s">
        <v>654</v>
      </c>
      <c r="I50" s="4"/>
    </row>
    <row r="51" customFormat="false" ht="15" hidden="false" customHeight="false" outlineLevel="0" collapsed="false">
      <c r="A51" s="4" t="s">
        <v>660</v>
      </c>
      <c r="B51" s="23" t="n">
        <v>48</v>
      </c>
      <c r="C51" s="6" t="n">
        <v>46208</v>
      </c>
      <c r="D51" s="4" t="s">
        <v>662</v>
      </c>
      <c r="E51" s="4" t="s">
        <v>5989</v>
      </c>
      <c r="F51" s="7" t="n">
        <v>21690.76</v>
      </c>
      <c r="G51" s="24" t="s">
        <v>5951</v>
      </c>
      <c r="H51" s="4" t="s">
        <v>659</v>
      </c>
      <c r="I51" s="4"/>
    </row>
    <row r="52" customFormat="false" ht="15" hidden="false" customHeight="false" outlineLevel="0" collapsed="false">
      <c r="A52" s="4" t="s">
        <v>2297</v>
      </c>
      <c r="B52" s="23" t="n">
        <v>49</v>
      </c>
      <c r="C52" s="6" t="n">
        <v>46208</v>
      </c>
      <c r="D52" s="4" t="s">
        <v>2299</v>
      </c>
      <c r="E52" s="4"/>
      <c r="F52" s="7" t="n">
        <v>29463.69</v>
      </c>
      <c r="G52" s="24" t="s">
        <v>5951</v>
      </c>
      <c r="H52" s="4" t="s">
        <v>2296</v>
      </c>
      <c r="I52" s="4"/>
    </row>
    <row r="53" customFormat="false" ht="15" hidden="false" customHeight="false" outlineLevel="0" collapsed="false">
      <c r="A53" s="4" t="s">
        <v>665</v>
      </c>
      <c r="B53" s="23" t="n">
        <v>50</v>
      </c>
      <c r="C53" s="6" t="n">
        <v>46208</v>
      </c>
      <c r="D53" s="4" t="s">
        <v>667</v>
      </c>
      <c r="E53" s="4" t="s">
        <v>5990</v>
      </c>
      <c r="F53" s="7" t="n">
        <v>38727.39</v>
      </c>
      <c r="G53" s="24" t="s">
        <v>5951</v>
      </c>
      <c r="H53" s="4" t="s">
        <v>664</v>
      </c>
      <c r="I53" s="4"/>
    </row>
    <row r="54" customFormat="false" ht="15" hidden="false" customHeight="false" outlineLevel="0" collapsed="false">
      <c r="A54" s="4" t="s">
        <v>670</v>
      </c>
      <c r="B54" s="23" t="n">
        <v>51</v>
      </c>
      <c r="C54" s="6" t="n">
        <v>46208</v>
      </c>
      <c r="D54" s="4" t="s">
        <v>672</v>
      </c>
      <c r="E54" s="4" t="s">
        <v>5991</v>
      </c>
      <c r="F54" s="7" t="n">
        <v>4892.45</v>
      </c>
      <c r="G54" s="24" t="s">
        <v>5951</v>
      </c>
      <c r="H54" s="4" t="s">
        <v>669</v>
      </c>
      <c r="I54" s="4"/>
    </row>
    <row r="55" customFormat="false" ht="15" hidden="false" customHeight="false" outlineLevel="0" collapsed="false">
      <c r="A55" s="4" t="s">
        <v>675</v>
      </c>
      <c r="B55" s="23" t="n">
        <v>52</v>
      </c>
      <c r="C55" s="6" t="n">
        <v>46208</v>
      </c>
      <c r="D55" s="4" t="s">
        <v>677</v>
      </c>
      <c r="E55" s="4" t="s">
        <v>5992</v>
      </c>
      <c r="F55" s="7" t="n">
        <v>86957.99</v>
      </c>
      <c r="G55" s="24" t="s">
        <v>5951</v>
      </c>
      <c r="H55" s="4" t="s">
        <v>674</v>
      </c>
      <c r="I55" s="4"/>
    </row>
    <row r="56" customFormat="false" ht="15" hidden="false" customHeight="false" outlineLevel="0" collapsed="false">
      <c r="A56" s="4" t="s">
        <v>2302</v>
      </c>
      <c r="B56" s="23" t="n">
        <v>53</v>
      </c>
      <c r="C56" s="6" t="n">
        <v>46208</v>
      </c>
      <c r="D56" s="4" t="s">
        <v>2304</v>
      </c>
      <c r="E56" s="4" t="s">
        <v>5993</v>
      </c>
      <c r="F56" s="7" t="n">
        <v>25701.64</v>
      </c>
      <c r="G56" s="24" t="s">
        <v>5951</v>
      </c>
      <c r="H56" s="4" t="s">
        <v>2301</v>
      </c>
      <c r="I56" s="4"/>
    </row>
    <row r="57" customFormat="false" ht="15" hidden="false" customHeight="false" outlineLevel="0" collapsed="false">
      <c r="A57" s="4" t="s">
        <v>680</v>
      </c>
      <c r="B57" s="23" t="n">
        <v>54</v>
      </c>
      <c r="C57" s="6" t="n">
        <v>46208</v>
      </c>
      <c r="D57" s="4" t="s">
        <v>682</v>
      </c>
      <c r="E57" s="4" t="s">
        <v>5994</v>
      </c>
      <c r="F57" s="7" t="n">
        <v>-48127.03</v>
      </c>
      <c r="G57" s="24" t="s">
        <v>5951</v>
      </c>
      <c r="H57" s="4" t="s">
        <v>679</v>
      </c>
      <c r="I57" s="4"/>
    </row>
    <row r="58" customFormat="false" ht="15" hidden="false" customHeight="false" outlineLevel="0" collapsed="false">
      <c r="A58" s="4" t="s">
        <v>3824</v>
      </c>
      <c r="B58" s="23" t="n">
        <v>55</v>
      </c>
      <c r="C58" s="6" t="n">
        <v>46208</v>
      </c>
      <c r="D58" s="4" t="s">
        <v>3826</v>
      </c>
      <c r="E58" s="4" t="s">
        <v>5995</v>
      </c>
      <c r="F58" s="7" t="n">
        <v>-2327.04</v>
      </c>
      <c r="G58" s="24" t="s">
        <v>5951</v>
      </c>
      <c r="H58" s="4" t="s">
        <v>3823</v>
      </c>
      <c r="I58" s="4"/>
    </row>
    <row r="59" customFormat="false" ht="15" hidden="false" customHeight="false" outlineLevel="0" collapsed="false">
      <c r="A59" s="4" t="s">
        <v>4906</v>
      </c>
      <c r="B59" s="23" t="n">
        <v>56</v>
      </c>
      <c r="C59" s="6" t="n">
        <v>46208</v>
      </c>
      <c r="D59" s="4" t="s">
        <v>4908</v>
      </c>
      <c r="E59" s="4" t="s">
        <v>5996</v>
      </c>
      <c r="F59" s="7" t="n">
        <v>-33593.93</v>
      </c>
      <c r="G59" s="24" t="s">
        <v>5951</v>
      </c>
      <c r="H59" s="4" t="s">
        <v>4905</v>
      </c>
      <c r="I59" s="4"/>
    </row>
    <row r="60" customFormat="false" ht="15" hidden="false" customHeight="false" outlineLevel="0" collapsed="false">
      <c r="A60" s="4" t="s">
        <v>5804</v>
      </c>
      <c r="B60" s="23" t="n">
        <v>57</v>
      </c>
      <c r="C60" s="6" t="n">
        <v>46208</v>
      </c>
      <c r="D60" s="4" t="s">
        <v>5806</v>
      </c>
      <c r="E60" s="4"/>
      <c r="F60" s="7" t="n">
        <v>-3537.85</v>
      </c>
      <c r="G60" s="24" t="s">
        <v>5951</v>
      </c>
      <c r="H60" s="4" t="s">
        <v>5803</v>
      </c>
      <c r="I60" s="4"/>
    </row>
    <row r="61" customFormat="false" ht="15" hidden="false" customHeight="false" outlineLevel="0" collapsed="false">
      <c r="A61" s="4" t="s">
        <v>226</v>
      </c>
      <c r="B61" s="23" t="n">
        <v>58</v>
      </c>
      <c r="C61" s="6" t="n">
        <v>46208</v>
      </c>
      <c r="D61" s="4" t="s">
        <v>5842</v>
      </c>
      <c r="E61" s="4" t="s">
        <v>228</v>
      </c>
      <c r="F61" s="7" t="n">
        <v>-14380.51</v>
      </c>
      <c r="G61" s="25" t="s">
        <v>5987</v>
      </c>
      <c r="H61" s="4" t="s">
        <v>5840</v>
      </c>
      <c r="I61" s="4" t="s">
        <v>225</v>
      </c>
    </row>
    <row r="62" customFormat="false" ht="15" hidden="false" customHeight="false" outlineLevel="0" collapsed="false">
      <c r="A62" s="4" t="s">
        <v>3829</v>
      </c>
      <c r="B62" s="23" t="n">
        <v>59</v>
      </c>
      <c r="C62" s="6" t="n">
        <v>46209</v>
      </c>
      <c r="D62" s="4" t="s">
        <v>3831</v>
      </c>
      <c r="E62" s="4" t="s">
        <v>5997</v>
      </c>
      <c r="F62" s="7" t="n">
        <v>52971.86</v>
      </c>
      <c r="G62" s="24" t="s">
        <v>5951</v>
      </c>
      <c r="H62" s="4" t="s">
        <v>3828</v>
      </c>
      <c r="I62" s="4"/>
    </row>
    <row r="63" customFormat="false" ht="15" hidden="false" customHeight="false" outlineLevel="0" collapsed="false">
      <c r="A63" s="4" t="s">
        <v>2307</v>
      </c>
      <c r="B63" s="23" t="n">
        <v>60</v>
      </c>
      <c r="C63" s="6" t="n">
        <v>46209</v>
      </c>
      <c r="D63" s="4" t="s">
        <v>2309</v>
      </c>
      <c r="E63" s="4"/>
      <c r="F63" s="7" t="n">
        <v>80508.62</v>
      </c>
      <c r="G63" s="24" t="s">
        <v>5951</v>
      </c>
      <c r="H63" s="4" t="s">
        <v>2306</v>
      </c>
      <c r="I63" s="4"/>
    </row>
    <row r="64" customFormat="false" ht="15" hidden="false" customHeight="false" outlineLevel="0" collapsed="false">
      <c r="A64" s="4" t="s">
        <v>685</v>
      </c>
      <c r="B64" s="23" t="n">
        <v>61</v>
      </c>
      <c r="C64" s="6" t="n">
        <v>46209</v>
      </c>
      <c r="D64" s="4" t="s">
        <v>687</v>
      </c>
      <c r="E64" s="4"/>
      <c r="F64" s="7" t="n">
        <v>59351.79</v>
      </c>
      <c r="G64" s="24" t="s">
        <v>5951</v>
      </c>
      <c r="H64" s="4" t="s">
        <v>684</v>
      </c>
      <c r="I64" s="4"/>
    </row>
    <row r="65" customFormat="false" ht="15" hidden="false" customHeight="false" outlineLevel="0" collapsed="false">
      <c r="A65" s="4" t="s">
        <v>690</v>
      </c>
      <c r="B65" s="23" t="n">
        <v>62</v>
      </c>
      <c r="C65" s="6" t="n">
        <v>46209</v>
      </c>
      <c r="D65" s="4" t="s">
        <v>692</v>
      </c>
      <c r="E65" s="4" t="s">
        <v>5998</v>
      </c>
      <c r="F65" s="7" t="n">
        <v>62206.12</v>
      </c>
      <c r="G65" s="24" t="s">
        <v>5951</v>
      </c>
      <c r="H65" s="4" t="s">
        <v>689</v>
      </c>
      <c r="I65" s="4"/>
    </row>
    <row r="66" customFormat="false" ht="15" hidden="false" customHeight="false" outlineLevel="0" collapsed="false">
      <c r="A66" s="4" t="s">
        <v>2312</v>
      </c>
      <c r="B66" s="23" t="n">
        <v>63</v>
      </c>
      <c r="C66" s="6" t="n">
        <v>46209</v>
      </c>
      <c r="D66" s="4" t="s">
        <v>2314</v>
      </c>
      <c r="E66" s="4" t="s">
        <v>5999</v>
      </c>
      <c r="F66" s="7" t="n">
        <v>19679.43</v>
      </c>
      <c r="G66" s="24" t="s">
        <v>5951</v>
      </c>
      <c r="H66" s="4" t="s">
        <v>2311</v>
      </c>
      <c r="I66" s="4"/>
    </row>
    <row r="67" customFormat="false" ht="15" hidden="false" customHeight="false" outlineLevel="0" collapsed="false">
      <c r="A67" s="4" t="s">
        <v>2317</v>
      </c>
      <c r="B67" s="23" t="n">
        <v>64</v>
      </c>
      <c r="C67" s="6" t="n">
        <v>46209</v>
      </c>
      <c r="D67" s="4" t="s">
        <v>2319</v>
      </c>
      <c r="E67" s="4"/>
      <c r="F67" s="7" t="n">
        <v>26367.59</v>
      </c>
      <c r="G67" s="24" t="s">
        <v>5951</v>
      </c>
      <c r="H67" s="4" t="s">
        <v>2316</v>
      </c>
      <c r="I67" s="4"/>
    </row>
    <row r="68" customFormat="false" ht="15" hidden="false" customHeight="false" outlineLevel="0" collapsed="false">
      <c r="A68" s="4" t="s">
        <v>695</v>
      </c>
      <c r="B68" s="23" t="n">
        <v>65</v>
      </c>
      <c r="C68" s="6" t="n">
        <v>46209</v>
      </c>
      <c r="D68" s="4" t="s">
        <v>697</v>
      </c>
      <c r="E68" s="4" t="s">
        <v>6000</v>
      </c>
      <c r="F68" s="7" t="n">
        <v>84362.31</v>
      </c>
      <c r="G68" s="24" t="s">
        <v>5951</v>
      </c>
      <c r="H68" s="4" t="s">
        <v>694</v>
      </c>
      <c r="I68" s="4"/>
    </row>
    <row r="69" customFormat="false" ht="15" hidden="false" customHeight="false" outlineLevel="0" collapsed="false">
      <c r="A69" s="4" t="s">
        <v>4606</v>
      </c>
      <c r="B69" s="23" t="n">
        <v>66</v>
      </c>
      <c r="C69" s="6" t="n">
        <v>46209</v>
      </c>
      <c r="D69" s="4" t="s">
        <v>4608</v>
      </c>
      <c r="E69" s="4" t="s">
        <v>6001</v>
      </c>
      <c r="F69" s="7" t="n">
        <v>-7257.78</v>
      </c>
      <c r="G69" s="24" t="s">
        <v>5951</v>
      </c>
      <c r="H69" s="4" t="s">
        <v>4605</v>
      </c>
      <c r="I69" s="4"/>
    </row>
    <row r="70" customFormat="false" ht="15" hidden="false" customHeight="false" outlineLevel="0" collapsed="false">
      <c r="A70" s="4" t="s">
        <v>700</v>
      </c>
      <c r="B70" s="23" t="n">
        <v>67</v>
      </c>
      <c r="C70" s="6" t="n">
        <v>46209</v>
      </c>
      <c r="D70" s="4" t="s">
        <v>702</v>
      </c>
      <c r="E70" s="4" t="s">
        <v>6002</v>
      </c>
      <c r="F70" s="7" t="n">
        <v>-51866.64</v>
      </c>
      <c r="G70" s="24" t="s">
        <v>5951</v>
      </c>
      <c r="H70" s="4" t="s">
        <v>699</v>
      </c>
      <c r="I70" s="4"/>
    </row>
    <row r="71" customFormat="false" ht="15" hidden="false" customHeight="false" outlineLevel="0" collapsed="false">
      <c r="A71" s="4" t="s">
        <v>2322</v>
      </c>
      <c r="B71" s="23" t="n">
        <v>68</v>
      </c>
      <c r="C71" s="6" t="n">
        <v>46209</v>
      </c>
      <c r="D71" s="4" t="s">
        <v>2324</v>
      </c>
      <c r="E71" s="4" t="s">
        <v>6003</v>
      </c>
      <c r="F71" s="7" t="n">
        <v>-41522.76</v>
      </c>
      <c r="G71" s="24" t="s">
        <v>5951</v>
      </c>
      <c r="H71" s="4" t="s">
        <v>2321</v>
      </c>
      <c r="I71" s="4"/>
    </row>
    <row r="72" customFormat="false" ht="15" hidden="false" customHeight="false" outlineLevel="0" collapsed="false">
      <c r="A72" s="4" t="s">
        <v>705</v>
      </c>
      <c r="B72" s="23" t="n">
        <v>69</v>
      </c>
      <c r="C72" s="6" t="n">
        <v>46210</v>
      </c>
      <c r="D72" s="4" t="s">
        <v>707</v>
      </c>
      <c r="E72" s="4"/>
      <c r="F72" s="7" t="n">
        <v>34284.94</v>
      </c>
      <c r="G72" s="24" t="s">
        <v>5951</v>
      </c>
      <c r="H72" s="4" t="s">
        <v>704</v>
      </c>
      <c r="I72" s="4"/>
    </row>
    <row r="73" customFormat="false" ht="15" hidden="false" customHeight="false" outlineLevel="0" collapsed="false">
      <c r="A73" s="4" t="s">
        <v>710</v>
      </c>
      <c r="B73" s="23" t="n">
        <v>70</v>
      </c>
      <c r="C73" s="6" t="n">
        <v>46210</v>
      </c>
      <c r="D73" s="4" t="s">
        <v>712</v>
      </c>
      <c r="E73" s="4"/>
      <c r="F73" s="7" t="n">
        <v>34974.8</v>
      </c>
      <c r="G73" s="24" t="s">
        <v>5951</v>
      </c>
      <c r="H73" s="4" t="s">
        <v>709</v>
      </c>
      <c r="I73" s="4"/>
    </row>
    <row r="74" customFormat="false" ht="15" hidden="false" customHeight="false" outlineLevel="0" collapsed="false">
      <c r="A74" s="4" t="s">
        <v>715</v>
      </c>
      <c r="B74" s="23" t="n">
        <v>71</v>
      </c>
      <c r="C74" s="6" t="n">
        <v>46210</v>
      </c>
      <c r="D74" s="4" t="s">
        <v>717</v>
      </c>
      <c r="E74" s="4"/>
      <c r="F74" s="7" t="n">
        <v>16055.82</v>
      </c>
      <c r="G74" s="24" t="s">
        <v>5951</v>
      </c>
      <c r="H74" s="4" t="s">
        <v>714</v>
      </c>
      <c r="I74" s="4"/>
    </row>
    <row r="75" customFormat="false" ht="15" hidden="false" customHeight="false" outlineLevel="0" collapsed="false">
      <c r="A75" s="4" t="s">
        <v>2327</v>
      </c>
      <c r="B75" s="23" t="n">
        <v>72</v>
      </c>
      <c r="C75" s="6" t="n">
        <v>46210</v>
      </c>
      <c r="D75" s="4" t="s">
        <v>2329</v>
      </c>
      <c r="E75" s="4"/>
      <c r="F75" s="7" t="n">
        <v>87122.55</v>
      </c>
      <c r="G75" s="24" t="s">
        <v>5951</v>
      </c>
      <c r="H75" s="4" t="s">
        <v>2326</v>
      </c>
      <c r="I75" s="4"/>
    </row>
    <row r="76" customFormat="false" ht="15" hidden="false" customHeight="false" outlineLevel="0" collapsed="false">
      <c r="A76" s="4" t="s">
        <v>720</v>
      </c>
      <c r="B76" s="23" t="n">
        <v>73</v>
      </c>
      <c r="C76" s="6" t="n">
        <v>46210</v>
      </c>
      <c r="D76" s="4" t="s">
        <v>722</v>
      </c>
      <c r="E76" s="4" t="s">
        <v>6004</v>
      </c>
      <c r="F76" s="7" t="n">
        <v>36497.11</v>
      </c>
      <c r="G76" s="24" t="s">
        <v>5951</v>
      </c>
      <c r="H76" s="4" t="s">
        <v>719</v>
      </c>
      <c r="I76" s="4"/>
    </row>
    <row r="77" customFormat="false" ht="15" hidden="false" customHeight="false" outlineLevel="0" collapsed="false">
      <c r="A77" s="4" t="s">
        <v>2332</v>
      </c>
      <c r="B77" s="23" t="n">
        <v>74</v>
      </c>
      <c r="C77" s="6" t="n">
        <v>46210</v>
      </c>
      <c r="D77" s="4" t="s">
        <v>2334</v>
      </c>
      <c r="E77" s="4" t="s">
        <v>6005</v>
      </c>
      <c r="F77" s="7" t="n">
        <v>11057.01</v>
      </c>
      <c r="G77" s="24" t="s">
        <v>5951</v>
      </c>
      <c r="H77" s="4" t="s">
        <v>2331</v>
      </c>
      <c r="I77" s="4"/>
    </row>
    <row r="78" customFormat="false" ht="15" hidden="false" customHeight="false" outlineLevel="0" collapsed="false">
      <c r="A78" s="4" t="s">
        <v>725</v>
      </c>
      <c r="B78" s="23" t="n">
        <v>75</v>
      </c>
      <c r="C78" s="6" t="n">
        <v>46210</v>
      </c>
      <c r="D78" s="4" t="s">
        <v>727</v>
      </c>
      <c r="E78" s="4"/>
      <c r="F78" s="7" t="n">
        <v>84880.64</v>
      </c>
      <c r="G78" s="24" t="s">
        <v>5951</v>
      </c>
      <c r="H78" s="4" t="s">
        <v>724</v>
      </c>
      <c r="I78" s="4"/>
    </row>
    <row r="79" customFormat="false" ht="15" hidden="false" customHeight="false" outlineLevel="0" collapsed="false">
      <c r="A79" s="4" t="s">
        <v>2337</v>
      </c>
      <c r="B79" s="23" t="n">
        <v>76</v>
      </c>
      <c r="C79" s="6" t="n">
        <v>46210</v>
      </c>
      <c r="D79" s="4" t="s">
        <v>2339</v>
      </c>
      <c r="E79" s="4" t="s">
        <v>6006</v>
      </c>
      <c r="F79" s="7" t="n">
        <v>56971.16</v>
      </c>
      <c r="G79" s="24" t="s">
        <v>5951</v>
      </c>
      <c r="H79" s="4" t="s">
        <v>2336</v>
      </c>
      <c r="I79" s="4"/>
    </row>
    <row r="80" customFormat="false" ht="15" hidden="false" customHeight="false" outlineLevel="0" collapsed="false">
      <c r="A80" s="4" t="s">
        <v>2342</v>
      </c>
      <c r="B80" s="23" t="n">
        <v>77</v>
      </c>
      <c r="C80" s="6" t="n">
        <v>46210</v>
      </c>
      <c r="D80" s="4" t="s">
        <v>2344</v>
      </c>
      <c r="E80" s="4"/>
      <c r="F80" s="7" t="n">
        <v>36129.13</v>
      </c>
      <c r="G80" s="24" t="s">
        <v>5951</v>
      </c>
      <c r="H80" s="4" t="s">
        <v>2341</v>
      </c>
      <c r="I80" s="4"/>
    </row>
    <row r="81" customFormat="false" ht="15" hidden="false" customHeight="false" outlineLevel="0" collapsed="false">
      <c r="A81" s="4" t="s">
        <v>2347</v>
      </c>
      <c r="B81" s="23" t="n">
        <v>78</v>
      </c>
      <c r="C81" s="6" t="n">
        <v>46210</v>
      </c>
      <c r="D81" s="4" t="s">
        <v>2349</v>
      </c>
      <c r="E81" s="4"/>
      <c r="F81" s="7" t="n">
        <v>68973.03</v>
      </c>
      <c r="G81" s="24" t="s">
        <v>5951</v>
      </c>
      <c r="H81" s="4" t="s">
        <v>2346</v>
      </c>
      <c r="I81" s="4"/>
    </row>
    <row r="82" customFormat="false" ht="15" hidden="false" customHeight="false" outlineLevel="0" collapsed="false">
      <c r="A82" s="4" t="s">
        <v>3834</v>
      </c>
      <c r="B82" s="23" t="n">
        <v>79</v>
      </c>
      <c r="C82" s="6" t="n">
        <v>46210</v>
      </c>
      <c r="D82" s="4" t="s">
        <v>3836</v>
      </c>
      <c r="E82" s="4"/>
      <c r="F82" s="7" t="n">
        <v>77182.34</v>
      </c>
      <c r="G82" s="24" t="s">
        <v>5951</v>
      </c>
      <c r="H82" s="4" t="s">
        <v>3833</v>
      </c>
      <c r="I82" s="4"/>
    </row>
    <row r="83" customFormat="false" ht="15" hidden="false" customHeight="false" outlineLevel="0" collapsed="false">
      <c r="A83" s="4" t="s">
        <v>3839</v>
      </c>
      <c r="B83" s="23" t="n">
        <v>80</v>
      </c>
      <c r="C83" s="6" t="n">
        <v>46210</v>
      </c>
      <c r="D83" s="4" t="s">
        <v>3841</v>
      </c>
      <c r="E83" s="4" t="s">
        <v>6007</v>
      </c>
      <c r="F83" s="7" t="n">
        <v>-16889.14</v>
      </c>
      <c r="G83" s="24" t="s">
        <v>5951</v>
      </c>
      <c r="H83" s="4" t="s">
        <v>3838</v>
      </c>
      <c r="I83" s="4"/>
    </row>
    <row r="84" customFormat="false" ht="15" hidden="false" customHeight="false" outlineLevel="0" collapsed="false">
      <c r="A84" s="4" t="s">
        <v>2352</v>
      </c>
      <c r="B84" s="23" t="n">
        <v>81</v>
      </c>
      <c r="C84" s="6" t="n">
        <v>46210</v>
      </c>
      <c r="D84" s="4" t="s">
        <v>2354</v>
      </c>
      <c r="E84" s="4" t="s">
        <v>6008</v>
      </c>
      <c r="F84" s="7" t="n">
        <v>-15335.1</v>
      </c>
      <c r="G84" s="24" t="s">
        <v>5951</v>
      </c>
      <c r="H84" s="4" t="s">
        <v>2351</v>
      </c>
      <c r="I84" s="4"/>
    </row>
    <row r="85" customFormat="false" ht="15" hidden="false" customHeight="false" outlineLevel="0" collapsed="false">
      <c r="A85" s="4" t="s">
        <v>5330</v>
      </c>
      <c r="B85" s="23" t="n">
        <v>82</v>
      </c>
      <c r="C85" s="6" t="n">
        <v>46210</v>
      </c>
      <c r="D85" s="4" t="s">
        <v>5332</v>
      </c>
      <c r="E85" s="4" t="s">
        <v>6009</v>
      </c>
      <c r="F85" s="7" t="n">
        <v>-4231.7</v>
      </c>
      <c r="G85" s="24" t="s">
        <v>5951</v>
      </c>
      <c r="H85" s="4" t="s">
        <v>5329</v>
      </c>
      <c r="I85" s="4"/>
    </row>
    <row r="86" customFormat="false" ht="15" hidden="false" customHeight="false" outlineLevel="0" collapsed="false">
      <c r="A86" s="4" t="s">
        <v>2357</v>
      </c>
      <c r="B86" s="23" t="n">
        <v>83</v>
      </c>
      <c r="C86" s="6" t="n">
        <v>46210</v>
      </c>
      <c r="D86" s="4" t="s">
        <v>2359</v>
      </c>
      <c r="E86" s="4" t="s">
        <v>6010</v>
      </c>
      <c r="F86" s="7" t="n">
        <v>-4600.79</v>
      </c>
      <c r="G86" s="24" t="s">
        <v>5951</v>
      </c>
      <c r="H86" s="4" t="s">
        <v>2356</v>
      </c>
      <c r="I86" s="4"/>
    </row>
    <row r="87" customFormat="false" ht="15" hidden="false" customHeight="false" outlineLevel="0" collapsed="false">
      <c r="A87" s="4" t="s">
        <v>5335</v>
      </c>
      <c r="B87" s="23" t="n">
        <v>84</v>
      </c>
      <c r="C87" s="6" t="n">
        <v>46210</v>
      </c>
      <c r="D87" s="4" t="s">
        <v>5337</v>
      </c>
      <c r="E87" s="4" t="s">
        <v>6011</v>
      </c>
      <c r="F87" s="7" t="n">
        <v>-30951.66</v>
      </c>
      <c r="G87" s="24" t="s">
        <v>5951</v>
      </c>
      <c r="H87" s="4" t="s">
        <v>5334</v>
      </c>
      <c r="I87" s="4"/>
    </row>
    <row r="88" customFormat="false" ht="15" hidden="false" customHeight="false" outlineLevel="0" collapsed="false">
      <c r="A88" s="4" t="s">
        <v>3844</v>
      </c>
      <c r="B88" s="23" t="n">
        <v>85</v>
      </c>
      <c r="C88" s="6" t="n">
        <v>46210</v>
      </c>
      <c r="D88" s="4" t="s">
        <v>3846</v>
      </c>
      <c r="E88" s="4" t="s">
        <v>6012</v>
      </c>
      <c r="F88" s="7" t="n">
        <v>-49491.51</v>
      </c>
      <c r="G88" s="24" t="s">
        <v>5951</v>
      </c>
      <c r="H88" s="4" t="s">
        <v>3843</v>
      </c>
      <c r="I88" s="4"/>
    </row>
    <row r="89" customFormat="false" ht="15" hidden="false" customHeight="false" outlineLevel="0" collapsed="false">
      <c r="A89" s="4" t="s">
        <v>730</v>
      </c>
      <c r="B89" s="23" t="n">
        <v>86</v>
      </c>
      <c r="C89" s="6" t="n">
        <v>46211</v>
      </c>
      <c r="D89" s="4" t="s">
        <v>732</v>
      </c>
      <c r="E89" s="4" t="s">
        <v>6013</v>
      </c>
      <c r="F89" s="7" t="n">
        <v>13772.81</v>
      </c>
      <c r="G89" s="24" t="s">
        <v>5951</v>
      </c>
      <c r="H89" s="4" t="s">
        <v>729</v>
      </c>
      <c r="I89" s="4"/>
    </row>
    <row r="90" customFormat="false" ht="15" hidden="false" customHeight="false" outlineLevel="0" collapsed="false">
      <c r="A90" s="4" t="s">
        <v>2362</v>
      </c>
      <c r="B90" s="23" t="n">
        <v>87</v>
      </c>
      <c r="C90" s="6" t="n">
        <v>46211</v>
      </c>
      <c r="D90" s="4" t="s">
        <v>2364</v>
      </c>
      <c r="E90" s="4" t="s">
        <v>6014</v>
      </c>
      <c r="F90" s="7" t="n">
        <v>63256.91</v>
      </c>
      <c r="G90" s="24" t="s">
        <v>5951</v>
      </c>
      <c r="H90" s="4" t="s">
        <v>2361</v>
      </c>
      <c r="I90" s="4"/>
    </row>
    <row r="91" customFormat="false" ht="15" hidden="false" customHeight="false" outlineLevel="0" collapsed="false">
      <c r="A91" s="4" t="s">
        <v>735</v>
      </c>
      <c r="B91" s="23" t="n">
        <v>88</v>
      </c>
      <c r="C91" s="6" t="n">
        <v>46211</v>
      </c>
      <c r="D91" s="4" t="s">
        <v>737</v>
      </c>
      <c r="E91" s="4" t="s">
        <v>6015</v>
      </c>
      <c r="F91" s="7" t="n">
        <v>11230.52</v>
      </c>
      <c r="G91" s="24" t="s">
        <v>5951</v>
      </c>
      <c r="H91" s="4" t="s">
        <v>734</v>
      </c>
      <c r="I91" s="4"/>
    </row>
    <row r="92" customFormat="false" ht="15" hidden="false" customHeight="false" outlineLevel="0" collapsed="false">
      <c r="A92" s="4" t="s">
        <v>2367</v>
      </c>
      <c r="B92" s="23" t="n">
        <v>89</v>
      </c>
      <c r="C92" s="6" t="n">
        <v>46211</v>
      </c>
      <c r="D92" s="4" t="s">
        <v>2369</v>
      </c>
      <c r="E92" s="4"/>
      <c r="F92" s="7" t="n">
        <v>42785.34</v>
      </c>
      <c r="G92" s="24" t="s">
        <v>5951</v>
      </c>
      <c r="H92" s="4" t="s">
        <v>2366</v>
      </c>
      <c r="I92" s="4"/>
    </row>
    <row r="93" customFormat="false" ht="15" hidden="false" customHeight="false" outlineLevel="0" collapsed="false">
      <c r="A93" s="4" t="s">
        <v>2372</v>
      </c>
      <c r="B93" s="23" t="n">
        <v>90</v>
      </c>
      <c r="C93" s="6" t="n">
        <v>46211</v>
      </c>
      <c r="D93" s="4" t="s">
        <v>2374</v>
      </c>
      <c r="E93" s="4" t="s">
        <v>6016</v>
      </c>
      <c r="F93" s="7" t="n">
        <v>71410.71</v>
      </c>
      <c r="G93" s="24" t="s">
        <v>5951</v>
      </c>
      <c r="H93" s="4" t="s">
        <v>2371</v>
      </c>
      <c r="I93" s="4"/>
    </row>
    <row r="94" customFormat="false" ht="15" hidden="false" customHeight="false" outlineLevel="0" collapsed="false">
      <c r="A94" s="4" t="s">
        <v>2377</v>
      </c>
      <c r="B94" s="23" t="n">
        <v>91</v>
      </c>
      <c r="C94" s="6" t="n">
        <v>46211</v>
      </c>
      <c r="D94" s="4" t="s">
        <v>2379</v>
      </c>
      <c r="E94" s="4" t="s">
        <v>6017</v>
      </c>
      <c r="F94" s="7" t="n">
        <v>88568.97</v>
      </c>
      <c r="G94" s="24" t="s">
        <v>5951</v>
      </c>
      <c r="H94" s="4" t="s">
        <v>2376</v>
      </c>
      <c r="I94" s="4"/>
    </row>
    <row r="95" customFormat="false" ht="15" hidden="false" customHeight="false" outlineLevel="0" collapsed="false">
      <c r="A95" s="4" t="s">
        <v>740</v>
      </c>
      <c r="B95" s="23" t="n">
        <v>92</v>
      </c>
      <c r="C95" s="6" t="n">
        <v>46211</v>
      </c>
      <c r="D95" s="4" t="s">
        <v>742</v>
      </c>
      <c r="E95" s="4"/>
      <c r="F95" s="7" t="n">
        <v>38128.98</v>
      </c>
      <c r="G95" s="24" t="s">
        <v>5951</v>
      </c>
      <c r="H95" s="4" t="s">
        <v>739</v>
      </c>
      <c r="I95" s="4"/>
    </row>
    <row r="96" customFormat="false" ht="15" hidden="false" customHeight="false" outlineLevel="0" collapsed="false">
      <c r="A96" s="4" t="s">
        <v>2382</v>
      </c>
      <c r="B96" s="23" t="n">
        <v>93</v>
      </c>
      <c r="C96" s="6" t="n">
        <v>46211</v>
      </c>
      <c r="D96" s="4" t="s">
        <v>2384</v>
      </c>
      <c r="E96" s="4" t="s">
        <v>6018</v>
      </c>
      <c r="F96" s="7" t="n">
        <v>71467.08</v>
      </c>
      <c r="G96" s="24" t="s">
        <v>5951</v>
      </c>
      <c r="H96" s="4" t="s">
        <v>2381</v>
      </c>
      <c r="I96" s="4"/>
    </row>
    <row r="97" customFormat="false" ht="15" hidden="false" customHeight="false" outlineLevel="0" collapsed="false">
      <c r="A97" s="4" t="s">
        <v>2387</v>
      </c>
      <c r="B97" s="23" t="n">
        <v>94</v>
      </c>
      <c r="C97" s="6" t="n">
        <v>46211</v>
      </c>
      <c r="D97" s="4" t="s">
        <v>2389</v>
      </c>
      <c r="E97" s="4" t="s">
        <v>6019</v>
      </c>
      <c r="F97" s="7" t="n">
        <v>86220.65</v>
      </c>
      <c r="G97" s="24" t="s">
        <v>5951</v>
      </c>
      <c r="H97" s="4" t="s">
        <v>2386</v>
      </c>
      <c r="I97" s="4"/>
    </row>
    <row r="98" customFormat="false" ht="15" hidden="false" customHeight="false" outlineLevel="0" collapsed="false">
      <c r="A98" s="4" t="s">
        <v>2392</v>
      </c>
      <c r="B98" s="23" t="n">
        <v>95</v>
      </c>
      <c r="C98" s="6" t="n">
        <v>46211</v>
      </c>
      <c r="D98" s="4" t="s">
        <v>2394</v>
      </c>
      <c r="E98" s="4" t="s">
        <v>6020</v>
      </c>
      <c r="F98" s="7" t="n">
        <v>92285.25</v>
      </c>
      <c r="G98" s="24" t="s">
        <v>5951</v>
      </c>
      <c r="H98" s="4" t="s">
        <v>2391</v>
      </c>
      <c r="I98" s="4"/>
    </row>
    <row r="99" customFormat="false" ht="15" hidden="false" customHeight="false" outlineLevel="0" collapsed="false">
      <c r="A99" s="4" t="s">
        <v>2397</v>
      </c>
      <c r="B99" s="23" t="n">
        <v>96</v>
      </c>
      <c r="C99" s="6" t="n">
        <v>46211</v>
      </c>
      <c r="D99" s="4" t="s">
        <v>2399</v>
      </c>
      <c r="E99" s="4" t="s">
        <v>6021</v>
      </c>
      <c r="F99" s="7" t="n">
        <v>-23446.57</v>
      </c>
      <c r="G99" s="24" t="s">
        <v>5951</v>
      </c>
      <c r="H99" s="4" t="s">
        <v>2396</v>
      </c>
      <c r="I99" s="4"/>
    </row>
    <row r="100" customFormat="false" ht="15" hidden="false" customHeight="false" outlineLevel="0" collapsed="false">
      <c r="A100" s="4" t="s">
        <v>4911</v>
      </c>
      <c r="B100" s="23" t="n">
        <v>97</v>
      </c>
      <c r="C100" s="6" t="n">
        <v>46211</v>
      </c>
      <c r="D100" s="4" t="s">
        <v>4913</v>
      </c>
      <c r="E100" s="4" t="s">
        <v>6022</v>
      </c>
      <c r="F100" s="7" t="n">
        <v>-5849.78</v>
      </c>
      <c r="G100" s="24" t="s">
        <v>5951</v>
      </c>
      <c r="H100" s="4" t="s">
        <v>4910</v>
      </c>
      <c r="I100" s="4"/>
    </row>
    <row r="101" customFormat="false" ht="15" hidden="false" customHeight="false" outlineLevel="0" collapsed="false">
      <c r="A101" s="4" t="s">
        <v>375</v>
      </c>
      <c r="B101" s="23" t="n">
        <v>98</v>
      </c>
      <c r="C101" s="6" t="n">
        <v>46211</v>
      </c>
      <c r="D101" s="4" t="s">
        <v>5928</v>
      </c>
      <c r="E101" s="4"/>
      <c r="F101" s="7" t="n">
        <v>20248.29</v>
      </c>
      <c r="G101" s="25" t="s">
        <v>5987</v>
      </c>
      <c r="H101" s="4" t="s">
        <v>5926</v>
      </c>
      <c r="I101" s="4" t="s">
        <v>373</v>
      </c>
    </row>
    <row r="102" customFormat="false" ht="15" hidden="false" customHeight="false" outlineLevel="0" collapsed="false">
      <c r="A102" s="4" t="s">
        <v>745</v>
      </c>
      <c r="B102" s="23" t="n">
        <v>99</v>
      </c>
      <c r="C102" s="6" t="n">
        <v>46212</v>
      </c>
      <c r="D102" s="4" t="s">
        <v>747</v>
      </c>
      <c r="E102" s="4"/>
      <c r="F102" s="7" t="n">
        <v>42895.4</v>
      </c>
      <c r="G102" s="24" t="s">
        <v>5951</v>
      </c>
      <c r="H102" s="4" t="s">
        <v>744</v>
      </c>
      <c r="I102" s="4"/>
    </row>
    <row r="103" customFormat="false" ht="15" hidden="false" customHeight="false" outlineLevel="0" collapsed="false">
      <c r="A103" s="4" t="s">
        <v>750</v>
      </c>
      <c r="B103" s="23" t="n">
        <v>100</v>
      </c>
      <c r="C103" s="6" t="n">
        <v>46212</v>
      </c>
      <c r="D103" s="4" t="s">
        <v>752</v>
      </c>
      <c r="E103" s="4" t="s">
        <v>6023</v>
      </c>
      <c r="F103" s="7" t="n">
        <v>6206.6</v>
      </c>
      <c r="G103" s="24" t="s">
        <v>5951</v>
      </c>
      <c r="H103" s="4" t="s">
        <v>749</v>
      </c>
      <c r="I103" s="4"/>
    </row>
    <row r="104" customFormat="false" ht="15" hidden="false" customHeight="false" outlineLevel="0" collapsed="false">
      <c r="A104" s="4" t="s">
        <v>755</v>
      </c>
      <c r="B104" s="23" t="n">
        <v>101</v>
      </c>
      <c r="C104" s="6" t="n">
        <v>46212</v>
      </c>
      <c r="D104" s="4" t="s">
        <v>757</v>
      </c>
      <c r="E104" s="4" t="s">
        <v>6024</v>
      </c>
      <c r="F104" s="7" t="n">
        <v>39831.5</v>
      </c>
      <c r="G104" s="24" t="s">
        <v>5951</v>
      </c>
      <c r="H104" s="4" t="s">
        <v>754</v>
      </c>
      <c r="I104" s="4"/>
    </row>
    <row r="105" customFormat="false" ht="15" hidden="false" customHeight="false" outlineLevel="0" collapsed="false">
      <c r="A105" s="4" t="s">
        <v>760</v>
      </c>
      <c r="B105" s="23" t="n">
        <v>102</v>
      </c>
      <c r="C105" s="6" t="n">
        <v>46212</v>
      </c>
      <c r="D105" s="4" t="s">
        <v>762</v>
      </c>
      <c r="E105" s="4" t="s">
        <v>6025</v>
      </c>
      <c r="F105" s="7" t="n">
        <v>44478.49</v>
      </c>
      <c r="G105" s="24" t="s">
        <v>5951</v>
      </c>
      <c r="H105" s="4" t="s">
        <v>759</v>
      </c>
      <c r="I105" s="4"/>
    </row>
    <row r="106" customFormat="false" ht="15" hidden="false" customHeight="false" outlineLevel="0" collapsed="false">
      <c r="A106" s="4" t="s">
        <v>765</v>
      </c>
      <c r="B106" s="23" t="n">
        <v>103</v>
      </c>
      <c r="C106" s="6" t="n">
        <v>46212</v>
      </c>
      <c r="D106" s="4" t="s">
        <v>767</v>
      </c>
      <c r="E106" s="4" t="s">
        <v>6026</v>
      </c>
      <c r="F106" s="7" t="n">
        <v>18137.07</v>
      </c>
      <c r="G106" s="24" t="s">
        <v>5951</v>
      </c>
      <c r="H106" s="4" t="s">
        <v>764</v>
      </c>
      <c r="I106" s="4"/>
    </row>
    <row r="107" customFormat="false" ht="15" hidden="false" customHeight="false" outlineLevel="0" collapsed="false">
      <c r="A107" s="4" t="s">
        <v>770</v>
      </c>
      <c r="B107" s="23" t="n">
        <v>104</v>
      </c>
      <c r="C107" s="6" t="n">
        <v>46212</v>
      </c>
      <c r="D107" s="4" t="s">
        <v>772</v>
      </c>
      <c r="E107" s="4" t="s">
        <v>6027</v>
      </c>
      <c r="F107" s="7" t="n">
        <v>40227.66</v>
      </c>
      <c r="G107" s="24" t="s">
        <v>5951</v>
      </c>
      <c r="H107" s="4" t="s">
        <v>769</v>
      </c>
      <c r="I107" s="4"/>
    </row>
    <row r="108" customFormat="false" ht="15" hidden="false" customHeight="false" outlineLevel="0" collapsed="false">
      <c r="A108" s="4" t="s">
        <v>2402</v>
      </c>
      <c r="B108" s="23" t="n">
        <v>105</v>
      </c>
      <c r="C108" s="6" t="n">
        <v>46212</v>
      </c>
      <c r="D108" s="4" t="s">
        <v>2404</v>
      </c>
      <c r="E108" s="4"/>
      <c r="F108" s="7" t="n">
        <v>85450.35</v>
      </c>
      <c r="G108" s="24" t="s">
        <v>5951</v>
      </c>
      <c r="H108" s="4" t="s">
        <v>2401</v>
      </c>
      <c r="I108" s="4"/>
    </row>
    <row r="109" customFormat="false" ht="15" hidden="false" customHeight="false" outlineLevel="0" collapsed="false">
      <c r="A109" s="4" t="s">
        <v>775</v>
      </c>
      <c r="B109" s="23" t="n">
        <v>106</v>
      </c>
      <c r="C109" s="6" t="n">
        <v>46212</v>
      </c>
      <c r="D109" s="4" t="s">
        <v>777</v>
      </c>
      <c r="E109" s="4" t="s">
        <v>6028</v>
      </c>
      <c r="F109" s="7" t="n">
        <v>-24490.17</v>
      </c>
      <c r="G109" s="24" t="s">
        <v>5951</v>
      </c>
      <c r="H109" s="4" t="s">
        <v>774</v>
      </c>
      <c r="I109" s="4"/>
    </row>
    <row r="110" customFormat="false" ht="15" hidden="false" customHeight="false" outlineLevel="0" collapsed="false">
      <c r="A110" s="4" t="s">
        <v>4611</v>
      </c>
      <c r="B110" s="23" t="n">
        <v>107</v>
      </c>
      <c r="C110" s="6" t="n">
        <v>46212</v>
      </c>
      <c r="D110" s="4" t="s">
        <v>4613</v>
      </c>
      <c r="E110" s="4" t="s">
        <v>6029</v>
      </c>
      <c r="F110" s="7" t="n">
        <v>-44176.18</v>
      </c>
      <c r="G110" s="24" t="s">
        <v>5951</v>
      </c>
      <c r="H110" s="4" t="s">
        <v>4610</v>
      </c>
      <c r="I110" s="4"/>
    </row>
    <row r="111" customFormat="false" ht="15" hidden="false" customHeight="false" outlineLevel="0" collapsed="false">
      <c r="A111" s="4" t="s">
        <v>4616</v>
      </c>
      <c r="B111" s="23" t="n">
        <v>108</v>
      </c>
      <c r="C111" s="6" t="n">
        <v>46212</v>
      </c>
      <c r="D111" s="4" t="s">
        <v>4618</v>
      </c>
      <c r="E111" s="4" t="s">
        <v>6030</v>
      </c>
      <c r="F111" s="7" t="n">
        <v>-5834.84</v>
      </c>
      <c r="G111" s="24" t="s">
        <v>5951</v>
      </c>
      <c r="H111" s="4" t="s">
        <v>4615</v>
      </c>
      <c r="I111" s="4"/>
    </row>
    <row r="112" customFormat="false" ht="15" hidden="false" customHeight="false" outlineLevel="0" collapsed="false">
      <c r="A112" s="4" t="s">
        <v>4916</v>
      </c>
      <c r="B112" s="23" t="n">
        <v>109</v>
      </c>
      <c r="C112" s="6" t="n">
        <v>46212</v>
      </c>
      <c r="D112" s="4" t="s">
        <v>4918</v>
      </c>
      <c r="E112" s="4" t="s">
        <v>6031</v>
      </c>
      <c r="F112" s="7" t="n">
        <v>-22663.12</v>
      </c>
      <c r="G112" s="24" t="s">
        <v>5951</v>
      </c>
      <c r="H112" s="4" t="s">
        <v>4915</v>
      </c>
      <c r="I112" s="4"/>
    </row>
    <row r="113" customFormat="false" ht="15" hidden="false" customHeight="false" outlineLevel="0" collapsed="false">
      <c r="A113" s="4" t="s">
        <v>3849</v>
      </c>
      <c r="B113" s="23" t="n">
        <v>110</v>
      </c>
      <c r="C113" s="6" t="n">
        <v>46212</v>
      </c>
      <c r="D113" s="4" t="s">
        <v>3851</v>
      </c>
      <c r="E113" s="4" t="s">
        <v>6032</v>
      </c>
      <c r="F113" s="7" t="n">
        <v>-24559.21</v>
      </c>
      <c r="G113" s="24" t="s">
        <v>5951</v>
      </c>
      <c r="H113" s="4" t="s">
        <v>3848</v>
      </c>
      <c r="I113" s="4"/>
    </row>
    <row r="114" customFormat="false" ht="15" hidden="false" customHeight="false" outlineLevel="0" collapsed="false">
      <c r="A114" s="4" t="s">
        <v>4921</v>
      </c>
      <c r="B114" s="23" t="n">
        <v>111</v>
      </c>
      <c r="C114" s="6" t="n">
        <v>46212</v>
      </c>
      <c r="D114" s="4" t="s">
        <v>4923</v>
      </c>
      <c r="E114" s="4" t="s">
        <v>6033</v>
      </c>
      <c r="F114" s="7" t="n">
        <v>-57439.15</v>
      </c>
      <c r="G114" s="24" t="s">
        <v>5951</v>
      </c>
      <c r="H114" s="4" t="s">
        <v>4920</v>
      </c>
      <c r="I114" s="4"/>
    </row>
    <row r="115" customFormat="false" ht="15" hidden="false" customHeight="false" outlineLevel="0" collapsed="false">
      <c r="A115" s="4" t="s">
        <v>5340</v>
      </c>
      <c r="B115" s="23" t="n">
        <v>112</v>
      </c>
      <c r="C115" s="6" t="n">
        <v>46212</v>
      </c>
      <c r="D115" s="4" t="s">
        <v>5342</v>
      </c>
      <c r="E115" s="4" t="s">
        <v>6034</v>
      </c>
      <c r="F115" s="7" t="n">
        <v>-19941.63</v>
      </c>
      <c r="G115" s="24" t="s">
        <v>5951</v>
      </c>
      <c r="H115" s="4" t="s">
        <v>5339</v>
      </c>
      <c r="I115" s="4"/>
    </row>
    <row r="116" customFormat="false" ht="15" hidden="false" customHeight="false" outlineLevel="0" collapsed="false">
      <c r="A116" s="4" t="s">
        <v>2407</v>
      </c>
      <c r="B116" s="23" t="n">
        <v>113</v>
      </c>
      <c r="C116" s="6" t="n">
        <v>46212</v>
      </c>
      <c r="D116" s="4" t="s">
        <v>2409</v>
      </c>
      <c r="E116" s="4" t="s">
        <v>6035</v>
      </c>
      <c r="F116" s="7" t="n">
        <v>-51911.52</v>
      </c>
      <c r="G116" s="24" t="s">
        <v>5951</v>
      </c>
      <c r="H116" s="4" t="s">
        <v>2406</v>
      </c>
      <c r="I116" s="4"/>
    </row>
    <row r="117" customFormat="false" ht="15" hidden="false" customHeight="false" outlineLevel="0" collapsed="false">
      <c r="A117" s="4" t="s">
        <v>2412</v>
      </c>
      <c r="B117" s="23" t="n">
        <v>114</v>
      </c>
      <c r="C117" s="6" t="n">
        <v>46213</v>
      </c>
      <c r="D117" s="4" t="s">
        <v>2414</v>
      </c>
      <c r="E117" s="4" t="s">
        <v>6036</v>
      </c>
      <c r="F117" s="7" t="n">
        <v>5563.65</v>
      </c>
      <c r="G117" s="24" t="s">
        <v>5951</v>
      </c>
      <c r="H117" s="4" t="s">
        <v>2411</v>
      </c>
      <c r="I117" s="4"/>
    </row>
    <row r="118" customFormat="false" ht="15" hidden="false" customHeight="false" outlineLevel="0" collapsed="false">
      <c r="A118" s="4" t="s">
        <v>780</v>
      </c>
      <c r="B118" s="23" t="n">
        <v>115</v>
      </c>
      <c r="C118" s="6" t="n">
        <v>46213</v>
      </c>
      <c r="D118" s="4" t="s">
        <v>782</v>
      </c>
      <c r="E118" s="4" t="s">
        <v>6037</v>
      </c>
      <c r="F118" s="7" t="n">
        <v>62174.86</v>
      </c>
      <c r="G118" s="24" t="s">
        <v>5951</v>
      </c>
      <c r="H118" s="4" t="s">
        <v>779</v>
      </c>
      <c r="I118" s="4"/>
    </row>
    <row r="119" customFormat="false" ht="15" hidden="false" customHeight="false" outlineLevel="0" collapsed="false">
      <c r="A119" s="4" t="s">
        <v>3854</v>
      </c>
      <c r="B119" s="23" t="n">
        <v>116</v>
      </c>
      <c r="C119" s="6" t="n">
        <v>46213</v>
      </c>
      <c r="D119" s="4" t="s">
        <v>3856</v>
      </c>
      <c r="E119" s="4"/>
      <c r="F119" s="7" t="n">
        <v>86756.43</v>
      </c>
      <c r="G119" s="24" t="s">
        <v>5951</v>
      </c>
      <c r="H119" s="4" t="s">
        <v>3853</v>
      </c>
      <c r="I119" s="4"/>
    </row>
    <row r="120" customFormat="false" ht="15" hidden="false" customHeight="false" outlineLevel="0" collapsed="false">
      <c r="A120" s="4" t="s">
        <v>2417</v>
      </c>
      <c r="B120" s="23" t="n">
        <v>117</v>
      </c>
      <c r="C120" s="6" t="n">
        <v>46213</v>
      </c>
      <c r="D120" s="4" t="s">
        <v>2419</v>
      </c>
      <c r="E120" s="4"/>
      <c r="F120" s="7" t="n">
        <v>53420.12</v>
      </c>
      <c r="G120" s="24" t="s">
        <v>5951</v>
      </c>
      <c r="H120" s="4" t="s">
        <v>2416</v>
      </c>
      <c r="I120" s="4"/>
    </row>
    <row r="121" customFormat="false" ht="15" hidden="false" customHeight="false" outlineLevel="0" collapsed="false">
      <c r="A121" s="4" t="s">
        <v>785</v>
      </c>
      <c r="B121" s="23" t="n">
        <v>118</v>
      </c>
      <c r="C121" s="6" t="n">
        <v>46213</v>
      </c>
      <c r="D121" s="4" t="s">
        <v>131</v>
      </c>
      <c r="E121" s="4" t="s">
        <v>130</v>
      </c>
      <c r="F121" s="7" t="n">
        <v>91376.45</v>
      </c>
      <c r="G121" s="24" t="s">
        <v>5951</v>
      </c>
      <c r="H121" s="4" t="s">
        <v>784</v>
      </c>
      <c r="I121" s="4"/>
    </row>
    <row r="122" customFormat="false" ht="15" hidden="false" customHeight="false" outlineLevel="0" collapsed="false">
      <c r="A122" s="4" t="s">
        <v>789</v>
      </c>
      <c r="B122" s="23" t="n">
        <v>119</v>
      </c>
      <c r="C122" s="6" t="n">
        <v>46213</v>
      </c>
      <c r="D122" s="4" t="s">
        <v>791</v>
      </c>
      <c r="E122" s="4" t="s">
        <v>6038</v>
      </c>
      <c r="F122" s="7" t="n">
        <v>92123.62</v>
      </c>
      <c r="G122" s="24" t="s">
        <v>5951</v>
      </c>
      <c r="H122" s="4" t="s">
        <v>788</v>
      </c>
      <c r="I122" s="4"/>
    </row>
    <row r="123" customFormat="false" ht="15" hidden="false" customHeight="false" outlineLevel="0" collapsed="false">
      <c r="A123" s="4" t="s">
        <v>4926</v>
      </c>
      <c r="B123" s="23" t="n">
        <v>120</v>
      </c>
      <c r="C123" s="6" t="n">
        <v>46213</v>
      </c>
      <c r="D123" s="4" t="s">
        <v>4928</v>
      </c>
      <c r="E123" s="4" t="s">
        <v>6039</v>
      </c>
      <c r="F123" s="7" t="n">
        <v>-28122.78</v>
      </c>
      <c r="G123" s="24" t="s">
        <v>5951</v>
      </c>
      <c r="H123" s="4" t="s">
        <v>4925</v>
      </c>
      <c r="I123" s="4"/>
    </row>
    <row r="124" customFormat="false" ht="15" hidden="false" customHeight="false" outlineLevel="0" collapsed="false">
      <c r="A124" s="4" t="s">
        <v>2422</v>
      </c>
      <c r="B124" s="23" t="n">
        <v>121</v>
      </c>
      <c r="C124" s="6" t="n">
        <v>46213</v>
      </c>
      <c r="D124" s="4" t="s">
        <v>2424</v>
      </c>
      <c r="E124" s="4" t="s">
        <v>6040</v>
      </c>
      <c r="F124" s="7" t="n">
        <v>-58782.72</v>
      </c>
      <c r="G124" s="24" t="s">
        <v>5951</v>
      </c>
      <c r="H124" s="4" t="s">
        <v>2421</v>
      </c>
      <c r="I124" s="4"/>
    </row>
    <row r="125" customFormat="false" ht="15" hidden="false" customHeight="false" outlineLevel="0" collapsed="false">
      <c r="A125" s="4" t="s">
        <v>4931</v>
      </c>
      <c r="B125" s="23" t="n">
        <v>122</v>
      </c>
      <c r="C125" s="6" t="n">
        <v>46213</v>
      </c>
      <c r="D125" s="4" t="s">
        <v>4933</v>
      </c>
      <c r="E125" s="4" t="s">
        <v>6041</v>
      </c>
      <c r="F125" s="7" t="n">
        <v>-23154.15</v>
      </c>
      <c r="G125" s="24" t="s">
        <v>5951</v>
      </c>
      <c r="H125" s="4" t="s">
        <v>4930</v>
      </c>
      <c r="I125" s="4"/>
    </row>
    <row r="126" customFormat="false" ht="15" hidden="false" customHeight="false" outlineLevel="0" collapsed="false">
      <c r="A126" s="4" t="s">
        <v>4621</v>
      </c>
      <c r="B126" s="23" t="n">
        <v>123</v>
      </c>
      <c r="C126" s="6" t="n">
        <v>46213</v>
      </c>
      <c r="D126" s="4" t="s">
        <v>4623</v>
      </c>
      <c r="E126" s="4" t="s">
        <v>6042</v>
      </c>
      <c r="F126" s="7" t="n">
        <v>-54556.99</v>
      </c>
      <c r="G126" s="24" t="s">
        <v>5951</v>
      </c>
      <c r="H126" s="4" t="s">
        <v>4620</v>
      </c>
      <c r="I126" s="4"/>
    </row>
    <row r="127" customFormat="false" ht="15" hidden="false" customHeight="false" outlineLevel="0" collapsed="false">
      <c r="A127" s="4" t="s">
        <v>5823</v>
      </c>
      <c r="B127" s="23" t="n">
        <v>124</v>
      </c>
      <c r="C127" s="6" t="n">
        <v>46213</v>
      </c>
      <c r="D127" s="4" t="s">
        <v>5782</v>
      </c>
      <c r="E127" s="4"/>
      <c r="F127" s="7" t="n">
        <v>-4040.74</v>
      </c>
      <c r="G127" s="24" t="s">
        <v>5951</v>
      </c>
      <c r="H127" s="4" t="s">
        <v>5822</v>
      </c>
      <c r="I127" s="4"/>
    </row>
    <row r="128" customFormat="false" ht="15" hidden="false" customHeight="false" outlineLevel="0" collapsed="false">
      <c r="A128" s="4" t="s">
        <v>129</v>
      </c>
      <c r="B128" s="23" t="n">
        <v>125</v>
      </c>
      <c r="C128" s="6" t="n">
        <v>46213</v>
      </c>
      <c r="D128" s="4" t="s">
        <v>131</v>
      </c>
      <c r="E128" s="4" t="s">
        <v>130</v>
      </c>
      <c r="F128" s="7" t="n">
        <v>91376.45</v>
      </c>
      <c r="G128" s="26" t="s">
        <v>6043</v>
      </c>
      <c r="H128" s="4"/>
      <c r="I128" s="4" t="s">
        <v>127</v>
      </c>
    </row>
    <row r="129" customFormat="false" ht="15" hidden="false" customHeight="false" outlineLevel="0" collapsed="false">
      <c r="A129" s="4" t="s">
        <v>794</v>
      </c>
      <c r="B129" s="23" t="n">
        <v>126</v>
      </c>
      <c r="C129" s="6" t="n">
        <v>46214</v>
      </c>
      <c r="D129" s="4" t="s">
        <v>796</v>
      </c>
      <c r="E129" s="4" t="s">
        <v>6044</v>
      </c>
      <c r="F129" s="7" t="n">
        <v>83170.82</v>
      </c>
      <c r="G129" s="24" t="s">
        <v>5951</v>
      </c>
      <c r="H129" s="4" t="s">
        <v>793</v>
      </c>
      <c r="I129" s="4"/>
    </row>
    <row r="130" customFormat="false" ht="15" hidden="false" customHeight="false" outlineLevel="0" collapsed="false">
      <c r="A130" s="4" t="s">
        <v>3859</v>
      </c>
      <c r="B130" s="23" t="n">
        <v>127</v>
      </c>
      <c r="C130" s="6" t="n">
        <v>46214</v>
      </c>
      <c r="D130" s="4" t="s">
        <v>3861</v>
      </c>
      <c r="E130" s="4" t="s">
        <v>6045</v>
      </c>
      <c r="F130" s="7" t="n">
        <v>3304.92</v>
      </c>
      <c r="G130" s="24" t="s">
        <v>5951</v>
      </c>
      <c r="H130" s="4" t="s">
        <v>3858</v>
      </c>
      <c r="I130" s="4"/>
    </row>
    <row r="131" customFormat="false" ht="15" hidden="false" customHeight="false" outlineLevel="0" collapsed="false">
      <c r="A131" s="4" t="s">
        <v>2427</v>
      </c>
      <c r="B131" s="23" t="n">
        <v>128</v>
      </c>
      <c r="C131" s="6" t="n">
        <v>46214</v>
      </c>
      <c r="D131" s="4" t="s">
        <v>2429</v>
      </c>
      <c r="E131" s="4"/>
      <c r="F131" s="7" t="n">
        <v>46594.98</v>
      </c>
      <c r="G131" s="24" t="s">
        <v>5951</v>
      </c>
      <c r="H131" s="4" t="s">
        <v>2426</v>
      </c>
      <c r="I131" s="4"/>
    </row>
    <row r="132" customFormat="false" ht="15" hidden="false" customHeight="false" outlineLevel="0" collapsed="false">
      <c r="A132" s="4" t="s">
        <v>2432</v>
      </c>
      <c r="B132" s="23" t="n">
        <v>129</v>
      </c>
      <c r="C132" s="6" t="n">
        <v>46214</v>
      </c>
      <c r="D132" s="4" t="s">
        <v>2434</v>
      </c>
      <c r="E132" s="4" t="s">
        <v>6046</v>
      </c>
      <c r="F132" s="7" t="n">
        <v>13316.21</v>
      </c>
      <c r="G132" s="24" t="s">
        <v>5951</v>
      </c>
      <c r="H132" s="4" t="s">
        <v>2431</v>
      </c>
      <c r="I132" s="4"/>
    </row>
    <row r="133" customFormat="false" ht="15" hidden="false" customHeight="false" outlineLevel="0" collapsed="false">
      <c r="A133" s="4" t="s">
        <v>2437</v>
      </c>
      <c r="B133" s="23" t="n">
        <v>130</v>
      </c>
      <c r="C133" s="6" t="n">
        <v>46214</v>
      </c>
      <c r="D133" s="4" t="s">
        <v>2439</v>
      </c>
      <c r="E133" s="4" t="s">
        <v>6047</v>
      </c>
      <c r="F133" s="7" t="n">
        <v>22296.95</v>
      </c>
      <c r="G133" s="24" t="s">
        <v>5951</v>
      </c>
      <c r="H133" s="4" t="s">
        <v>2436</v>
      </c>
      <c r="I133" s="4"/>
    </row>
    <row r="134" customFormat="false" ht="15" hidden="false" customHeight="false" outlineLevel="0" collapsed="false">
      <c r="A134" s="4" t="s">
        <v>799</v>
      </c>
      <c r="B134" s="23" t="n">
        <v>131</v>
      </c>
      <c r="C134" s="6" t="n">
        <v>46214</v>
      </c>
      <c r="D134" s="4" t="s">
        <v>801</v>
      </c>
      <c r="E134" s="4"/>
      <c r="F134" s="7" t="n">
        <v>19627.66</v>
      </c>
      <c r="G134" s="24" t="s">
        <v>5951</v>
      </c>
      <c r="H134" s="4" t="s">
        <v>798</v>
      </c>
      <c r="I134" s="4"/>
    </row>
    <row r="135" customFormat="false" ht="15" hidden="false" customHeight="false" outlineLevel="0" collapsed="false">
      <c r="A135" s="4" t="s">
        <v>3864</v>
      </c>
      <c r="B135" s="23" t="n">
        <v>132</v>
      </c>
      <c r="C135" s="6" t="n">
        <v>46214</v>
      </c>
      <c r="D135" s="4" t="s">
        <v>3866</v>
      </c>
      <c r="E135" s="4" t="s">
        <v>6048</v>
      </c>
      <c r="F135" s="7" t="n">
        <v>86712.61</v>
      </c>
      <c r="G135" s="24" t="s">
        <v>5951</v>
      </c>
      <c r="H135" s="4" t="s">
        <v>3863</v>
      </c>
      <c r="I135" s="4"/>
    </row>
    <row r="136" customFormat="false" ht="15" hidden="false" customHeight="false" outlineLevel="0" collapsed="false">
      <c r="A136" s="4" t="s">
        <v>5345</v>
      </c>
      <c r="B136" s="23" t="n">
        <v>133</v>
      </c>
      <c r="C136" s="6" t="n">
        <v>46214</v>
      </c>
      <c r="D136" s="4" t="s">
        <v>5347</v>
      </c>
      <c r="E136" s="4" t="s">
        <v>6049</v>
      </c>
      <c r="F136" s="7" t="n">
        <v>-38372.49</v>
      </c>
      <c r="G136" s="24" t="s">
        <v>5951</v>
      </c>
      <c r="H136" s="4" t="s">
        <v>5344</v>
      </c>
      <c r="I136" s="4"/>
    </row>
    <row r="137" customFormat="false" ht="15" hidden="false" customHeight="false" outlineLevel="0" collapsed="false">
      <c r="A137" s="4" t="s">
        <v>5350</v>
      </c>
      <c r="B137" s="23" t="n">
        <v>134</v>
      </c>
      <c r="C137" s="6" t="n">
        <v>46214</v>
      </c>
      <c r="D137" s="4" t="s">
        <v>5352</v>
      </c>
      <c r="E137" s="4" t="s">
        <v>6050</v>
      </c>
      <c r="F137" s="7" t="n">
        <v>-45834.38</v>
      </c>
      <c r="G137" s="24" t="s">
        <v>5951</v>
      </c>
      <c r="H137" s="4" t="s">
        <v>5349</v>
      </c>
      <c r="I137" s="4"/>
    </row>
    <row r="138" customFormat="false" ht="15" hidden="false" customHeight="false" outlineLevel="0" collapsed="false">
      <c r="A138" s="4" t="s">
        <v>4626</v>
      </c>
      <c r="B138" s="23" t="n">
        <v>135</v>
      </c>
      <c r="C138" s="6" t="n">
        <v>46214</v>
      </c>
      <c r="D138" s="4" t="s">
        <v>4628</v>
      </c>
      <c r="E138" s="4" t="s">
        <v>6051</v>
      </c>
      <c r="F138" s="7" t="n">
        <v>-59257.72</v>
      </c>
      <c r="G138" s="24" t="s">
        <v>5951</v>
      </c>
      <c r="H138" s="4" t="s">
        <v>4625</v>
      </c>
      <c r="I138" s="4"/>
    </row>
    <row r="139" customFormat="false" ht="15" hidden="false" customHeight="false" outlineLevel="0" collapsed="false">
      <c r="A139" s="4" t="s">
        <v>5355</v>
      </c>
      <c r="B139" s="23" t="n">
        <v>136</v>
      </c>
      <c r="C139" s="6" t="n">
        <v>46214</v>
      </c>
      <c r="D139" s="4" t="s">
        <v>5357</v>
      </c>
      <c r="E139" s="4" t="s">
        <v>6052</v>
      </c>
      <c r="F139" s="7" t="n">
        <v>-19879.86</v>
      </c>
      <c r="G139" s="24" t="s">
        <v>5951</v>
      </c>
      <c r="H139" s="4" t="s">
        <v>5354</v>
      </c>
      <c r="I139" s="4"/>
    </row>
    <row r="140" customFormat="false" ht="15" hidden="false" customHeight="false" outlineLevel="0" collapsed="false">
      <c r="A140" s="4" t="s">
        <v>3869</v>
      </c>
      <c r="B140" s="23" t="n">
        <v>137</v>
      </c>
      <c r="C140" s="6" t="n">
        <v>46215</v>
      </c>
      <c r="D140" s="4" t="s">
        <v>3871</v>
      </c>
      <c r="E140" s="4" t="s">
        <v>6053</v>
      </c>
      <c r="F140" s="7" t="n">
        <v>91505.76</v>
      </c>
      <c r="G140" s="24" t="s">
        <v>5951</v>
      </c>
      <c r="H140" s="4" t="s">
        <v>3868</v>
      </c>
      <c r="I140" s="4"/>
    </row>
    <row r="141" customFormat="false" ht="15" hidden="false" customHeight="false" outlineLevel="0" collapsed="false">
      <c r="A141" s="4" t="s">
        <v>804</v>
      </c>
      <c r="B141" s="23" t="n">
        <v>138</v>
      </c>
      <c r="C141" s="6" t="n">
        <v>46215</v>
      </c>
      <c r="D141" s="4" t="s">
        <v>806</v>
      </c>
      <c r="E141" s="4" t="s">
        <v>6054</v>
      </c>
      <c r="F141" s="7" t="n">
        <v>20701.45</v>
      </c>
      <c r="G141" s="24" t="s">
        <v>5951</v>
      </c>
      <c r="H141" s="4" t="s">
        <v>803</v>
      </c>
      <c r="I141" s="4"/>
    </row>
    <row r="142" customFormat="false" ht="15" hidden="false" customHeight="false" outlineLevel="0" collapsed="false">
      <c r="A142" s="4" t="s">
        <v>2442</v>
      </c>
      <c r="B142" s="23" t="n">
        <v>139</v>
      </c>
      <c r="C142" s="6" t="n">
        <v>46215</v>
      </c>
      <c r="D142" s="4" t="s">
        <v>2444</v>
      </c>
      <c r="E142" s="4"/>
      <c r="F142" s="7" t="n">
        <v>13024.1</v>
      </c>
      <c r="G142" s="24" t="s">
        <v>5951</v>
      </c>
      <c r="H142" s="4" t="s">
        <v>2441</v>
      </c>
      <c r="I142" s="4"/>
    </row>
    <row r="143" customFormat="false" ht="15" hidden="false" customHeight="false" outlineLevel="0" collapsed="false">
      <c r="A143" s="4" t="s">
        <v>5360</v>
      </c>
      <c r="B143" s="23" t="n">
        <v>140</v>
      </c>
      <c r="C143" s="6" t="n">
        <v>46215</v>
      </c>
      <c r="D143" s="4" t="s">
        <v>5362</v>
      </c>
      <c r="E143" s="4" t="s">
        <v>6055</v>
      </c>
      <c r="F143" s="7" t="n">
        <v>-27440.44</v>
      </c>
      <c r="G143" s="24" t="s">
        <v>5951</v>
      </c>
      <c r="H143" s="4" t="s">
        <v>5359</v>
      </c>
      <c r="I143" s="4"/>
    </row>
    <row r="144" customFormat="false" ht="15" hidden="false" customHeight="false" outlineLevel="0" collapsed="false">
      <c r="A144" s="4" t="s">
        <v>2447</v>
      </c>
      <c r="B144" s="23" t="n">
        <v>141</v>
      </c>
      <c r="C144" s="6" t="n">
        <v>46215</v>
      </c>
      <c r="D144" s="4" t="s">
        <v>2449</v>
      </c>
      <c r="E144" s="4" t="s">
        <v>6056</v>
      </c>
      <c r="F144" s="7" t="n">
        <v>-44513.12</v>
      </c>
      <c r="G144" s="24" t="s">
        <v>5951</v>
      </c>
      <c r="H144" s="4" t="s">
        <v>2446</v>
      </c>
      <c r="I144" s="4"/>
    </row>
    <row r="145" customFormat="false" ht="15" hidden="false" customHeight="false" outlineLevel="0" collapsed="false">
      <c r="A145" s="4" t="s">
        <v>4631</v>
      </c>
      <c r="B145" s="23" t="n">
        <v>142</v>
      </c>
      <c r="C145" s="6" t="n">
        <v>46215</v>
      </c>
      <c r="D145" s="4" t="s">
        <v>4633</v>
      </c>
      <c r="E145" s="4" t="s">
        <v>6057</v>
      </c>
      <c r="F145" s="7" t="n">
        <v>-52164.29</v>
      </c>
      <c r="G145" s="24" t="s">
        <v>5951</v>
      </c>
      <c r="H145" s="4" t="s">
        <v>4630</v>
      </c>
      <c r="I145" s="4"/>
    </row>
    <row r="146" customFormat="false" ht="15" hidden="false" customHeight="false" outlineLevel="0" collapsed="false">
      <c r="A146" s="4" t="s">
        <v>4936</v>
      </c>
      <c r="B146" s="23" t="n">
        <v>143</v>
      </c>
      <c r="C146" s="6" t="n">
        <v>46215</v>
      </c>
      <c r="D146" s="4" t="s">
        <v>4938</v>
      </c>
      <c r="E146" s="4" t="s">
        <v>6058</v>
      </c>
      <c r="F146" s="7" t="n">
        <v>-8481.51</v>
      </c>
      <c r="G146" s="24" t="s">
        <v>5951</v>
      </c>
      <c r="H146" s="4" t="s">
        <v>4935</v>
      </c>
      <c r="I146" s="4"/>
    </row>
    <row r="147" customFormat="false" ht="15" hidden="false" customHeight="false" outlineLevel="0" collapsed="false">
      <c r="A147" s="4" t="s">
        <v>4941</v>
      </c>
      <c r="B147" s="23" t="n">
        <v>144</v>
      </c>
      <c r="C147" s="6" t="n">
        <v>46215</v>
      </c>
      <c r="D147" s="4" t="s">
        <v>4943</v>
      </c>
      <c r="E147" s="4" t="s">
        <v>6059</v>
      </c>
      <c r="F147" s="7" t="n">
        <v>-20467.54</v>
      </c>
      <c r="G147" s="24" t="s">
        <v>5951</v>
      </c>
      <c r="H147" s="4" t="s">
        <v>4940</v>
      </c>
      <c r="I147" s="4"/>
    </row>
    <row r="148" customFormat="false" ht="15" hidden="false" customHeight="false" outlineLevel="0" collapsed="false">
      <c r="A148" s="4" t="s">
        <v>473</v>
      </c>
      <c r="B148" s="23" t="n">
        <v>145</v>
      </c>
      <c r="C148" s="6" t="n">
        <v>46215</v>
      </c>
      <c r="D148" s="4" t="s">
        <v>5845</v>
      </c>
      <c r="E148" s="4" t="s">
        <v>475</v>
      </c>
      <c r="F148" s="7" t="n">
        <v>45886.89</v>
      </c>
      <c r="G148" s="25" t="s">
        <v>5987</v>
      </c>
      <c r="H148" s="4" t="s">
        <v>5844</v>
      </c>
      <c r="I148" s="4" t="s">
        <v>472</v>
      </c>
    </row>
    <row r="149" customFormat="false" ht="15" hidden="false" customHeight="false" outlineLevel="0" collapsed="false">
      <c r="A149" s="4" t="s">
        <v>2452</v>
      </c>
      <c r="B149" s="23" t="n">
        <v>146</v>
      </c>
      <c r="C149" s="6" t="n">
        <v>46216</v>
      </c>
      <c r="D149" s="4" t="s">
        <v>2454</v>
      </c>
      <c r="E149" s="4" t="s">
        <v>6060</v>
      </c>
      <c r="F149" s="7" t="n">
        <v>62148.37</v>
      </c>
      <c r="G149" s="24" t="s">
        <v>5951</v>
      </c>
      <c r="H149" s="4" t="s">
        <v>2451</v>
      </c>
      <c r="I149" s="4"/>
    </row>
    <row r="150" customFormat="false" ht="15" hidden="false" customHeight="false" outlineLevel="0" collapsed="false">
      <c r="A150" s="4" t="s">
        <v>3874</v>
      </c>
      <c r="B150" s="23" t="n">
        <v>147</v>
      </c>
      <c r="C150" s="6" t="n">
        <v>46216</v>
      </c>
      <c r="D150" s="4" t="s">
        <v>3876</v>
      </c>
      <c r="E150" s="4" t="s">
        <v>6061</v>
      </c>
      <c r="F150" s="7" t="n">
        <v>60929.63</v>
      </c>
      <c r="G150" s="24" t="s">
        <v>5951</v>
      </c>
      <c r="H150" s="4" t="s">
        <v>3873</v>
      </c>
      <c r="I150" s="4"/>
    </row>
    <row r="151" customFormat="false" ht="15" hidden="false" customHeight="false" outlineLevel="0" collapsed="false">
      <c r="A151" s="4" t="s">
        <v>809</v>
      </c>
      <c r="B151" s="23" t="n">
        <v>148</v>
      </c>
      <c r="C151" s="6" t="n">
        <v>46216</v>
      </c>
      <c r="D151" s="4" t="s">
        <v>811</v>
      </c>
      <c r="E151" s="4" t="s">
        <v>6062</v>
      </c>
      <c r="F151" s="7" t="n">
        <v>92470.83</v>
      </c>
      <c r="G151" s="24" t="s">
        <v>5951</v>
      </c>
      <c r="H151" s="4" t="s">
        <v>808</v>
      </c>
      <c r="I151" s="4"/>
    </row>
    <row r="152" customFormat="false" ht="15" hidden="false" customHeight="false" outlineLevel="0" collapsed="false">
      <c r="A152" s="4" t="s">
        <v>3879</v>
      </c>
      <c r="B152" s="23" t="n">
        <v>149</v>
      </c>
      <c r="C152" s="6" t="n">
        <v>46216</v>
      </c>
      <c r="D152" s="4" t="s">
        <v>142</v>
      </c>
      <c r="E152" s="4"/>
      <c r="F152" s="7" t="n">
        <v>74966.87</v>
      </c>
      <c r="G152" s="24" t="s">
        <v>5951</v>
      </c>
      <c r="H152" s="4" t="s">
        <v>3878</v>
      </c>
      <c r="I152" s="4"/>
    </row>
    <row r="153" customFormat="false" ht="15" hidden="false" customHeight="false" outlineLevel="0" collapsed="false">
      <c r="A153" s="4" t="s">
        <v>2457</v>
      </c>
      <c r="B153" s="23" t="n">
        <v>150</v>
      </c>
      <c r="C153" s="6" t="n">
        <v>46216</v>
      </c>
      <c r="D153" s="4" t="s">
        <v>2459</v>
      </c>
      <c r="E153" s="4" t="s">
        <v>6063</v>
      </c>
      <c r="F153" s="7" t="n">
        <v>41985.44</v>
      </c>
      <c r="G153" s="24" t="s">
        <v>5951</v>
      </c>
      <c r="H153" s="4" t="s">
        <v>2456</v>
      </c>
      <c r="I153" s="4"/>
    </row>
    <row r="154" customFormat="false" ht="15" hidden="false" customHeight="false" outlineLevel="0" collapsed="false">
      <c r="A154" s="4" t="s">
        <v>2462</v>
      </c>
      <c r="B154" s="23" t="n">
        <v>151</v>
      </c>
      <c r="C154" s="6" t="n">
        <v>46216</v>
      </c>
      <c r="D154" s="4" t="s">
        <v>2464</v>
      </c>
      <c r="E154" s="4" t="s">
        <v>6064</v>
      </c>
      <c r="F154" s="7" t="n">
        <v>87838.23</v>
      </c>
      <c r="G154" s="24" t="s">
        <v>5951</v>
      </c>
      <c r="H154" s="4" t="s">
        <v>2461</v>
      </c>
      <c r="I154" s="4"/>
    </row>
    <row r="155" customFormat="false" ht="15" hidden="false" customHeight="false" outlineLevel="0" collapsed="false">
      <c r="A155" s="4" t="s">
        <v>2467</v>
      </c>
      <c r="B155" s="23" t="n">
        <v>152</v>
      </c>
      <c r="C155" s="6" t="n">
        <v>46216</v>
      </c>
      <c r="D155" s="4" t="s">
        <v>2469</v>
      </c>
      <c r="E155" s="4" t="s">
        <v>6065</v>
      </c>
      <c r="F155" s="7" t="n">
        <v>-41648.9</v>
      </c>
      <c r="G155" s="24" t="s">
        <v>5951</v>
      </c>
      <c r="H155" s="4" t="s">
        <v>2466</v>
      </c>
      <c r="I155" s="4"/>
    </row>
    <row r="156" customFormat="false" ht="15" hidden="false" customHeight="false" outlineLevel="0" collapsed="false">
      <c r="A156" s="4" t="s">
        <v>814</v>
      </c>
      <c r="B156" s="23" t="n">
        <v>153</v>
      </c>
      <c r="C156" s="6" t="n">
        <v>46216</v>
      </c>
      <c r="D156" s="4" t="s">
        <v>816</v>
      </c>
      <c r="E156" s="4" t="s">
        <v>6066</v>
      </c>
      <c r="F156" s="7" t="n">
        <v>-6845.45</v>
      </c>
      <c r="G156" s="24" t="s">
        <v>5951</v>
      </c>
      <c r="H156" s="4" t="s">
        <v>813</v>
      </c>
      <c r="I156" s="4"/>
    </row>
    <row r="157" customFormat="false" ht="15" hidden="false" customHeight="false" outlineLevel="0" collapsed="false">
      <c r="A157" s="4" t="s">
        <v>5365</v>
      </c>
      <c r="B157" s="23" t="n">
        <v>154</v>
      </c>
      <c r="C157" s="6" t="n">
        <v>46216</v>
      </c>
      <c r="D157" s="4" t="s">
        <v>5367</v>
      </c>
      <c r="E157" s="4" t="s">
        <v>6067</v>
      </c>
      <c r="F157" s="7" t="n">
        <v>-48492.7</v>
      </c>
      <c r="G157" s="24" t="s">
        <v>5951</v>
      </c>
      <c r="H157" s="4" t="s">
        <v>5364</v>
      </c>
      <c r="I157" s="4"/>
    </row>
    <row r="158" customFormat="false" ht="15" hidden="false" customHeight="false" outlineLevel="0" collapsed="false">
      <c r="A158" s="4" t="s">
        <v>2472</v>
      </c>
      <c r="B158" s="23" t="n">
        <v>155</v>
      </c>
      <c r="C158" s="6" t="n">
        <v>46216</v>
      </c>
      <c r="D158" s="4" t="s">
        <v>2474</v>
      </c>
      <c r="E158" s="4" t="s">
        <v>6068</v>
      </c>
      <c r="F158" s="7" t="n">
        <v>-42499.33</v>
      </c>
      <c r="G158" s="24" t="s">
        <v>5951</v>
      </c>
      <c r="H158" s="4" t="s">
        <v>2471</v>
      </c>
      <c r="I158" s="4"/>
    </row>
    <row r="159" customFormat="false" ht="15" hidden="false" customHeight="false" outlineLevel="0" collapsed="false">
      <c r="A159" s="4" t="s">
        <v>2477</v>
      </c>
      <c r="B159" s="23" t="n">
        <v>156</v>
      </c>
      <c r="C159" s="6" t="n">
        <v>46216</v>
      </c>
      <c r="D159" s="4" t="s">
        <v>2479</v>
      </c>
      <c r="E159" s="4" t="s">
        <v>6069</v>
      </c>
      <c r="F159" s="7" t="n">
        <v>-43263.77</v>
      </c>
      <c r="G159" s="24" t="s">
        <v>5951</v>
      </c>
      <c r="H159" s="4" t="s">
        <v>2476</v>
      </c>
      <c r="I159" s="4"/>
    </row>
    <row r="160" customFormat="false" ht="15" hidden="false" customHeight="false" outlineLevel="0" collapsed="false">
      <c r="A160" s="4" t="s">
        <v>2482</v>
      </c>
      <c r="B160" s="23" t="n">
        <v>157</v>
      </c>
      <c r="C160" s="6" t="n">
        <v>46216</v>
      </c>
      <c r="D160" s="4" t="s">
        <v>2484</v>
      </c>
      <c r="E160" s="4" t="s">
        <v>6070</v>
      </c>
      <c r="F160" s="7" t="n">
        <v>-21160.13</v>
      </c>
      <c r="G160" s="24" t="s">
        <v>5951</v>
      </c>
      <c r="H160" s="4" t="s">
        <v>2481</v>
      </c>
      <c r="I160" s="4"/>
    </row>
    <row r="161" customFormat="false" ht="15" hidden="false" customHeight="false" outlineLevel="0" collapsed="false">
      <c r="A161" s="4" t="s">
        <v>5370</v>
      </c>
      <c r="B161" s="23" t="n">
        <v>158</v>
      </c>
      <c r="C161" s="6" t="n">
        <v>46216</v>
      </c>
      <c r="D161" s="4" t="s">
        <v>5372</v>
      </c>
      <c r="E161" s="4" t="s">
        <v>6071</v>
      </c>
      <c r="F161" s="7" t="n">
        <v>-37382.22</v>
      </c>
      <c r="G161" s="24" t="s">
        <v>5951</v>
      </c>
      <c r="H161" s="4" t="s">
        <v>5369</v>
      </c>
      <c r="I161" s="4"/>
    </row>
    <row r="162" customFormat="false" ht="15" hidden="false" customHeight="false" outlineLevel="0" collapsed="false">
      <c r="A162" s="4" t="s">
        <v>2487</v>
      </c>
      <c r="B162" s="23" t="n">
        <v>159</v>
      </c>
      <c r="C162" s="6" t="n">
        <v>46216</v>
      </c>
      <c r="D162" s="4" t="s">
        <v>2489</v>
      </c>
      <c r="E162" s="4" t="s">
        <v>6072</v>
      </c>
      <c r="F162" s="7" t="n">
        <v>-28768.96</v>
      </c>
      <c r="G162" s="24" t="s">
        <v>5951</v>
      </c>
      <c r="H162" s="4" t="s">
        <v>2486</v>
      </c>
      <c r="I162" s="4"/>
    </row>
    <row r="163" customFormat="false" ht="15" hidden="false" customHeight="false" outlineLevel="0" collapsed="false">
      <c r="A163" s="4" t="s">
        <v>5375</v>
      </c>
      <c r="B163" s="23" t="n">
        <v>160</v>
      </c>
      <c r="C163" s="6" t="n">
        <v>46216</v>
      </c>
      <c r="D163" s="4" t="s">
        <v>5377</v>
      </c>
      <c r="E163" s="4" t="s">
        <v>6073</v>
      </c>
      <c r="F163" s="7" t="n">
        <v>-24654.77</v>
      </c>
      <c r="G163" s="24" t="s">
        <v>5951</v>
      </c>
      <c r="H163" s="4" t="s">
        <v>5374</v>
      </c>
      <c r="I163" s="4"/>
    </row>
    <row r="164" customFormat="false" ht="15" hidden="false" customHeight="false" outlineLevel="0" collapsed="false">
      <c r="A164" s="4" t="s">
        <v>140</v>
      </c>
      <c r="B164" s="23" t="n">
        <v>161</v>
      </c>
      <c r="C164" s="6" t="n">
        <v>46216</v>
      </c>
      <c r="D164" s="4" t="s">
        <v>142</v>
      </c>
      <c r="E164" s="4"/>
      <c r="F164" s="7" t="n">
        <v>74966.87</v>
      </c>
      <c r="G164" s="26" t="s">
        <v>6043</v>
      </c>
      <c r="H164" s="4"/>
      <c r="I164" s="4" t="s">
        <v>139</v>
      </c>
    </row>
    <row r="165" customFormat="false" ht="15" hidden="false" customHeight="false" outlineLevel="0" collapsed="false">
      <c r="A165" s="4" t="s">
        <v>467</v>
      </c>
      <c r="B165" s="23" t="n">
        <v>162</v>
      </c>
      <c r="C165" s="6" t="n">
        <v>46216</v>
      </c>
      <c r="D165" s="4" t="s">
        <v>5863</v>
      </c>
      <c r="E165" s="4" t="s">
        <v>469</v>
      </c>
      <c r="F165" s="7" t="n">
        <v>71661.98</v>
      </c>
      <c r="G165" s="25" t="s">
        <v>5987</v>
      </c>
      <c r="H165" s="4" t="s">
        <v>5862</v>
      </c>
      <c r="I165" s="4" t="s">
        <v>466</v>
      </c>
    </row>
    <row r="166" customFormat="false" ht="15" hidden="false" customHeight="false" outlineLevel="0" collapsed="false">
      <c r="A166" s="4" t="s">
        <v>2492</v>
      </c>
      <c r="B166" s="23" t="n">
        <v>163</v>
      </c>
      <c r="C166" s="6" t="n">
        <v>46217</v>
      </c>
      <c r="D166" s="4" t="s">
        <v>2494</v>
      </c>
      <c r="E166" s="4" t="s">
        <v>6074</v>
      </c>
      <c r="F166" s="7" t="n">
        <v>16916.37</v>
      </c>
      <c r="G166" s="24" t="s">
        <v>5951</v>
      </c>
      <c r="H166" s="4" t="s">
        <v>2491</v>
      </c>
      <c r="I166" s="4"/>
    </row>
    <row r="167" customFormat="false" ht="15" hidden="false" customHeight="false" outlineLevel="0" collapsed="false">
      <c r="A167" s="4" t="s">
        <v>819</v>
      </c>
      <c r="B167" s="23" t="n">
        <v>164</v>
      </c>
      <c r="C167" s="6" t="n">
        <v>46217</v>
      </c>
      <c r="D167" s="4" t="s">
        <v>821</v>
      </c>
      <c r="E167" s="4"/>
      <c r="F167" s="7" t="n">
        <v>25858.81</v>
      </c>
      <c r="G167" s="24" t="s">
        <v>5951</v>
      </c>
      <c r="H167" s="4" t="s">
        <v>818</v>
      </c>
      <c r="I167" s="4"/>
    </row>
    <row r="168" customFormat="false" ht="15" hidden="false" customHeight="false" outlineLevel="0" collapsed="false">
      <c r="A168" s="4" t="s">
        <v>824</v>
      </c>
      <c r="B168" s="23" t="n">
        <v>165</v>
      </c>
      <c r="C168" s="6" t="n">
        <v>46217</v>
      </c>
      <c r="D168" s="4" t="s">
        <v>826</v>
      </c>
      <c r="E168" s="4" t="s">
        <v>6075</v>
      </c>
      <c r="F168" s="7" t="n">
        <v>93183.53</v>
      </c>
      <c r="G168" s="24" t="s">
        <v>5951</v>
      </c>
      <c r="H168" s="4" t="s">
        <v>823</v>
      </c>
      <c r="I168" s="4"/>
    </row>
    <row r="169" customFormat="false" ht="15" hidden="false" customHeight="false" outlineLevel="0" collapsed="false">
      <c r="A169" s="4" t="s">
        <v>2497</v>
      </c>
      <c r="B169" s="23" t="n">
        <v>166</v>
      </c>
      <c r="C169" s="6" t="n">
        <v>46217</v>
      </c>
      <c r="D169" s="4" t="s">
        <v>2499</v>
      </c>
      <c r="E169" s="4" t="s">
        <v>6076</v>
      </c>
      <c r="F169" s="7" t="n">
        <v>10735.6</v>
      </c>
      <c r="G169" s="24" t="s">
        <v>5951</v>
      </c>
      <c r="H169" s="4" t="s">
        <v>2496</v>
      </c>
      <c r="I169" s="4"/>
    </row>
    <row r="170" customFormat="false" ht="15" hidden="false" customHeight="false" outlineLevel="0" collapsed="false">
      <c r="A170" s="4" t="s">
        <v>2502</v>
      </c>
      <c r="B170" s="23" t="n">
        <v>167</v>
      </c>
      <c r="C170" s="6" t="n">
        <v>46217</v>
      </c>
      <c r="D170" s="4" t="s">
        <v>2504</v>
      </c>
      <c r="E170" s="4" t="s">
        <v>6077</v>
      </c>
      <c r="F170" s="7" t="n">
        <v>62766.94</v>
      </c>
      <c r="G170" s="24" t="s">
        <v>5951</v>
      </c>
      <c r="H170" s="4" t="s">
        <v>2501</v>
      </c>
      <c r="I170" s="4"/>
    </row>
    <row r="171" customFormat="false" ht="15" hidden="false" customHeight="false" outlineLevel="0" collapsed="false">
      <c r="A171" s="4" t="s">
        <v>829</v>
      </c>
      <c r="B171" s="23" t="n">
        <v>168</v>
      </c>
      <c r="C171" s="6" t="n">
        <v>46217</v>
      </c>
      <c r="D171" s="4" t="s">
        <v>831</v>
      </c>
      <c r="E171" s="4" t="s">
        <v>6078</v>
      </c>
      <c r="F171" s="7" t="n">
        <v>86880.26</v>
      </c>
      <c r="G171" s="24" t="s">
        <v>5951</v>
      </c>
      <c r="H171" s="4" t="s">
        <v>828</v>
      </c>
      <c r="I171" s="4"/>
    </row>
    <row r="172" customFormat="false" ht="15" hidden="false" customHeight="false" outlineLevel="0" collapsed="false">
      <c r="A172" s="4" t="s">
        <v>2507</v>
      </c>
      <c r="B172" s="23" t="n">
        <v>169</v>
      </c>
      <c r="C172" s="6" t="n">
        <v>46217</v>
      </c>
      <c r="D172" s="4" t="s">
        <v>2509</v>
      </c>
      <c r="E172" s="4" t="s">
        <v>6079</v>
      </c>
      <c r="F172" s="7" t="n">
        <v>50713.26</v>
      </c>
      <c r="G172" s="24" t="s">
        <v>5951</v>
      </c>
      <c r="H172" s="4" t="s">
        <v>2506</v>
      </c>
      <c r="I172" s="4"/>
    </row>
    <row r="173" customFormat="false" ht="15" hidden="false" customHeight="false" outlineLevel="0" collapsed="false">
      <c r="A173" s="4" t="s">
        <v>834</v>
      </c>
      <c r="B173" s="23" t="n">
        <v>170</v>
      </c>
      <c r="C173" s="6" t="n">
        <v>46217</v>
      </c>
      <c r="D173" s="4" t="s">
        <v>836</v>
      </c>
      <c r="E173" s="4" t="s">
        <v>6080</v>
      </c>
      <c r="F173" s="7" t="n">
        <v>90857.1</v>
      </c>
      <c r="G173" s="24" t="s">
        <v>5951</v>
      </c>
      <c r="H173" s="4" t="s">
        <v>833</v>
      </c>
      <c r="I173" s="4"/>
    </row>
    <row r="174" customFormat="false" ht="15" hidden="false" customHeight="false" outlineLevel="0" collapsed="false">
      <c r="A174" s="4" t="s">
        <v>839</v>
      </c>
      <c r="B174" s="23" t="n">
        <v>171</v>
      </c>
      <c r="C174" s="6" t="n">
        <v>46217</v>
      </c>
      <c r="D174" s="4" t="s">
        <v>841</v>
      </c>
      <c r="E174" s="4" t="s">
        <v>6081</v>
      </c>
      <c r="F174" s="7" t="n">
        <v>86553.66</v>
      </c>
      <c r="G174" s="24" t="s">
        <v>5951</v>
      </c>
      <c r="H174" s="4" t="s">
        <v>838</v>
      </c>
      <c r="I174" s="4"/>
    </row>
    <row r="175" customFormat="false" ht="15" hidden="false" customHeight="false" outlineLevel="0" collapsed="false">
      <c r="A175" s="4" t="s">
        <v>3883</v>
      </c>
      <c r="B175" s="23" t="n">
        <v>172</v>
      </c>
      <c r="C175" s="6" t="n">
        <v>46217</v>
      </c>
      <c r="D175" s="4" t="s">
        <v>3885</v>
      </c>
      <c r="E175" s="4" t="s">
        <v>6082</v>
      </c>
      <c r="F175" s="7" t="n">
        <v>58969.78</v>
      </c>
      <c r="G175" s="24" t="s">
        <v>5951</v>
      </c>
      <c r="H175" s="4" t="s">
        <v>3882</v>
      </c>
      <c r="I175" s="4"/>
    </row>
    <row r="176" customFormat="false" ht="15" hidden="false" customHeight="false" outlineLevel="0" collapsed="false">
      <c r="A176" s="4" t="s">
        <v>844</v>
      </c>
      <c r="B176" s="23" t="n">
        <v>173</v>
      </c>
      <c r="C176" s="6" t="n">
        <v>46217</v>
      </c>
      <c r="D176" s="4" t="s">
        <v>846</v>
      </c>
      <c r="E176" s="4" t="s">
        <v>6083</v>
      </c>
      <c r="F176" s="7" t="n">
        <v>40942.37</v>
      </c>
      <c r="G176" s="24" t="s">
        <v>5951</v>
      </c>
      <c r="H176" s="4" t="s">
        <v>843</v>
      </c>
      <c r="I176" s="4"/>
    </row>
    <row r="177" customFormat="false" ht="15" hidden="false" customHeight="false" outlineLevel="0" collapsed="false">
      <c r="A177" s="4" t="s">
        <v>3888</v>
      </c>
      <c r="B177" s="23" t="n">
        <v>174</v>
      </c>
      <c r="C177" s="6" t="n">
        <v>46217</v>
      </c>
      <c r="D177" s="4" t="s">
        <v>3890</v>
      </c>
      <c r="E177" s="4" t="s">
        <v>6084</v>
      </c>
      <c r="F177" s="7" t="n">
        <v>24455.13</v>
      </c>
      <c r="G177" s="24" t="s">
        <v>5951</v>
      </c>
      <c r="H177" s="4" t="s">
        <v>3887</v>
      </c>
      <c r="I177" s="4"/>
    </row>
    <row r="178" customFormat="false" ht="15" hidden="false" customHeight="false" outlineLevel="0" collapsed="false">
      <c r="A178" s="4" t="s">
        <v>2512</v>
      </c>
      <c r="B178" s="23" t="n">
        <v>175</v>
      </c>
      <c r="C178" s="6" t="n">
        <v>46217</v>
      </c>
      <c r="D178" s="4" t="s">
        <v>2514</v>
      </c>
      <c r="E178" s="4" t="s">
        <v>6085</v>
      </c>
      <c r="F178" s="7" t="n">
        <v>88107.34</v>
      </c>
      <c r="G178" s="24" t="s">
        <v>5951</v>
      </c>
      <c r="H178" s="4" t="s">
        <v>2511</v>
      </c>
      <c r="I178" s="4"/>
    </row>
    <row r="179" customFormat="false" ht="15" hidden="false" customHeight="false" outlineLevel="0" collapsed="false">
      <c r="A179" s="4" t="s">
        <v>3893</v>
      </c>
      <c r="B179" s="23" t="n">
        <v>176</v>
      </c>
      <c r="C179" s="6" t="n">
        <v>46217</v>
      </c>
      <c r="D179" s="4" t="s">
        <v>3895</v>
      </c>
      <c r="E179" s="4" t="s">
        <v>6086</v>
      </c>
      <c r="F179" s="7" t="n">
        <v>28218.3</v>
      </c>
      <c r="G179" s="24" t="s">
        <v>5951</v>
      </c>
      <c r="H179" s="4" t="s">
        <v>3892</v>
      </c>
      <c r="I179" s="4"/>
    </row>
    <row r="180" customFormat="false" ht="15" hidden="false" customHeight="false" outlineLevel="0" collapsed="false">
      <c r="A180" s="4" t="s">
        <v>2517</v>
      </c>
      <c r="B180" s="23" t="n">
        <v>177</v>
      </c>
      <c r="C180" s="6" t="n">
        <v>46217</v>
      </c>
      <c r="D180" s="4" t="s">
        <v>2519</v>
      </c>
      <c r="E180" s="4" t="s">
        <v>6087</v>
      </c>
      <c r="F180" s="7" t="n">
        <v>-54409.71</v>
      </c>
      <c r="G180" s="24" t="s">
        <v>5951</v>
      </c>
      <c r="H180" s="4" t="s">
        <v>2516</v>
      </c>
      <c r="I180" s="4"/>
    </row>
    <row r="181" customFormat="false" ht="15" hidden="false" customHeight="false" outlineLevel="0" collapsed="false">
      <c r="A181" s="4" t="s">
        <v>3898</v>
      </c>
      <c r="B181" s="23" t="n">
        <v>178</v>
      </c>
      <c r="C181" s="6" t="n">
        <v>46217</v>
      </c>
      <c r="D181" s="4" t="s">
        <v>3900</v>
      </c>
      <c r="E181" s="4" t="s">
        <v>6088</v>
      </c>
      <c r="F181" s="7" t="n">
        <v>-17229.36</v>
      </c>
      <c r="G181" s="24" t="s">
        <v>5951</v>
      </c>
      <c r="H181" s="4" t="s">
        <v>3897</v>
      </c>
      <c r="I181" s="4"/>
    </row>
    <row r="182" customFormat="false" ht="15" hidden="false" customHeight="false" outlineLevel="0" collapsed="false">
      <c r="A182" s="4" t="s">
        <v>2522</v>
      </c>
      <c r="B182" s="23" t="n">
        <v>179</v>
      </c>
      <c r="C182" s="6" t="n">
        <v>46217</v>
      </c>
      <c r="D182" s="4" t="s">
        <v>2524</v>
      </c>
      <c r="E182" s="4" t="s">
        <v>6089</v>
      </c>
      <c r="F182" s="7" t="n">
        <v>-54207.06</v>
      </c>
      <c r="G182" s="24" t="s">
        <v>5951</v>
      </c>
      <c r="H182" s="4" t="s">
        <v>2521</v>
      </c>
      <c r="I182" s="4"/>
    </row>
    <row r="183" customFormat="false" ht="15" hidden="false" customHeight="false" outlineLevel="0" collapsed="false">
      <c r="A183" s="4" t="s">
        <v>4946</v>
      </c>
      <c r="B183" s="23" t="n">
        <v>180</v>
      </c>
      <c r="C183" s="6" t="n">
        <v>46217</v>
      </c>
      <c r="D183" s="4" t="s">
        <v>4948</v>
      </c>
      <c r="E183" s="4" t="s">
        <v>6090</v>
      </c>
      <c r="F183" s="7" t="n">
        <v>-3391.76</v>
      </c>
      <c r="G183" s="24" t="s">
        <v>5951</v>
      </c>
      <c r="H183" s="4" t="s">
        <v>4945</v>
      </c>
      <c r="I183" s="4"/>
    </row>
    <row r="184" customFormat="false" ht="15" hidden="false" customHeight="false" outlineLevel="0" collapsed="false">
      <c r="A184" s="4" t="s">
        <v>3903</v>
      </c>
      <c r="B184" s="23" t="n">
        <v>181</v>
      </c>
      <c r="C184" s="6" t="n">
        <v>46217</v>
      </c>
      <c r="D184" s="4" t="s">
        <v>3905</v>
      </c>
      <c r="E184" s="4" t="s">
        <v>6091</v>
      </c>
      <c r="F184" s="7" t="n">
        <v>-8988.15</v>
      </c>
      <c r="G184" s="24" t="s">
        <v>5951</v>
      </c>
      <c r="H184" s="4" t="s">
        <v>3902</v>
      </c>
      <c r="I184" s="4"/>
    </row>
    <row r="185" customFormat="false" ht="15" hidden="false" customHeight="false" outlineLevel="0" collapsed="false">
      <c r="A185" s="4" t="s">
        <v>2527</v>
      </c>
      <c r="B185" s="23" t="n">
        <v>182</v>
      </c>
      <c r="C185" s="6" t="n">
        <v>46217</v>
      </c>
      <c r="D185" s="4" t="s">
        <v>2529</v>
      </c>
      <c r="E185" s="4" t="s">
        <v>6092</v>
      </c>
      <c r="F185" s="7" t="n">
        <v>-44292.95</v>
      </c>
      <c r="G185" s="24" t="s">
        <v>5951</v>
      </c>
      <c r="H185" s="4" t="s">
        <v>2526</v>
      </c>
      <c r="I185" s="4"/>
    </row>
    <row r="186" customFormat="false" ht="15" hidden="false" customHeight="false" outlineLevel="0" collapsed="false">
      <c r="A186" s="4" t="s">
        <v>4636</v>
      </c>
      <c r="B186" s="23" t="n">
        <v>183</v>
      </c>
      <c r="C186" s="6" t="n">
        <v>46217</v>
      </c>
      <c r="D186" s="4" t="s">
        <v>4638</v>
      </c>
      <c r="E186" s="4" t="s">
        <v>6093</v>
      </c>
      <c r="F186" s="7" t="n">
        <v>-51680.64</v>
      </c>
      <c r="G186" s="24" t="s">
        <v>5951</v>
      </c>
      <c r="H186" s="4" t="s">
        <v>4635</v>
      </c>
      <c r="I186" s="4"/>
    </row>
    <row r="187" customFormat="false" ht="15" hidden="false" customHeight="false" outlineLevel="0" collapsed="false">
      <c r="A187" s="4" t="s">
        <v>5826</v>
      </c>
      <c r="B187" s="23" t="n">
        <v>184</v>
      </c>
      <c r="C187" s="6" t="n">
        <v>46217</v>
      </c>
      <c r="D187" s="4" t="s">
        <v>5787</v>
      </c>
      <c r="E187" s="4"/>
      <c r="F187" s="7" t="n">
        <v>-3465.55</v>
      </c>
      <c r="G187" s="24" t="s">
        <v>5951</v>
      </c>
      <c r="H187" s="4" t="s">
        <v>5825</v>
      </c>
      <c r="I187" s="4"/>
    </row>
    <row r="188" customFormat="false" ht="15" hidden="false" customHeight="false" outlineLevel="0" collapsed="false">
      <c r="A188" s="4" t="s">
        <v>3908</v>
      </c>
      <c r="B188" s="23" t="n">
        <v>185</v>
      </c>
      <c r="C188" s="6" t="n">
        <v>46218</v>
      </c>
      <c r="D188" s="4" t="s">
        <v>3910</v>
      </c>
      <c r="E188" s="4" t="s">
        <v>6094</v>
      </c>
      <c r="F188" s="7" t="n">
        <v>28476.37</v>
      </c>
      <c r="G188" s="24" t="s">
        <v>5951</v>
      </c>
      <c r="H188" s="4" t="s">
        <v>3907</v>
      </c>
      <c r="I188" s="4"/>
    </row>
    <row r="189" customFormat="false" ht="15" hidden="false" customHeight="false" outlineLevel="0" collapsed="false">
      <c r="A189" s="4" t="s">
        <v>2532</v>
      </c>
      <c r="B189" s="23" t="n">
        <v>186</v>
      </c>
      <c r="C189" s="6" t="n">
        <v>46218</v>
      </c>
      <c r="D189" s="4" t="s">
        <v>2534</v>
      </c>
      <c r="E189" s="4"/>
      <c r="F189" s="7" t="n">
        <v>51057.64</v>
      </c>
      <c r="G189" s="24" t="s">
        <v>5951</v>
      </c>
      <c r="H189" s="4" t="s">
        <v>2531</v>
      </c>
      <c r="I189" s="4"/>
    </row>
    <row r="190" customFormat="false" ht="15" hidden="false" customHeight="false" outlineLevel="0" collapsed="false">
      <c r="A190" s="4" t="s">
        <v>2537</v>
      </c>
      <c r="B190" s="23" t="n">
        <v>187</v>
      </c>
      <c r="C190" s="6" t="n">
        <v>46218</v>
      </c>
      <c r="D190" s="4" t="s">
        <v>2539</v>
      </c>
      <c r="E190" s="4" t="s">
        <v>6095</v>
      </c>
      <c r="F190" s="7" t="n">
        <v>66363.04</v>
      </c>
      <c r="G190" s="24" t="s">
        <v>5951</v>
      </c>
      <c r="H190" s="4" t="s">
        <v>2536</v>
      </c>
      <c r="I190" s="4"/>
    </row>
    <row r="191" customFormat="false" ht="15" hidden="false" customHeight="false" outlineLevel="0" collapsed="false">
      <c r="A191" s="4" t="s">
        <v>2542</v>
      </c>
      <c r="B191" s="23" t="n">
        <v>188</v>
      </c>
      <c r="C191" s="6" t="n">
        <v>46218</v>
      </c>
      <c r="D191" s="4" t="s">
        <v>2544</v>
      </c>
      <c r="E191" s="4"/>
      <c r="F191" s="7" t="n">
        <v>13053.67</v>
      </c>
      <c r="G191" s="24" t="s">
        <v>5951</v>
      </c>
      <c r="H191" s="4" t="s">
        <v>2541</v>
      </c>
      <c r="I191" s="4"/>
    </row>
    <row r="192" customFormat="false" ht="15" hidden="false" customHeight="false" outlineLevel="0" collapsed="false">
      <c r="A192" s="4" t="s">
        <v>2547</v>
      </c>
      <c r="B192" s="23" t="n">
        <v>189</v>
      </c>
      <c r="C192" s="6" t="n">
        <v>46218</v>
      </c>
      <c r="D192" s="4" t="s">
        <v>2549</v>
      </c>
      <c r="E192" s="4" t="s">
        <v>6096</v>
      </c>
      <c r="F192" s="7" t="n">
        <v>67643.37</v>
      </c>
      <c r="G192" s="24" t="s">
        <v>5951</v>
      </c>
      <c r="H192" s="4" t="s">
        <v>2546</v>
      </c>
      <c r="I192" s="4"/>
    </row>
    <row r="193" customFormat="false" ht="15" hidden="false" customHeight="false" outlineLevel="0" collapsed="false">
      <c r="A193" s="4" t="s">
        <v>849</v>
      </c>
      <c r="B193" s="23" t="n">
        <v>190</v>
      </c>
      <c r="C193" s="6" t="n">
        <v>46218</v>
      </c>
      <c r="D193" s="4" t="s">
        <v>851</v>
      </c>
      <c r="E193" s="4" t="s">
        <v>6097</v>
      </c>
      <c r="F193" s="7" t="n">
        <v>-48279.75</v>
      </c>
      <c r="G193" s="24" t="s">
        <v>5951</v>
      </c>
      <c r="H193" s="4" t="s">
        <v>848</v>
      </c>
      <c r="I193" s="4"/>
    </row>
    <row r="194" customFormat="false" ht="15" hidden="false" customHeight="false" outlineLevel="0" collapsed="false">
      <c r="A194" s="4" t="s">
        <v>5380</v>
      </c>
      <c r="B194" s="23" t="n">
        <v>191</v>
      </c>
      <c r="C194" s="6" t="n">
        <v>46218</v>
      </c>
      <c r="D194" s="4" t="s">
        <v>5382</v>
      </c>
      <c r="E194" s="4" t="s">
        <v>6098</v>
      </c>
      <c r="F194" s="7" t="n">
        <v>-49658.81</v>
      </c>
      <c r="G194" s="24" t="s">
        <v>5951</v>
      </c>
      <c r="H194" s="4" t="s">
        <v>5379</v>
      </c>
      <c r="I194" s="4"/>
    </row>
    <row r="195" customFormat="false" ht="15" hidden="false" customHeight="false" outlineLevel="0" collapsed="false">
      <c r="A195" s="4" t="s">
        <v>854</v>
      </c>
      <c r="B195" s="23" t="n">
        <v>192</v>
      </c>
      <c r="C195" s="6" t="n">
        <v>46219</v>
      </c>
      <c r="D195" s="4" t="s">
        <v>856</v>
      </c>
      <c r="E195" s="4" t="s">
        <v>6099</v>
      </c>
      <c r="F195" s="7" t="n">
        <v>80198.19</v>
      </c>
      <c r="G195" s="24" t="s">
        <v>5951</v>
      </c>
      <c r="H195" s="4" t="s">
        <v>853</v>
      </c>
      <c r="I195" s="4"/>
    </row>
    <row r="196" customFormat="false" ht="15" hidden="false" customHeight="false" outlineLevel="0" collapsed="false">
      <c r="A196" s="4" t="s">
        <v>2552</v>
      </c>
      <c r="B196" s="23" t="n">
        <v>193</v>
      </c>
      <c r="C196" s="6" t="n">
        <v>46219</v>
      </c>
      <c r="D196" s="4" t="s">
        <v>2554</v>
      </c>
      <c r="E196" s="4" t="s">
        <v>6100</v>
      </c>
      <c r="F196" s="7" t="n">
        <v>16331.4</v>
      </c>
      <c r="G196" s="24" t="s">
        <v>5951</v>
      </c>
      <c r="H196" s="4" t="s">
        <v>2551</v>
      </c>
      <c r="I196" s="4"/>
    </row>
    <row r="197" customFormat="false" ht="15" hidden="false" customHeight="false" outlineLevel="0" collapsed="false">
      <c r="A197" s="4" t="s">
        <v>3913</v>
      </c>
      <c r="B197" s="23" t="n">
        <v>194</v>
      </c>
      <c r="C197" s="6" t="n">
        <v>46219</v>
      </c>
      <c r="D197" s="4" t="s">
        <v>3915</v>
      </c>
      <c r="E197" s="4"/>
      <c r="F197" s="7" t="n">
        <v>4063.01</v>
      </c>
      <c r="G197" s="24" t="s">
        <v>5951</v>
      </c>
      <c r="H197" s="4" t="s">
        <v>3912</v>
      </c>
      <c r="I197" s="4"/>
    </row>
    <row r="198" customFormat="false" ht="15" hidden="false" customHeight="false" outlineLevel="0" collapsed="false">
      <c r="A198" s="4" t="s">
        <v>2557</v>
      </c>
      <c r="B198" s="23" t="n">
        <v>195</v>
      </c>
      <c r="C198" s="6" t="n">
        <v>46219</v>
      </c>
      <c r="D198" s="4" t="s">
        <v>2559</v>
      </c>
      <c r="E198" s="4" t="s">
        <v>6101</v>
      </c>
      <c r="F198" s="7" t="n">
        <v>6626.54</v>
      </c>
      <c r="G198" s="24" t="s">
        <v>5951</v>
      </c>
      <c r="H198" s="4" t="s">
        <v>2556</v>
      </c>
      <c r="I198" s="4"/>
    </row>
    <row r="199" customFormat="false" ht="15" hidden="false" customHeight="false" outlineLevel="0" collapsed="false">
      <c r="A199" s="4" t="s">
        <v>4951</v>
      </c>
      <c r="B199" s="23" t="n">
        <v>196</v>
      </c>
      <c r="C199" s="6" t="n">
        <v>46219</v>
      </c>
      <c r="D199" s="4" t="s">
        <v>4953</v>
      </c>
      <c r="E199" s="4" t="s">
        <v>6102</v>
      </c>
      <c r="F199" s="7" t="n">
        <v>-40832.36</v>
      </c>
      <c r="G199" s="24" t="s">
        <v>5951</v>
      </c>
      <c r="H199" s="4" t="s">
        <v>4950</v>
      </c>
      <c r="I199" s="4"/>
    </row>
    <row r="200" customFormat="false" ht="15" hidden="false" customHeight="false" outlineLevel="0" collapsed="false">
      <c r="A200" s="4" t="s">
        <v>2562</v>
      </c>
      <c r="B200" s="23" t="n">
        <v>197</v>
      </c>
      <c r="C200" s="6" t="n">
        <v>46219</v>
      </c>
      <c r="D200" s="4" t="s">
        <v>2564</v>
      </c>
      <c r="E200" s="4" t="s">
        <v>6103</v>
      </c>
      <c r="F200" s="7" t="n">
        <v>-24082.42</v>
      </c>
      <c r="G200" s="24" t="s">
        <v>5951</v>
      </c>
      <c r="H200" s="4" t="s">
        <v>2561</v>
      </c>
      <c r="I200" s="4"/>
    </row>
    <row r="201" customFormat="false" ht="15" hidden="false" customHeight="false" outlineLevel="0" collapsed="false">
      <c r="A201" s="4" t="s">
        <v>4956</v>
      </c>
      <c r="B201" s="23" t="n">
        <v>198</v>
      </c>
      <c r="C201" s="6" t="n">
        <v>46219</v>
      </c>
      <c r="D201" s="4" t="s">
        <v>4958</v>
      </c>
      <c r="E201" s="4" t="s">
        <v>6104</v>
      </c>
      <c r="F201" s="7" t="n">
        <v>-8567.9</v>
      </c>
      <c r="G201" s="24" t="s">
        <v>5951</v>
      </c>
      <c r="H201" s="4" t="s">
        <v>4955</v>
      </c>
      <c r="I201" s="4"/>
    </row>
    <row r="202" customFormat="false" ht="15" hidden="false" customHeight="false" outlineLevel="0" collapsed="false">
      <c r="A202" s="4" t="s">
        <v>2567</v>
      </c>
      <c r="B202" s="23" t="n">
        <v>199</v>
      </c>
      <c r="C202" s="6" t="n">
        <v>46219</v>
      </c>
      <c r="D202" s="4" t="s">
        <v>2569</v>
      </c>
      <c r="E202" s="4" t="s">
        <v>6105</v>
      </c>
      <c r="F202" s="7" t="n">
        <v>-41266.67</v>
      </c>
      <c r="G202" s="24" t="s">
        <v>5951</v>
      </c>
      <c r="H202" s="4" t="s">
        <v>2566</v>
      </c>
      <c r="I202" s="4"/>
    </row>
    <row r="203" customFormat="false" ht="15" hidden="false" customHeight="false" outlineLevel="0" collapsed="false">
      <c r="A203" s="4" t="s">
        <v>3918</v>
      </c>
      <c r="B203" s="23" t="n">
        <v>200</v>
      </c>
      <c r="C203" s="6" t="n">
        <v>46219</v>
      </c>
      <c r="D203" s="4" t="s">
        <v>3920</v>
      </c>
      <c r="E203" s="4" t="s">
        <v>6106</v>
      </c>
      <c r="F203" s="7" t="n">
        <v>-15463.17</v>
      </c>
      <c r="G203" s="24" t="s">
        <v>5951</v>
      </c>
      <c r="H203" s="4" t="s">
        <v>3917</v>
      </c>
      <c r="I203" s="4"/>
    </row>
    <row r="204" customFormat="false" ht="15" hidden="false" customHeight="false" outlineLevel="0" collapsed="false">
      <c r="A204" s="4" t="s">
        <v>220</v>
      </c>
      <c r="B204" s="23" t="n">
        <v>201</v>
      </c>
      <c r="C204" s="6" t="n">
        <v>46219</v>
      </c>
      <c r="D204" s="4" t="s">
        <v>5902</v>
      </c>
      <c r="E204" s="4" t="s">
        <v>222</v>
      </c>
      <c r="F204" s="7" t="n">
        <v>-15887.58</v>
      </c>
      <c r="G204" s="25" t="s">
        <v>5987</v>
      </c>
      <c r="H204" s="4" t="s">
        <v>5901</v>
      </c>
      <c r="I204" s="4" t="s">
        <v>219</v>
      </c>
    </row>
    <row r="205" customFormat="false" ht="15" hidden="false" customHeight="false" outlineLevel="0" collapsed="false">
      <c r="A205" s="4" t="s">
        <v>406</v>
      </c>
      <c r="B205" s="23" t="n">
        <v>202</v>
      </c>
      <c r="C205" s="6" t="n">
        <v>46219</v>
      </c>
      <c r="D205" s="4" t="s">
        <v>407</v>
      </c>
      <c r="E205" s="4"/>
      <c r="F205" s="7" t="n">
        <v>-850.31</v>
      </c>
      <c r="G205" s="26" t="s">
        <v>6043</v>
      </c>
      <c r="H205" s="4"/>
      <c r="I205" s="4" t="s">
        <v>405</v>
      </c>
    </row>
    <row r="206" customFormat="false" ht="15" hidden="false" customHeight="false" outlineLevel="0" collapsed="false">
      <c r="A206" s="4" t="s">
        <v>859</v>
      </c>
      <c r="B206" s="23" t="n">
        <v>203</v>
      </c>
      <c r="C206" s="6" t="n">
        <v>46220</v>
      </c>
      <c r="D206" s="4" t="s">
        <v>861</v>
      </c>
      <c r="E206" s="4" t="s">
        <v>6107</v>
      </c>
      <c r="F206" s="7" t="n">
        <v>41549.15</v>
      </c>
      <c r="G206" s="24" t="s">
        <v>5951</v>
      </c>
      <c r="H206" s="4" t="s">
        <v>858</v>
      </c>
      <c r="I206" s="4"/>
    </row>
    <row r="207" customFormat="false" ht="15" hidden="false" customHeight="false" outlineLevel="0" collapsed="false">
      <c r="A207" s="4" t="s">
        <v>864</v>
      </c>
      <c r="B207" s="23" t="n">
        <v>204</v>
      </c>
      <c r="C207" s="6" t="n">
        <v>46220</v>
      </c>
      <c r="D207" s="4" t="s">
        <v>866</v>
      </c>
      <c r="E207" s="4" t="s">
        <v>6108</v>
      </c>
      <c r="F207" s="7" t="n">
        <v>88263.49</v>
      </c>
      <c r="G207" s="24" t="s">
        <v>5951</v>
      </c>
      <c r="H207" s="4" t="s">
        <v>863</v>
      </c>
      <c r="I207" s="4"/>
    </row>
    <row r="208" customFormat="false" ht="15" hidden="false" customHeight="false" outlineLevel="0" collapsed="false">
      <c r="A208" s="4" t="s">
        <v>3923</v>
      </c>
      <c r="B208" s="23" t="n">
        <v>205</v>
      </c>
      <c r="C208" s="6" t="n">
        <v>46220</v>
      </c>
      <c r="D208" s="4" t="s">
        <v>3925</v>
      </c>
      <c r="E208" s="4"/>
      <c r="F208" s="7" t="n">
        <v>75207.98</v>
      </c>
      <c r="G208" s="24" t="s">
        <v>5951</v>
      </c>
      <c r="H208" s="4" t="s">
        <v>3922</v>
      </c>
      <c r="I208" s="4"/>
    </row>
    <row r="209" customFormat="false" ht="15" hidden="false" customHeight="false" outlineLevel="0" collapsed="false">
      <c r="A209" s="4" t="s">
        <v>2572</v>
      </c>
      <c r="B209" s="23" t="n">
        <v>206</v>
      </c>
      <c r="C209" s="6" t="n">
        <v>46220</v>
      </c>
      <c r="D209" s="4" t="s">
        <v>2574</v>
      </c>
      <c r="E209" s="4" t="s">
        <v>6109</v>
      </c>
      <c r="F209" s="7" t="n">
        <v>62249.82</v>
      </c>
      <c r="G209" s="24" t="s">
        <v>5951</v>
      </c>
      <c r="H209" s="4" t="s">
        <v>2571</v>
      </c>
      <c r="I209" s="4"/>
    </row>
    <row r="210" customFormat="false" ht="15" hidden="false" customHeight="false" outlineLevel="0" collapsed="false">
      <c r="A210" s="4" t="s">
        <v>2577</v>
      </c>
      <c r="B210" s="23" t="n">
        <v>207</v>
      </c>
      <c r="C210" s="6" t="n">
        <v>46220</v>
      </c>
      <c r="D210" s="4" t="s">
        <v>2579</v>
      </c>
      <c r="E210" s="4"/>
      <c r="F210" s="7" t="n">
        <v>63219.44</v>
      </c>
      <c r="G210" s="24" t="s">
        <v>5951</v>
      </c>
      <c r="H210" s="4" t="s">
        <v>2576</v>
      </c>
      <c r="I210" s="4"/>
    </row>
    <row r="211" customFormat="false" ht="15" hidden="false" customHeight="false" outlineLevel="0" collapsed="false">
      <c r="A211" s="4" t="s">
        <v>2582</v>
      </c>
      <c r="B211" s="23" t="n">
        <v>208</v>
      </c>
      <c r="C211" s="6" t="n">
        <v>46220</v>
      </c>
      <c r="D211" s="4" t="s">
        <v>2584</v>
      </c>
      <c r="E211" s="4" t="s">
        <v>6110</v>
      </c>
      <c r="F211" s="7" t="n">
        <v>79845.97</v>
      </c>
      <c r="G211" s="24" t="s">
        <v>5951</v>
      </c>
      <c r="H211" s="4" t="s">
        <v>2581</v>
      </c>
      <c r="I211" s="4"/>
    </row>
    <row r="212" customFormat="false" ht="15" hidden="false" customHeight="false" outlineLevel="0" collapsed="false">
      <c r="A212" s="4" t="s">
        <v>3928</v>
      </c>
      <c r="B212" s="23" t="n">
        <v>209</v>
      </c>
      <c r="C212" s="6" t="n">
        <v>46220</v>
      </c>
      <c r="D212" s="4" t="s">
        <v>3930</v>
      </c>
      <c r="E212" s="4" t="s">
        <v>6111</v>
      </c>
      <c r="F212" s="7" t="n">
        <v>-33911.27</v>
      </c>
      <c r="G212" s="24" t="s">
        <v>5951</v>
      </c>
      <c r="H212" s="4" t="s">
        <v>3927</v>
      </c>
      <c r="I212" s="4"/>
    </row>
    <row r="213" customFormat="false" ht="15" hidden="false" customHeight="false" outlineLevel="0" collapsed="false">
      <c r="A213" s="4" t="s">
        <v>869</v>
      </c>
      <c r="B213" s="23" t="n">
        <v>210</v>
      </c>
      <c r="C213" s="6" t="n">
        <v>46220</v>
      </c>
      <c r="D213" s="4" t="s">
        <v>871</v>
      </c>
      <c r="E213" s="4" t="s">
        <v>6112</v>
      </c>
      <c r="F213" s="7" t="n">
        <v>-30856.54</v>
      </c>
      <c r="G213" s="24" t="s">
        <v>5951</v>
      </c>
      <c r="H213" s="4" t="s">
        <v>868</v>
      </c>
      <c r="I213" s="4"/>
    </row>
    <row r="214" customFormat="false" ht="15" hidden="false" customHeight="false" outlineLevel="0" collapsed="false">
      <c r="A214" s="4" t="s">
        <v>5385</v>
      </c>
      <c r="B214" s="23" t="n">
        <v>211</v>
      </c>
      <c r="C214" s="6" t="n">
        <v>46220</v>
      </c>
      <c r="D214" s="4" t="s">
        <v>5387</v>
      </c>
      <c r="E214" s="4" t="s">
        <v>6113</v>
      </c>
      <c r="F214" s="7" t="n">
        <v>-993.98</v>
      </c>
      <c r="G214" s="24" t="s">
        <v>5951</v>
      </c>
      <c r="H214" s="4" t="s">
        <v>5384</v>
      </c>
      <c r="I214" s="4"/>
    </row>
    <row r="215" customFormat="false" ht="15" hidden="false" customHeight="false" outlineLevel="0" collapsed="false">
      <c r="A215" s="4" t="s">
        <v>5809</v>
      </c>
      <c r="B215" s="23" t="n">
        <v>212</v>
      </c>
      <c r="C215" s="6" t="n">
        <v>46220</v>
      </c>
      <c r="D215" s="4" t="s">
        <v>5798</v>
      </c>
      <c r="E215" s="4"/>
      <c r="F215" s="7" t="n">
        <v>-6275.08</v>
      </c>
      <c r="G215" s="24" t="s">
        <v>5951</v>
      </c>
      <c r="H215" s="4" t="s">
        <v>5808</v>
      </c>
      <c r="I215" s="4"/>
    </row>
    <row r="216" customFormat="false" ht="15" hidden="false" customHeight="false" outlineLevel="0" collapsed="false">
      <c r="A216" s="4" t="s">
        <v>3933</v>
      </c>
      <c r="B216" s="23" t="n">
        <v>213</v>
      </c>
      <c r="C216" s="6" t="n">
        <v>46221</v>
      </c>
      <c r="D216" s="4" t="s">
        <v>3935</v>
      </c>
      <c r="E216" s="4" t="s">
        <v>6114</v>
      </c>
      <c r="F216" s="7" t="n">
        <v>93176.09</v>
      </c>
      <c r="G216" s="24" t="s">
        <v>5951</v>
      </c>
      <c r="H216" s="4" t="s">
        <v>3932</v>
      </c>
      <c r="I216" s="4"/>
    </row>
    <row r="217" customFormat="false" ht="15" hidden="false" customHeight="false" outlineLevel="0" collapsed="false">
      <c r="A217" s="4" t="s">
        <v>3938</v>
      </c>
      <c r="B217" s="23" t="n">
        <v>214</v>
      </c>
      <c r="C217" s="6" t="n">
        <v>46221</v>
      </c>
      <c r="D217" s="4" t="s">
        <v>3940</v>
      </c>
      <c r="E217" s="4"/>
      <c r="F217" s="7" t="n">
        <v>59957.31</v>
      </c>
      <c r="G217" s="24" t="s">
        <v>5951</v>
      </c>
      <c r="H217" s="4" t="s">
        <v>3937</v>
      </c>
      <c r="I217" s="4"/>
    </row>
    <row r="218" customFormat="false" ht="15" hidden="false" customHeight="false" outlineLevel="0" collapsed="false">
      <c r="A218" s="4" t="s">
        <v>3943</v>
      </c>
      <c r="B218" s="23" t="n">
        <v>215</v>
      </c>
      <c r="C218" s="6" t="n">
        <v>46221</v>
      </c>
      <c r="D218" s="4" t="s">
        <v>3945</v>
      </c>
      <c r="E218" s="4"/>
      <c r="F218" s="7" t="n">
        <v>45903.2</v>
      </c>
      <c r="G218" s="24" t="s">
        <v>5951</v>
      </c>
      <c r="H218" s="4" t="s">
        <v>3942</v>
      </c>
      <c r="I218" s="4"/>
    </row>
    <row r="219" customFormat="false" ht="15" hidden="false" customHeight="false" outlineLevel="0" collapsed="false">
      <c r="A219" s="4" t="s">
        <v>3948</v>
      </c>
      <c r="B219" s="23" t="n">
        <v>216</v>
      </c>
      <c r="C219" s="6" t="n">
        <v>46221</v>
      </c>
      <c r="D219" s="4" t="s">
        <v>3950</v>
      </c>
      <c r="E219" s="4" t="s">
        <v>6115</v>
      </c>
      <c r="F219" s="7" t="n">
        <v>41656.85</v>
      </c>
      <c r="G219" s="24" t="s">
        <v>5951</v>
      </c>
      <c r="H219" s="4" t="s">
        <v>3947</v>
      </c>
      <c r="I219" s="4"/>
    </row>
    <row r="220" customFormat="false" ht="15" hidden="false" customHeight="false" outlineLevel="0" collapsed="false">
      <c r="A220" s="4" t="s">
        <v>2587</v>
      </c>
      <c r="B220" s="23" t="n">
        <v>217</v>
      </c>
      <c r="C220" s="6" t="n">
        <v>46221</v>
      </c>
      <c r="D220" s="4" t="s">
        <v>2589</v>
      </c>
      <c r="E220" s="4"/>
      <c r="F220" s="7" t="n">
        <v>41234.42</v>
      </c>
      <c r="G220" s="24" t="s">
        <v>5951</v>
      </c>
      <c r="H220" s="4" t="s">
        <v>2586</v>
      </c>
      <c r="I220" s="4"/>
    </row>
    <row r="221" customFormat="false" ht="15" hidden="false" customHeight="false" outlineLevel="0" collapsed="false">
      <c r="A221" s="4" t="s">
        <v>874</v>
      </c>
      <c r="B221" s="23" t="n">
        <v>218</v>
      </c>
      <c r="C221" s="6" t="n">
        <v>46221</v>
      </c>
      <c r="D221" s="4" t="s">
        <v>876</v>
      </c>
      <c r="E221" s="4" t="s">
        <v>6116</v>
      </c>
      <c r="F221" s="7" t="n">
        <v>55563.27</v>
      </c>
      <c r="G221" s="24" t="s">
        <v>5951</v>
      </c>
      <c r="H221" s="4" t="s">
        <v>873</v>
      </c>
      <c r="I221" s="4"/>
    </row>
    <row r="222" customFormat="false" ht="15" hidden="false" customHeight="false" outlineLevel="0" collapsed="false">
      <c r="A222" s="4" t="s">
        <v>2592</v>
      </c>
      <c r="B222" s="23" t="n">
        <v>219</v>
      </c>
      <c r="C222" s="6" t="n">
        <v>46221</v>
      </c>
      <c r="D222" s="4" t="s">
        <v>2594</v>
      </c>
      <c r="E222" s="4" t="s">
        <v>6117</v>
      </c>
      <c r="F222" s="7" t="n">
        <v>68186.79</v>
      </c>
      <c r="G222" s="24" t="s">
        <v>5951</v>
      </c>
      <c r="H222" s="4" t="s">
        <v>2591</v>
      </c>
      <c r="I222" s="4"/>
    </row>
    <row r="223" customFormat="false" ht="15" hidden="false" customHeight="false" outlineLevel="0" collapsed="false">
      <c r="A223" s="4" t="s">
        <v>4961</v>
      </c>
      <c r="B223" s="23" t="n">
        <v>220</v>
      </c>
      <c r="C223" s="6" t="n">
        <v>46221</v>
      </c>
      <c r="D223" s="4" t="s">
        <v>4963</v>
      </c>
      <c r="E223" s="4" t="s">
        <v>6118</v>
      </c>
      <c r="F223" s="7" t="n">
        <v>-3934.46</v>
      </c>
      <c r="G223" s="24" t="s">
        <v>5951</v>
      </c>
      <c r="H223" s="4" t="s">
        <v>4960</v>
      </c>
      <c r="I223" s="4"/>
    </row>
    <row r="224" customFormat="false" ht="15" hidden="false" customHeight="false" outlineLevel="0" collapsed="false">
      <c r="A224" s="4" t="s">
        <v>879</v>
      </c>
      <c r="B224" s="23" t="n">
        <v>221</v>
      </c>
      <c r="C224" s="6" t="n">
        <v>46221</v>
      </c>
      <c r="D224" s="4" t="s">
        <v>881</v>
      </c>
      <c r="E224" s="4" t="s">
        <v>6119</v>
      </c>
      <c r="F224" s="7" t="n">
        <v>-20799.04</v>
      </c>
      <c r="G224" s="24" t="s">
        <v>5951</v>
      </c>
      <c r="H224" s="4" t="s">
        <v>878</v>
      </c>
      <c r="I224" s="4"/>
    </row>
    <row r="225" customFormat="false" ht="15" hidden="false" customHeight="false" outlineLevel="0" collapsed="false">
      <c r="A225" s="4" t="s">
        <v>381</v>
      </c>
      <c r="B225" s="23" t="n">
        <v>222</v>
      </c>
      <c r="C225" s="6" t="n">
        <v>46221</v>
      </c>
      <c r="D225" s="4" t="s">
        <v>5931</v>
      </c>
      <c r="E225" s="4"/>
      <c r="F225" s="7" t="n">
        <v>16136.53</v>
      </c>
      <c r="G225" s="25" t="s">
        <v>5987</v>
      </c>
      <c r="H225" s="4" t="s">
        <v>5930</v>
      </c>
      <c r="I225" s="4" t="s">
        <v>380</v>
      </c>
    </row>
    <row r="226" customFormat="false" ht="15" hidden="false" customHeight="false" outlineLevel="0" collapsed="false">
      <c r="A226" s="4" t="s">
        <v>2597</v>
      </c>
      <c r="B226" s="23" t="n">
        <v>223</v>
      </c>
      <c r="C226" s="6" t="n">
        <v>46222</v>
      </c>
      <c r="D226" s="4" t="s">
        <v>2599</v>
      </c>
      <c r="E226" s="4" t="s">
        <v>6120</v>
      </c>
      <c r="F226" s="7" t="n">
        <v>53548.47</v>
      </c>
      <c r="G226" s="24" t="s">
        <v>5951</v>
      </c>
      <c r="H226" s="4" t="s">
        <v>2596</v>
      </c>
      <c r="I226" s="4"/>
    </row>
    <row r="227" customFormat="false" ht="15" hidden="false" customHeight="false" outlineLevel="0" collapsed="false">
      <c r="A227" s="4" t="s">
        <v>3953</v>
      </c>
      <c r="B227" s="23" t="n">
        <v>224</v>
      </c>
      <c r="C227" s="6" t="n">
        <v>46222</v>
      </c>
      <c r="D227" s="4" t="s">
        <v>3955</v>
      </c>
      <c r="E227" s="4" t="s">
        <v>6121</v>
      </c>
      <c r="F227" s="7" t="n">
        <v>32312.27</v>
      </c>
      <c r="G227" s="24" t="s">
        <v>5951</v>
      </c>
      <c r="H227" s="4" t="s">
        <v>3952</v>
      </c>
      <c r="I227" s="4"/>
    </row>
    <row r="228" customFormat="false" ht="15" hidden="false" customHeight="false" outlineLevel="0" collapsed="false">
      <c r="A228" s="4" t="s">
        <v>884</v>
      </c>
      <c r="B228" s="23" t="n">
        <v>225</v>
      </c>
      <c r="C228" s="6" t="n">
        <v>46222</v>
      </c>
      <c r="D228" s="4" t="s">
        <v>886</v>
      </c>
      <c r="E228" s="4" t="s">
        <v>6122</v>
      </c>
      <c r="F228" s="7" t="n">
        <v>31690.41</v>
      </c>
      <c r="G228" s="24" t="s">
        <v>5951</v>
      </c>
      <c r="H228" s="4" t="s">
        <v>883</v>
      </c>
      <c r="I228" s="4"/>
    </row>
    <row r="229" customFormat="false" ht="15" hidden="false" customHeight="false" outlineLevel="0" collapsed="false">
      <c r="A229" s="4" t="s">
        <v>889</v>
      </c>
      <c r="B229" s="23" t="n">
        <v>226</v>
      </c>
      <c r="C229" s="6" t="n">
        <v>46222</v>
      </c>
      <c r="D229" s="4" t="s">
        <v>891</v>
      </c>
      <c r="E229" s="4" t="s">
        <v>6123</v>
      </c>
      <c r="F229" s="7" t="n">
        <v>59921.06</v>
      </c>
      <c r="G229" s="24" t="s">
        <v>5951</v>
      </c>
      <c r="H229" s="4" t="s">
        <v>888</v>
      </c>
      <c r="I229" s="4"/>
    </row>
    <row r="230" customFormat="false" ht="15" hidden="false" customHeight="false" outlineLevel="0" collapsed="false">
      <c r="A230" s="4" t="s">
        <v>894</v>
      </c>
      <c r="B230" s="23" t="n">
        <v>227</v>
      </c>
      <c r="C230" s="6" t="n">
        <v>46222</v>
      </c>
      <c r="D230" s="4" t="s">
        <v>896</v>
      </c>
      <c r="E230" s="4"/>
      <c r="F230" s="7" t="n">
        <v>36921.19</v>
      </c>
      <c r="G230" s="24" t="s">
        <v>5951</v>
      </c>
      <c r="H230" s="4" t="s">
        <v>893</v>
      </c>
      <c r="I230" s="4"/>
    </row>
    <row r="231" customFormat="false" ht="15" hidden="false" customHeight="false" outlineLevel="0" collapsed="false">
      <c r="A231" s="4" t="s">
        <v>899</v>
      </c>
      <c r="B231" s="23" t="n">
        <v>228</v>
      </c>
      <c r="C231" s="6" t="n">
        <v>46222</v>
      </c>
      <c r="D231" s="4" t="s">
        <v>901</v>
      </c>
      <c r="E231" s="4"/>
      <c r="F231" s="7" t="n">
        <v>12339.1</v>
      </c>
      <c r="G231" s="24" t="s">
        <v>5951</v>
      </c>
      <c r="H231" s="4" t="s">
        <v>898</v>
      </c>
      <c r="I231" s="4"/>
    </row>
    <row r="232" customFormat="false" ht="15" hidden="false" customHeight="false" outlineLevel="0" collapsed="false">
      <c r="A232" s="4" t="s">
        <v>904</v>
      </c>
      <c r="B232" s="23" t="n">
        <v>229</v>
      </c>
      <c r="C232" s="6" t="n">
        <v>46222</v>
      </c>
      <c r="D232" s="4" t="s">
        <v>906</v>
      </c>
      <c r="E232" s="4"/>
      <c r="F232" s="7" t="n">
        <v>47590.15</v>
      </c>
      <c r="G232" s="24" t="s">
        <v>5951</v>
      </c>
      <c r="H232" s="4" t="s">
        <v>903</v>
      </c>
      <c r="I232" s="4"/>
    </row>
    <row r="233" customFormat="false" ht="15" hidden="false" customHeight="false" outlineLevel="0" collapsed="false">
      <c r="A233" s="4" t="s">
        <v>3958</v>
      </c>
      <c r="B233" s="23" t="n">
        <v>230</v>
      </c>
      <c r="C233" s="6" t="n">
        <v>46222</v>
      </c>
      <c r="D233" s="4" t="s">
        <v>3960</v>
      </c>
      <c r="E233" s="4" t="s">
        <v>6124</v>
      </c>
      <c r="F233" s="7" t="n">
        <v>68612.65</v>
      </c>
      <c r="G233" s="24" t="s">
        <v>5951</v>
      </c>
      <c r="H233" s="4" t="s">
        <v>3957</v>
      </c>
      <c r="I233" s="4"/>
    </row>
    <row r="234" customFormat="false" ht="15" hidden="false" customHeight="false" outlineLevel="0" collapsed="false">
      <c r="A234" s="4" t="s">
        <v>909</v>
      </c>
      <c r="B234" s="23" t="n">
        <v>231</v>
      </c>
      <c r="C234" s="6" t="n">
        <v>46222</v>
      </c>
      <c r="D234" s="4" t="s">
        <v>911</v>
      </c>
      <c r="E234" s="4" t="s">
        <v>6125</v>
      </c>
      <c r="F234" s="7" t="n">
        <v>68646.79</v>
      </c>
      <c r="G234" s="24" t="s">
        <v>5951</v>
      </c>
      <c r="H234" s="4" t="s">
        <v>908</v>
      </c>
      <c r="I234" s="4"/>
    </row>
    <row r="235" customFormat="false" ht="15" hidden="false" customHeight="false" outlineLevel="0" collapsed="false">
      <c r="A235" s="4" t="s">
        <v>914</v>
      </c>
      <c r="B235" s="23" t="n">
        <v>232</v>
      </c>
      <c r="C235" s="6" t="n">
        <v>46222</v>
      </c>
      <c r="D235" s="4" t="s">
        <v>916</v>
      </c>
      <c r="E235" s="4" t="s">
        <v>6126</v>
      </c>
      <c r="F235" s="7" t="n">
        <v>24938.09</v>
      </c>
      <c r="G235" s="24" t="s">
        <v>5951</v>
      </c>
      <c r="H235" s="4" t="s">
        <v>913</v>
      </c>
      <c r="I235" s="4"/>
    </row>
    <row r="236" customFormat="false" ht="15" hidden="false" customHeight="false" outlineLevel="0" collapsed="false">
      <c r="A236" s="4" t="s">
        <v>3963</v>
      </c>
      <c r="B236" s="23" t="n">
        <v>233</v>
      </c>
      <c r="C236" s="6" t="n">
        <v>46222</v>
      </c>
      <c r="D236" s="4" t="s">
        <v>3965</v>
      </c>
      <c r="E236" s="4" t="s">
        <v>6127</v>
      </c>
      <c r="F236" s="7" t="n">
        <v>-53023.98</v>
      </c>
      <c r="G236" s="24" t="s">
        <v>5951</v>
      </c>
      <c r="H236" s="4" t="s">
        <v>3962</v>
      </c>
      <c r="I236" s="4"/>
    </row>
    <row r="237" customFormat="false" ht="15" hidden="false" customHeight="false" outlineLevel="0" collapsed="false">
      <c r="A237" s="4" t="s">
        <v>2602</v>
      </c>
      <c r="B237" s="23" t="n">
        <v>234</v>
      </c>
      <c r="C237" s="6" t="n">
        <v>46222</v>
      </c>
      <c r="D237" s="4" t="s">
        <v>2604</v>
      </c>
      <c r="E237" s="4" t="s">
        <v>6128</v>
      </c>
      <c r="F237" s="7" t="n">
        <v>-38372.07</v>
      </c>
      <c r="G237" s="24" t="s">
        <v>5951</v>
      </c>
      <c r="H237" s="4" t="s">
        <v>2601</v>
      </c>
      <c r="I237" s="4"/>
    </row>
    <row r="238" customFormat="false" ht="15" hidden="false" customHeight="false" outlineLevel="0" collapsed="false">
      <c r="A238" s="4" t="s">
        <v>5390</v>
      </c>
      <c r="B238" s="23" t="n">
        <v>235</v>
      </c>
      <c r="C238" s="6" t="n">
        <v>46222</v>
      </c>
      <c r="D238" s="4" t="s">
        <v>5392</v>
      </c>
      <c r="E238" s="4" t="s">
        <v>6129</v>
      </c>
      <c r="F238" s="7" t="n">
        <v>-34037.38</v>
      </c>
      <c r="G238" s="24" t="s">
        <v>5951</v>
      </c>
      <c r="H238" s="4" t="s">
        <v>5389</v>
      </c>
      <c r="I238" s="4"/>
    </row>
    <row r="239" customFormat="false" ht="15" hidden="false" customHeight="false" outlineLevel="0" collapsed="false">
      <c r="A239" s="4" t="s">
        <v>3968</v>
      </c>
      <c r="B239" s="23" t="n">
        <v>236</v>
      </c>
      <c r="C239" s="6" t="n">
        <v>46222</v>
      </c>
      <c r="D239" s="4" t="s">
        <v>3970</v>
      </c>
      <c r="E239" s="4" t="s">
        <v>6130</v>
      </c>
      <c r="F239" s="7" t="n">
        <v>-56485.93</v>
      </c>
      <c r="G239" s="24" t="s">
        <v>5951</v>
      </c>
      <c r="H239" s="4" t="s">
        <v>3967</v>
      </c>
      <c r="I239" s="4"/>
    </row>
    <row r="240" customFormat="false" ht="15" hidden="false" customHeight="false" outlineLevel="0" collapsed="false">
      <c r="A240" s="4" t="s">
        <v>5395</v>
      </c>
      <c r="B240" s="23" t="n">
        <v>237</v>
      </c>
      <c r="C240" s="6" t="n">
        <v>46222</v>
      </c>
      <c r="D240" s="4" t="s">
        <v>5397</v>
      </c>
      <c r="E240" s="4" t="s">
        <v>6131</v>
      </c>
      <c r="F240" s="7" t="n">
        <v>-26114.53</v>
      </c>
      <c r="G240" s="24" t="s">
        <v>5951</v>
      </c>
      <c r="H240" s="4" t="s">
        <v>5394</v>
      </c>
      <c r="I240" s="4"/>
    </row>
    <row r="241" customFormat="false" ht="15" hidden="false" customHeight="false" outlineLevel="0" collapsed="false">
      <c r="A241" s="4" t="s">
        <v>4641</v>
      </c>
      <c r="B241" s="23" t="n">
        <v>238</v>
      </c>
      <c r="C241" s="6" t="n">
        <v>46222</v>
      </c>
      <c r="D241" s="4" t="s">
        <v>4643</v>
      </c>
      <c r="E241" s="4" t="s">
        <v>6132</v>
      </c>
      <c r="F241" s="7" t="n">
        <v>-52775.04</v>
      </c>
      <c r="G241" s="24" t="s">
        <v>5951</v>
      </c>
      <c r="H241" s="4" t="s">
        <v>4640</v>
      </c>
      <c r="I241" s="4"/>
    </row>
    <row r="242" customFormat="false" ht="15" hidden="false" customHeight="false" outlineLevel="0" collapsed="false">
      <c r="A242" s="4" t="s">
        <v>4966</v>
      </c>
      <c r="B242" s="23" t="n">
        <v>239</v>
      </c>
      <c r="C242" s="6" t="n">
        <v>46222</v>
      </c>
      <c r="D242" s="4" t="s">
        <v>4968</v>
      </c>
      <c r="E242" s="4" t="s">
        <v>6133</v>
      </c>
      <c r="F242" s="7" t="n">
        <v>-32958.49</v>
      </c>
      <c r="G242" s="24" t="s">
        <v>5951</v>
      </c>
      <c r="H242" s="4" t="s">
        <v>4965</v>
      </c>
      <c r="I242" s="4"/>
    </row>
    <row r="243" customFormat="false" ht="15" hidden="false" customHeight="false" outlineLevel="0" collapsed="false">
      <c r="A243" s="4" t="s">
        <v>919</v>
      </c>
      <c r="B243" s="23" t="n">
        <v>240</v>
      </c>
      <c r="C243" s="6" t="n">
        <v>46222</v>
      </c>
      <c r="D243" s="4" t="s">
        <v>921</v>
      </c>
      <c r="E243" s="4" t="s">
        <v>6134</v>
      </c>
      <c r="F243" s="7" t="n">
        <v>-34456.98</v>
      </c>
      <c r="G243" s="24" t="s">
        <v>5951</v>
      </c>
      <c r="H243" s="4" t="s">
        <v>918</v>
      </c>
      <c r="I243" s="4"/>
    </row>
    <row r="244" customFormat="false" ht="15" hidden="false" customHeight="false" outlineLevel="0" collapsed="false">
      <c r="A244" s="4" t="s">
        <v>3973</v>
      </c>
      <c r="B244" s="23" t="n">
        <v>241</v>
      </c>
      <c r="C244" s="6" t="n">
        <v>46222</v>
      </c>
      <c r="D244" s="4" t="s">
        <v>3975</v>
      </c>
      <c r="E244" s="4" t="s">
        <v>6135</v>
      </c>
      <c r="F244" s="7" t="n">
        <v>-9417.89</v>
      </c>
      <c r="G244" s="24" t="s">
        <v>5951</v>
      </c>
      <c r="H244" s="4" t="s">
        <v>3972</v>
      </c>
      <c r="I244" s="4"/>
    </row>
    <row r="245" customFormat="false" ht="15" hidden="false" customHeight="false" outlineLevel="0" collapsed="false">
      <c r="A245" s="4" t="s">
        <v>924</v>
      </c>
      <c r="B245" s="23" t="n">
        <v>242</v>
      </c>
      <c r="C245" s="6" t="n">
        <v>46223</v>
      </c>
      <c r="D245" s="4" t="s">
        <v>926</v>
      </c>
      <c r="E245" s="4"/>
      <c r="F245" s="7" t="n">
        <v>58987.03</v>
      </c>
      <c r="G245" s="24" t="s">
        <v>5951</v>
      </c>
      <c r="H245" s="4" t="s">
        <v>923</v>
      </c>
      <c r="I245" s="4"/>
    </row>
    <row r="246" customFormat="false" ht="15" hidden="false" customHeight="false" outlineLevel="0" collapsed="false">
      <c r="A246" s="4" t="s">
        <v>3978</v>
      </c>
      <c r="B246" s="23" t="n">
        <v>243</v>
      </c>
      <c r="C246" s="6" t="n">
        <v>46223</v>
      </c>
      <c r="D246" s="4" t="s">
        <v>3980</v>
      </c>
      <c r="E246" s="4" t="s">
        <v>6136</v>
      </c>
      <c r="F246" s="7" t="n">
        <v>77724.14</v>
      </c>
      <c r="G246" s="24" t="s">
        <v>5951</v>
      </c>
      <c r="H246" s="4" t="s">
        <v>3977</v>
      </c>
      <c r="I246" s="4"/>
    </row>
    <row r="247" customFormat="false" ht="15" hidden="false" customHeight="false" outlineLevel="0" collapsed="false">
      <c r="A247" s="4" t="s">
        <v>929</v>
      </c>
      <c r="B247" s="23" t="n">
        <v>244</v>
      </c>
      <c r="C247" s="6" t="n">
        <v>46223</v>
      </c>
      <c r="D247" s="4" t="s">
        <v>931</v>
      </c>
      <c r="E247" s="4" t="s">
        <v>6137</v>
      </c>
      <c r="F247" s="7" t="n">
        <v>36047.11</v>
      </c>
      <c r="G247" s="24" t="s">
        <v>5951</v>
      </c>
      <c r="H247" s="4" t="s">
        <v>928</v>
      </c>
      <c r="I247" s="4"/>
    </row>
    <row r="248" customFormat="false" ht="15" hidden="false" customHeight="false" outlineLevel="0" collapsed="false">
      <c r="A248" s="4" t="s">
        <v>934</v>
      </c>
      <c r="B248" s="23" t="n">
        <v>245</v>
      </c>
      <c r="C248" s="6" t="n">
        <v>46223</v>
      </c>
      <c r="D248" s="4" t="s">
        <v>936</v>
      </c>
      <c r="E248" s="4" t="s">
        <v>6138</v>
      </c>
      <c r="F248" s="7" t="n">
        <v>44580.3</v>
      </c>
      <c r="G248" s="24" t="s">
        <v>5951</v>
      </c>
      <c r="H248" s="4" t="s">
        <v>933</v>
      </c>
      <c r="I248" s="4"/>
    </row>
    <row r="249" customFormat="false" ht="15" hidden="false" customHeight="false" outlineLevel="0" collapsed="false">
      <c r="A249" s="4" t="s">
        <v>939</v>
      </c>
      <c r="B249" s="23" t="n">
        <v>246</v>
      </c>
      <c r="C249" s="6" t="n">
        <v>46223</v>
      </c>
      <c r="D249" s="4" t="s">
        <v>941</v>
      </c>
      <c r="E249" s="4" t="s">
        <v>6139</v>
      </c>
      <c r="F249" s="7" t="n">
        <v>22529.48</v>
      </c>
      <c r="G249" s="24" t="s">
        <v>5951</v>
      </c>
      <c r="H249" s="4" t="s">
        <v>938</v>
      </c>
      <c r="I249" s="4"/>
    </row>
    <row r="250" customFormat="false" ht="15" hidden="false" customHeight="false" outlineLevel="0" collapsed="false">
      <c r="A250" s="4" t="s">
        <v>3983</v>
      </c>
      <c r="B250" s="23" t="n">
        <v>247</v>
      </c>
      <c r="C250" s="6" t="n">
        <v>46223</v>
      </c>
      <c r="D250" s="4" t="s">
        <v>3985</v>
      </c>
      <c r="E250" s="4" t="s">
        <v>6140</v>
      </c>
      <c r="F250" s="7" t="n">
        <v>19129.25</v>
      </c>
      <c r="G250" s="24" t="s">
        <v>5951</v>
      </c>
      <c r="H250" s="4" t="s">
        <v>3982</v>
      </c>
      <c r="I250" s="4"/>
    </row>
    <row r="251" customFormat="false" ht="15" hidden="false" customHeight="false" outlineLevel="0" collapsed="false">
      <c r="A251" s="4" t="s">
        <v>3988</v>
      </c>
      <c r="B251" s="23" t="n">
        <v>248</v>
      </c>
      <c r="C251" s="6" t="n">
        <v>46223</v>
      </c>
      <c r="D251" s="4" t="s">
        <v>3990</v>
      </c>
      <c r="E251" s="4" t="s">
        <v>6141</v>
      </c>
      <c r="F251" s="7" t="n">
        <v>14181.96</v>
      </c>
      <c r="G251" s="24" t="s">
        <v>5951</v>
      </c>
      <c r="H251" s="4" t="s">
        <v>3987</v>
      </c>
      <c r="I251" s="4"/>
    </row>
    <row r="252" customFormat="false" ht="15" hidden="false" customHeight="false" outlineLevel="0" collapsed="false">
      <c r="A252" s="4" t="s">
        <v>2607</v>
      </c>
      <c r="B252" s="23" t="n">
        <v>249</v>
      </c>
      <c r="C252" s="6" t="n">
        <v>46223</v>
      </c>
      <c r="D252" s="4" t="s">
        <v>2609</v>
      </c>
      <c r="E252" s="4"/>
      <c r="F252" s="7" t="n">
        <v>57302.83</v>
      </c>
      <c r="G252" s="24" t="s">
        <v>5951</v>
      </c>
      <c r="H252" s="4" t="s">
        <v>2606</v>
      </c>
      <c r="I252" s="4"/>
    </row>
    <row r="253" customFormat="false" ht="15" hidden="false" customHeight="false" outlineLevel="0" collapsed="false">
      <c r="A253" s="4" t="s">
        <v>4646</v>
      </c>
      <c r="B253" s="23" t="n">
        <v>250</v>
      </c>
      <c r="C253" s="6" t="n">
        <v>46223</v>
      </c>
      <c r="D253" s="4" t="s">
        <v>4648</v>
      </c>
      <c r="E253" s="4" t="s">
        <v>6142</v>
      </c>
      <c r="F253" s="7" t="n">
        <v>-30956.92</v>
      </c>
      <c r="G253" s="24" t="s">
        <v>5951</v>
      </c>
      <c r="H253" s="4" t="s">
        <v>4645</v>
      </c>
      <c r="I253" s="4"/>
    </row>
    <row r="254" customFormat="false" ht="15" hidden="false" customHeight="false" outlineLevel="0" collapsed="false">
      <c r="A254" s="4" t="s">
        <v>5400</v>
      </c>
      <c r="B254" s="23" t="n">
        <v>251</v>
      </c>
      <c r="C254" s="6" t="n">
        <v>46223</v>
      </c>
      <c r="D254" s="4" t="s">
        <v>5402</v>
      </c>
      <c r="E254" s="4" t="s">
        <v>6143</v>
      </c>
      <c r="F254" s="7" t="n">
        <v>-34576.07</v>
      </c>
      <c r="G254" s="24" t="s">
        <v>5951</v>
      </c>
      <c r="H254" s="4" t="s">
        <v>5399</v>
      </c>
      <c r="I254" s="4"/>
    </row>
    <row r="255" customFormat="false" ht="15" hidden="false" customHeight="false" outlineLevel="0" collapsed="false">
      <c r="A255" s="4" t="s">
        <v>5405</v>
      </c>
      <c r="B255" s="23" t="n">
        <v>252</v>
      </c>
      <c r="C255" s="6" t="n">
        <v>46223</v>
      </c>
      <c r="D255" s="4" t="s">
        <v>5407</v>
      </c>
      <c r="E255" s="4" t="s">
        <v>6144</v>
      </c>
      <c r="F255" s="7" t="n">
        <v>-43019.01</v>
      </c>
      <c r="G255" s="24" t="s">
        <v>5951</v>
      </c>
      <c r="H255" s="4" t="s">
        <v>5404</v>
      </c>
      <c r="I255" s="4"/>
    </row>
    <row r="256" customFormat="false" ht="15" hidden="false" customHeight="false" outlineLevel="0" collapsed="false">
      <c r="A256" s="4" t="s">
        <v>3993</v>
      </c>
      <c r="B256" s="23" t="n">
        <v>253</v>
      </c>
      <c r="C256" s="6" t="n">
        <v>46223</v>
      </c>
      <c r="D256" s="4" t="s">
        <v>3995</v>
      </c>
      <c r="E256" s="4" t="s">
        <v>6145</v>
      </c>
      <c r="F256" s="7" t="n">
        <v>-26371.11</v>
      </c>
      <c r="G256" s="24" t="s">
        <v>5951</v>
      </c>
      <c r="H256" s="4" t="s">
        <v>3992</v>
      </c>
      <c r="I256" s="4"/>
    </row>
    <row r="257" customFormat="false" ht="15" hidden="false" customHeight="false" outlineLevel="0" collapsed="false">
      <c r="A257" s="4" t="s">
        <v>213</v>
      </c>
      <c r="B257" s="23" t="n">
        <v>254</v>
      </c>
      <c r="C257" s="6" t="n">
        <v>46223</v>
      </c>
      <c r="D257" s="4" t="s">
        <v>5905</v>
      </c>
      <c r="E257" s="4" t="s">
        <v>215</v>
      </c>
      <c r="F257" s="7" t="n">
        <v>-19757.52</v>
      </c>
      <c r="G257" s="25" t="s">
        <v>5987</v>
      </c>
      <c r="H257" s="4" t="s">
        <v>5904</v>
      </c>
      <c r="I257" s="4" t="s">
        <v>211</v>
      </c>
    </row>
    <row r="258" customFormat="false" ht="15" hidden="false" customHeight="false" outlineLevel="0" collapsed="false">
      <c r="A258" s="4" t="s">
        <v>386</v>
      </c>
      <c r="B258" s="23" t="n">
        <v>255</v>
      </c>
      <c r="C258" s="6" t="n">
        <v>46223</v>
      </c>
      <c r="D258" s="4" t="s">
        <v>5934</v>
      </c>
      <c r="E258" s="4"/>
      <c r="F258" s="7" t="n">
        <v>15459.17</v>
      </c>
      <c r="G258" s="25" t="s">
        <v>5987</v>
      </c>
      <c r="H258" s="4" t="s">
        <v>5933</v>
      </c>
      <c r="I258" s="4" t="s">
        <v>385</v>
      </c>
    </row>
    <row r="259" customFormat="false" ht="15" hidden="false" customHeight="false" outlineLevel="0" collapsed="false">
      <c r="A259" s="4" t="s">
        <v>2612</v>
      </c>
      <c r="B259" s="23" t="n">
        <v>256</v>
      </c>
      <c r="C259" s="6" t="n">
        <v>46224</v>
      </c>
      <c r="D259" s="4" t="s">
        <v>2614</v>
      </c>
      <c r="E259" s="4" t="s">
        <v>6146</v>
      </c>
      <c r="F259" s="7" t="n">
        <v>32792.61</v>
      </c>
      <c r="G259" s="24" t="s">
        <v>5951</v>
      </c>
      <c r="H259" s="4" t="s">
        <v>2611</v>
      </c>
      <c r="I259" s="4"/>
    </row>
    <row r="260" customFormat="false" ht="15" hidden="false" customHeight="false" outlineLevel="0" collapsed="false">
      <c r="A260" s="4" t="s">
        <v>2617</v>
      </c>
      <c r="B260" s="23" t="n">
        <v>257</v>
      </c>
      <c r="C260" s="6" t="n">
        <v>46224</v>
      </c>
      <c r="D260" s="4" t="s">
        <v>2619</v>
      </c>
      <c r="E260" s="4" t="s">
        <v>6147</v>
      </c>
      <c r="F260" s="7" t="n">
        <v>72656.97</v>
      </c>
      <c r="G260" s="24" t="s">
        <v>5951</v>
      </c>
      <c r="H260" s="4" t="s">
        <v>2616</v>
      </c>
      <c r="I260" s="4"/>
    </row>
    <row r="261" customFormat="false" ht="15" hidden="false" customHeight="false" outlineLevel="0" collapsed="false">
      <c r="A261" s="4" t="s">
        <v>944</v>
      </c>
      <c r="B261" s="23" t="n">
        <v>258</v>
      </c>
      <c r="C261" s="6" t="n">
        <v>46224</v>
      </c>
      <c r="D261" s="4" t="s">
        <v>946</v>
      </c>
      <c r="E261" s="4" t="s">
        <v>6148</v>
      </c>
      <c r="F261" s="7" t="n">
        <v>90105.32</v>
      </c>
      <c r="G261" s="24" t="s">
        <v>5951</v>
      </c>
      <c r="H261" s="4" t="s">
        <v>943</v>
      </c>
      <c r="I261" s="4"/>
    </row>
    <row r="262" customFormat="false" ht="15" hidden="false" customHeight="false" outlineLevel="0" collapsed="false">
      <c r="A262" s="4" t="s">
        <v>2622</v>
      </c>
      <c r="B262" s="23" t="n">
        <v>259</v>
      </c>
      <c r="C262" s="6" t="n">
        <v>46224</v>
      </c>
      <c r="D262" s="4" t="s">
        <v>2624</v>
      </c>
      <c r="E262" s="4"/>
      <c r="F262" s="7" t="n">
        <v>85526.43</v>
      </c>
      <c r="G262" s="24" t="s">
        <v>5951</v>
      </c>
      <c r="H262" s="4" t="s">
        <v>2621</v>
      </c>
      <c r="I262" s="4"/>
    </row>
    <row r="263" customFormat="false" ht="15" hidden="false" customHeight="false" outlineLevel="0" collapsed="false">
      <c r="A263" s="4" t="s">
        <v>949</v>
      </c>
      <c r="B263" s="23" t="n">
        <v>260</v>
      </c>
      <c r="C263" s="6" t="n">
        <v>46224</v>
      </c>
      <c r="D263" s="4" t="s">
        <v>951</v>
      </c>
      <c r="E263" s="4"/>
      <c r="F263" s="7" t="n">
        <v>36554.9</v>
      </c>
      <c r="G263" s="24" t="s">
        <v>5951</v>
      </c>
      <c r="H263" s="4" t="s">
        <v>948</v>
      </c>
      <c r="I263" s="4"/>
    </row>
    <row r="264" customFormat="false" ht="15" hidden="false" customHeight="false" outlineLevel="0" collapsed="false">
      <c r="A264" s="4" t="s">
        <v>954</v>
      </c>
      <c r="B264" s="23" t="n">
        <v>261</v>
      </c>
      <c r="C264" s="6" t="n">
        <v>46224</v>
      </c>
      <c r="D264" s="4" t="s">
        <v>956</v>
      </c>
      <c r="E264" s="4" t="s">
        <v>6149</v>
      </c>
      <c r="F264" s="7" t="n">
        <v>60071.55</v>
      </c>
      <c r="G264" s="24" t="s">
        <v>5951</v>
      </c>
      <c r="H264" s="4" t="s">
        <v>953</v>
      </c>
      <c r="I264" s="4"/>
    </row>
    <row r="265" customFormat="false" ht="15" hidden="false" customHeight="false" outlineLevel="0" collapsed="false">
      <c r="A265" s="4" t="s">
        <v>2627</v>
      </c>
      <c r="B265" s="23" t="n">
        <v>262</v>
      </c>
      <c r="C265" s="6" t="n">
        <v>46224</v>
      </c>
      <c r="D265" s="4" t="s">
        <v>2629</v>
      </c>
      <c r="E265" s="4" t="s">
        <v>6150</v>
      </c>
      <c r="F265" s="7" t="n">
        <v>43385.33</v>
      </c>
      <c r="G265" s="24" t="s">
        <v>5951</v>
      </c>
      <c r="H265" s="4" t="s">
        <v>2626</v>
      </c>
      <c r="I265" s="4"/>
    </row>
    <row r="266" customFormat="false" ht="15" hidden="false" customHeight="false" outlineLevel="0" collapsed="false">
      <c r="A266" s="4" t="s">
        <v>3998</v>
      </c>
      <c r="B266" s="23" t="n">
        <v>263</v>
      </c>
      <c r="C266" s="6" t="n">
        <v>46224</v>
      </c>
      <c r="D266" s="4" t="s">
        <v>4000</v>
      </c>
      <c r="E266" s="4" t="s">
        <v>6151</v>
      </c>
      <c r="F266" s="7" t="n">
        <v>82220.3</v>
      </c>
      <c r="G266" s="24" t="s">
        <v>5951</v>
      </c>
      <c r="H266" s="4" t="s">
        <v>3997</v>
      </c>
      <c r="I266" s="4"/>
    </row>
    <row r="267" customFormat="false" ht="15" hidden="false" customHeight="false" outlineLevel="0" collapsed="false">
      <c r="A267" s="4" t="s">
        <v>2632</v>
      </c>
      <c r="B267" s="23" t="n">
        <v>264</v>
      </c>
      <c r="C267" s="6" t="n">
        <v>46224</v>
      </c>
      <c r="D267" s="4" t="s">
        <v>2634</v>
      </c>
      <c r="E267" s="4" t="s">
        <v>6152</v>
      </c>
      <c r="F267" s="7" t="n">
        <v>94016.22</v>
      </c>
      <c r="G267" s="24" t="s">
        <v>5951</v>
      </c>
      <c r="H267" s="4" t="s">
        <v>2631</v>
      </c>
      <c r="I267" s="4"/>
    </row>
    <row r="268" customFormat="false" ht="15" hidden="false" customHeight="false" outlineLevel="0" collapsed="false">
      <c r="A268" s="4" t="s">
        <v>2637</v>
      </c>
      <c r="B268" s="23" t="n">
        <v>265</v>
      </c>
      <c r="C268" s="6" t="n">
        <v>46224</v>
      </c>
      <c r="D268" s="4" t="s">
        <v>2639</v>
      </c>
      <c r="E268" s="4" t="s">
        <v>6153</v>
      </c>
      <c r="F268" s="7" t="n">
        <v>-20814.56</v>
      </c>
      <c r="G268" s="24" t="s">
        <v>5951</v>
      </c>
      <c r="H268" s="4" t="s">
        <v>2636</v>
      </c>
      <c r="I268" s="4"/>
    </row>
    <row r="269" customFormat="false" ht="15" hidden="false" customHeight="false" outlineLevel="0" collapsed="false">
      <c r="A269" s="4" t="s">
        <v>4971</v>
      </c>
      <c r="B269" s="23" t="n">
        <v>266</v>
      </c>
      <c r="C269" s="6" t="n">
        <v>46224</v>
      </c>
      <c r="D269" s="4" t="s">
        <v>4973</v>
      </c>
      <c r="E269" s="4" t="s">
        <v>6154</v>
      </c>
      <c r="F269" s="7" t="n">
        <v>-16545.23</v>
      </c>
      <c r="G269" s="24" t="s">
        <v>5951</v>
      </c>
      <c r="H269" s="4" t="s">
        <v>4970</v>
      </c>
      <c r="I269" s="4"/>
    </row>
    <row r="270" customFormat="false" ht="15" hidden="false" customHeight="false" outlineLevel="0" collapsed="false">
      <c r="A270" s="4" t="s">
        <v>5410</v>
      </c>
      <c r="B270" s="23" t="n">
        <v>267</v>
      </c>
      <c r="C270" s="6" t="n">
        <v>46224</v>
      </c>
      <c r="D270" s="4" t="s">
        <v>5412</v>
      </c>
      <c r="E270" s="4" t="s">
        <v>6155</v>
      </c>
      <c r="F270" s="7" t="n">
        <v>-27852.49</v>
      </c>
      <c r="G270" s="24" t="s">
        <v>5951</v>
      </c>
      <c r="H270" s="4" t="s">
        <v>5409</v>
      </c>
      <c r="I270" s="4"/>
    </row>
    <row r="271" customFormat="false" ht="15" hidden="false" customHeight="false" outlineLevel="0" collapsed="false">
      <c r="A271" s="4" t="s">
        <v>4976</v>
      </c>
      <c r="B271" s="23" t="n">
        <v>268</v>
      </c>
      <c r="C271" s="6" t="n">
        <v>46224</v>
      </c>
      <c r="D271" s="4" t="s">
        <v>4978</v>
      </c>
      <c r="E271" s="4" t="s">
        <v>6156</v>
      </c>
      <c r="F271" s="7" t="n">
        <v>-13370.7</v>
      </c>
      <c r="G271" s="24" t="s">
        <v>5951</v>
      </c>
      <c r="H271" s="4" t="s">
        <v>4975</v>
      </c>
      <c r="I271" s="4"/>
    </row>
    <row r="272" customFormat="false" ht="15" hidden="false" customHeight="false" outlineLevel="0" collapsed="false">
      <c r="A272" s="4" t="s">
        <v>2642</v>
      </c>
      <c r="B272" s="23" t="n">
        <v>269</v>
      </c>
      <c r="C272" s="6" t="n">
        <v>46224</v>
      </c>
      <c r="D272" s="4" t="s">
        <v>2644</v>
      </c>
      <c r="E272" s="4" t="s">
        <v>6157</v>
      </c>
      <c r="F272" s="7" t="n">
        <v>-59799.67</v>
      </c>
      <c r="G272" s="24" t="s">
        <v>5951</v>
      </c>
      <c r="H272" s="4" t="s">
        <v>2641</v>
      </c>
      <c r="I272" s="4"/>
    </row>
    <row r="273" customFormat="false" ht="15" hidden="false" customHeight="false" outlineLevel="0" collapsed="false">
      <c r="A273" s="4" t="s">
        <v>4981</v>
      </c>
      <c r="B273" s="23" t="n">
        <v>270</v>
      </c>
      <c r="C273" s="6" t="n">
        <v>46224</v>
      </c>
      <c r="D273" s="4" t="s">
        <v>4983</v>
      </c>
      <c r="E273" s="4" t="s">
        <v>6158</v>
      </c>
      <c r="F273" s="7" t="n">
        <v>-44166.42</v>
      </c>
      <c r="G273" s="24" t="s">
        <v>5951</v>
      </c>
      <c r="H273" s="4" t="s">
        <v>4980</v>
      </c>
      <c r="I273" s="4"/>
    </row>
    <row r="274" customFormat="false" ht="15" hidden="false" customHeight="false" outlineLevel="0" collapsed="false">
      <c r="A274" s="4" t="s">
        <v>2647</v>
      </c>
      <c r="B274" s="23" t="n">
        <v>271</v>
      </c>
      <c r="C274" s="6" t="n">
        <v>46224</v>
      </c>
      <c r="D274" s="4" t="s">
        <v>2649</v>
      </c>
      <c r="E274" s="4" t="s">
        <v>6159</v>
      </c>
      <c r="F274" s="7" t="n">
        <v>-6060.2</v>
      </c>
      <c r="G274" s="24" t="s">
        <v>5951</v>
      </c>
      <c r="H274" s="4" t="s">
        <v>2646</v>
      </c>
      <c r="I274" s="4"/>
    </row>
    <row r="275" customFormat="false" ht="15" hidden="false" customHeight="false" outlineLevel="0" collapsed="false">
      <c r="A275" s="4" t="s">
        <v>5812</v>
      </c>
      <c r="B275" s="23" t="n">
        <v>272</v>
      </c>
      <c r="C275" s="6" t="n">
        <v>46224</v>
      </c>
      <c r="D275" s="4" t="s">
        <v>5814</v>
      </c>
      <c r="E275" s="4"/>
      <c r="F275" s="7" t="n">
        <v>-8544.01</v>
      </c>
      <c r="G275" s="24" t="s">
        <v>5951</v>
      </c>
      <c r="H275" s="4" t="s">
        <v>5811</v>
      </c>
      <c r="I275" s="4"/>
    </row>
    <row r="276" customFormat="false" ht="15" hidden="false" customHeight="false" outlineLevel="0" collapsed="false">
      <c r="A276" s="4" t="s">
        <v>351</v>
      </c>
      <c r="B276" s="23" t="n">
        <v>273</v>
      </c>
      <c r="C276" s="6" t="n">
        <v>46224</v>
      </c>
      <c r="D276" s="4" t="s">
        <v>5866</v>
      </c>
      <c r="E276" s="4" t="s">
        <v>353</v>
      </c>
      <c r="F276" s="7" t="n">
        <v>52468.86</v>
      </c>
      <c r="G276" s="25" t="s">
        <v>5987</v>
      </c>
      <c r="H276" s="4" t="s">
        <v>5865</v>
      </c>
      <c r="I276" s="4" t="s">
        <v>350</v>
      </c>
    </row>
    <row r="277" customFormat="false" ht="15" hidden="false" customHeight="false" outlineLevel="0" collapsed="false">
      <c r="A277" s="4" t="s">
        <v>2652</v>
      </c>
      <c r="B277" s="23" t="n">
        <v>274</v>
      </c>
      <c r="C277" s="6" t="n">
        <v>46225</v>
      </c>
      <c r="D277" s="4" t="s">
        <v>2654</v>
      </c>
      <c r="E277" s="4" t="s">
        <v>6160</v>
      </c>
      <c r="F277" s="7" t="n">
        <v>79584.91</v>
      </c>
      <c r="G277" s="24" t="s">
        <v>5951</v>
      </c>
      <c r="H277" s="4" t="s">
        <v>2651</v>
      </c>
      <c r="I277" s="4"/>
    </row>
    <row r="278" customFormat="false" ht="15" hidden="false" customHeight="false" outlineLevel="0" collapsed="false">
      <c r="A278" s="4" t="s">
        <v>4003</v>
      </c>
      <c r="B278" s="23" t="n">
        <v>275</v>
      </c>
      <c r="C278" s="6" t="n">
        <v>46225</v>
      </c>
      <c r="D278" s="4" t="s">
        <v>4005</v>
      </c>
      <c r="E278" s="4" t="s">
        <v>6161</v>
      </c>
      <c r="F278" s="7" t="n">
        <v>81498.77</v>
      </c>
      <c r="G278" s="24" t="s">
        <v>5951</v>
      </c>
      <c r="H278" s="4" t="s">
        <v>4002</v>
      </c>
      <c r="I278" s="4"/>
    </row>
    <row r="279" customFormat="false" ht="15" hidden="false" customHeight="false" outlineLevel="0" collapsed="false">
      <c r="A279" s="4" t="s">
        <v>2657</v>
      </c>
      <c r="B279" s="23" t="n">
        <v>276</v>
      </c>
      <c r="C279" s="6" t="n">
        <v>46225</v>
      </c>
      <c r="D279" s="4" t="s">
        <v>2659</v>
      </c>
      <c r="E279" s="4" t="s">
        <v>6162</v>
      </c>
      <c r="F279" s="7" t="n">
        <v>11386.04</v>
      </c>
      <c r="G279" s="24" t="s">
        <v>5951</v>
      </c>
      <c r="H279" s="4" t="s">
        <v>2656</v>
      </c>
      <c r="I279" s="4"/>
    </row>
    <row r="280" customFormat="false" ht="15" hidden="false" customHeight="false" outlineLevel="0" collapsed="false">
      <c r="A280" s="4" t="s">
        <v>959</v>
      </c>
      <c r="B280" s="23" t="n">
        <v>277</v>
      </c>
      <c r="C280" s="6" t="n">
        <v>46225</v>
      </c>
      <c r="D280" s="4" t="s">
        <v>961</v>
      </c>
      <c r="E280" s="4"/>
      <c r="F280" s="7" t="n">
        <v>87275.79</v>
      </c>
      <c r="G280" s="24" t="s">
        <v>5951</v>
      </c>
      <c r="H280" s="4" t="s">
        <v>958</v>
      </c>
      <c r="I280" s="4"/>
    </row>
    <row r="281" customFormat="false" ht="15" hidden="false" customHeight="false" outlineLevel="0" collapsed="false">
      <c r="A281" s="4" t="s">
        <v>2662</v>
      </c>
      <c r="B281" s="23" t="n">
        <v>278</v>
      </c>
      <c r="C281" s="6" t="n">
        <v>46225</v>
      </c>
      <c r="D281" s="4" t="s">
        <v>2664</v>
      </c>
      <c r="E281" s="4"/>
      <c r="F281" s="7" t="n">
        <v>21655.43</v>
      </c>
      <c r="G281" s="24" t="s">
        <v>5951</v>
      </c>
      <c r="H281" s="4" t="s">
        <v>2661</v>
      </c>
      <c r="I281" s="4"/>
    </row>
    <row r="282" customFormat="false" ht="15" hidden="false" customHeight="false" outlineLevel="0" collapsed="false">
      <c r="A282" s="4" t="s">
        <v>2667</v>
      </c>
      <c r="B282" s="23" t="n">
        <v>279</v>
      </c>
      <c r="C282" s="6" t="n">
        <v>46225</v>
      </c>
      <c r="D282" s="4" t="s">
        <v>2669</v>
      </c>
      <c r="E282" s="4" t="s">
        <v>6163</v>
      </c>
      <c r="F282" s="7" t="n">
        <v>60221.16</v>
      </c>
      <c r="G282" s="24" t="s">
        <v>5951</v>
      </c>
      <c r="H282" s="4" t="s">
        <v>2666</v>
      </c>
      <c r="I282" s="4"/>
    </row>
    <row r="283" customFormat="false" ht="15" hidden="false" customHeight="false" outlineLevel="0" collapsed="false">
      <c r="A283" s="4" t="s">
        <v>2672</v>
      </c>
      <c r="B283" s="23" t="n">
        <v>280</v>
      </c>
      <c r="C283" s="6" t="n">
        <v>46225</v>
      </c>
      <c r="D283" s="4" t="s">
        <v>2674</v>
      </c>
      <c r="E283" s="4" t="s">
        <v>6164</v>
      </c>
      <c r="F283" s="7" t="n">
        <v>44247.6</v>
      </c>
      <c r="G283" s="24" t="s">
        <v>5951</v>
      </c>
      <c r="H283" s="4" t="s">
        <v>2671</v>
      </c>
      <c r="I283" s="4"/>
    </row>
    <row r="284" customFormat="false" ht="15" hidden="false" customHeight="false" outlineLevel="0" collapsed="false">
      <c r="A284" s="4" t="s">
        <v>2677</v>
      </c>
      <c r="B284" s="23" t="n">
        <v>281</v>
      </c>
      <c r="C284" s="6" t="n">
        <v>46225</v>
      </c>
      <c r="D284" s="4" t="s">
        <v>2679</v>
      </c>
      <c r="E284" s="4" t="s">
        <v>6165</v>
      </c>
      <c r="F284" s="7" t="n">
        <v>36773.28</v>
      </c>
      <c r="G284" s="24" t="s">
        <v>5951</v>
      </c>
      <c r="H284" s="4" t="s">
        <v>2676</v>
      </c>
      <c r="I284" s="4"/>
    </row>
    <row r="285" customFormat="false" ht="15" hidden="false" customHeight="false" outlineLevel="0" collapsed="false">
      <c r="A285" s="4" t="s">
        <v>964</v>
      </c>
      <c r="B285" s="23" t="n">
        <v>282</v>
      </c>
      <c r="C285" s="6" t="n">
        <v>46225</v>
      </c>
      <c r="D285" s="4" t="s">
        <v>966</v>
      </c>
      <c r="E285" s="4" t="s">
        <v>6166</v>
      </c>
      <c r="F285" s="7" t="n">
        <v>-31763.46</v>
      </c>
      <c r="G285" s="24" t="s">
        <v>5951</v>
      </c>
      <c r="H285" s="4" t="s">
        <v>963</v>
      </c>
      <c r="I285" s="4"/>
    </row>
    <row r="286" customFormat="false" ht="15" hidden="false" customHeight="false" outlineLevel="0" collapsed="false">
      <c r="A286" s="4" t="s">
        <v>4986</v>
      </c>
      <c r="B286" s="23" t="n">
        <v>283</v>
      </c>
      <c r="C286" s="6" t="n">
        <v>46225</v>
      </c>
      <c r="D286" s="4" t="s">
        <v>4988</v>
      </c>
      <c r="E286" s="4" t="s">
        <v>6167</v>
      </c>
      <c r="F286" s="7" t="n">
        <v>-14198.44</v>
      </c>
      <c r="G286" s="24" t="s">
        <v>5951</v>
      </c>
      <c r="H286" s="4" t="s">
        <v>4985</v>
      </c>
      <c r="I286" s="4"/>
    </row>
    <row r="287" customFormat="false" ht="15" hidden="false" customHeight="false" outlineLevel="0" collapsed="false">
      <c r="A287" s="4" t="s">
        <v>339</v>
      </c>
      <c r="B287" s="23" t="n">
        <v>284</v>
      </c>
      <c r="C287" s="6" t="n">
        <v>46225</v>
      </c>
      <c r="D287" s="4" t="s">
        <v>5869</v>
      </c>
      <c r="E287" s="4" t="s">
        <v>341</v>
      </c>
      <c r="F287" s="7" t="n">
        <v>13638.48</v>
      </c>
      <c r="G287" s="25" t="s">
        <v>5987</v>
      </c>
      <c r="H287" s="4" t="s">
        <v>5868</v>
      </c>
      <c r="I287" s="4" t="s">
        <v>338</v>
      </c>
    </row>
    <row r="288" customFormat="false" ht="15" hidden="false" customHeight="false" outlineLevel="0" collapsed="false">
      <c r="A288" s="4" t="s">
        <v>4008</v>
      </c>
      <c r="B288" s="23" t="n">
        <v>285</v>
      </c>
      <c r="C288" s="6" t="n">
        <v>46226</v>
      </c>
      <c r="D288" s="4" t="s">
        <v>4010</v>
      </c>
      <c r="E288" s="4"/>
      <c r="F288" s="7" t="n">
        <v>35010.93</v>
      </c>
      <c r="G288" s="24" t="s">
        <v>5951</v>
      </c>
      <c r="H288" s="4" t="s">
        <v>4007</v>
      </c>
      <c r="I288" s="4"/>
    </row>
    <row r="289" customFormat="false" ht="15" hidden="false" customHeight="false" outlineLevel="0" collapsed="false">
      <c r="A289" s="4" t="s">
        <v>2682</v>
      </c>
      <c r="B289" s="23" t="n">
        <v>286</v>
      </c>
      <c r="C289" s="6" t="n">
        <v>46226</v>
      </c>
      <c r="D289" s="4" t="s">
        <v>2684</v>
      </c>
      <c r="E289" s="4" t="s">
        <v>6168</v>
      </c>
      <c r="F289" s="7" t="n">
        <v>30282.7</v>
      </c>
      <c r="G289" s="24" t="s">
        <v>5951</v>
      </c>
      <c r="H289" s="4" t="s">
        <v>2681</v>
      </c>
      <c r="I289" s="4"/>
    </row>
    <row r="290" customFormat="false" ht="15" hidden="false" customHeight="false" outlineLevel="0" collapsed="false">
      <c r="A290" s="4" t="s">
        <v>969</v>
      </c>
      <c r="B290" s="23" t="n">
        <v>287</v>
      </c>
      <c r="C290" s="6" t="n">
        <v>46226</v>
      </c>
      <c r="D290" s="4" t="s">
        <v>971</v>
      </c>
      <c r="E290" s="4" t="s">
        <v>6169</v>
      </c>
      <c r="F290" s="7" t="n">
        <v>24198.67</v>
      </c>
      <c r="G290" s="24" t="s">
        <v>5951</v>
      </c>
      <c r="H290" s="4" t="s">
        <v>968</v>
      </c>
      <c r="I290" s="4"/>
    </row>
    <row r="291" customFormat="false" ht="15" hidden="false" customHeight="false" outlineLevel="0" collapsed="false">
      <c r="A291" s="4" t="s">
        <v>4013</v>
      </c>
      <c r="B291" s="23" t="n">
        <v>288</v>
      </c>
      <c r="C291" s="6" t="n">
        <v>46226</v>
      </c>
      <c r="D291" s="4" t="s">
        <v>4015</v>
      </c>
      <c r="E291" s="4"/>
      <c r="F291" s="7" t="n">
        <v>74035.83</v>
      </c>
      <c r="G291" s="24" t="s">
        <v>5951</v>
      </c>
      <c r="H291" s="4" t="s">
        <v>4012</v>
      </c>
      <c r="I291" s="4"/>
    </row>
    <row r="292" customFormat="false" ht="15" hidden="false" customHeight="false" outlineLevel="0" collapsed="false">
      <c r="A292" s="4" t="s">
        <v>4991</v>
      </c>
      <c r="B292" s="23" t="n">
        <v>289</v>
      </c>
      <c r="C292" s="6" t="n">
        <v>46226</v>
      </c>
      <c r="D292" s="4" t="s">
        <v>4993</v>
      </c>
      <c r="E292" s="4" t="s">
        <v>6170</v>
      </c>
      <c r="F292" s="7" t="n">
        <v>-31102.99</v>
      </c>
      <c r="G292" s="24" t="s">
        <v>5951</v>
      </c>
      <c r="H292" s="4" t="s">
        <v>4990</v>
      </c>
      <c r="I292" s="4"/>
    </row>
    <row r="293" customFormat="false" ht="15" hidden="false" customHeight="false" outlineLevel="0" collapsed="false">
      <c r="A293" s="4" t="s">
        <v>4996</v>
      </c>
      <c r="B293" s="23" t="n">
        <v>290</v>
      </c>
      <c r="C293" s="6" t="n">
        <v>46226</v>
      </c>
      <c r="D293" s="4" t="s">
        <v>4998</v>
      </c>
      <c r="E293" s="4" t="s">
        <v>6171</v>
      </c>
      <c r="F293" s="7" t="n">
        <v>-18312.65</v>
      </c>
      <c r="G293" s="24" t="s">
        <v>5951</v>
      </c>
      <c r="H293" s="4" t="s">
        <v>4995</v>
      </c>
      <c r="I293" s="4"/>
    </row>
    <row r="294" customFormat="false" ht="15" hidden="false" customHeight="false" outlineLevel="0" collapsed="false">
      <c r="A294" s="4" t="s">
        <v>4018</v>
      </c>
      <c r="B294" s="23" t="n">
        <v>291</v>
      </c>
      <c r="C294" s="6" t="n">
        <v>46226</v>
      </c>
      <c r="D294" s="4" t="s">
        <v>4020</v>
      </c>
      <c r="E294" s="4" t="s">
        <v>6172</v>
      </c>
      <c r="F294" s="7" t="n">
        <v>-57791.65</v>
      </c>
      <c r="G294" s="24" t="s">
        <v>5951</v>
      </c>
      <c r="H294" s="4" t="s">
        <v>4017</v>
      </c>
      <c r="I294" s="4"/>
    </row>
    <row r="295" customFormat="false" ht="15" hidden="false" customHeight="false" outlineLevel="0" collapsed="false">
      <c r="A295" s="4" t="s">
        <v>5415</v>
      </c>
      <c r="B295" s="23" t="n">
        <v>292</v>
      </c>
      <c r="C295" s="6" t="n">
        <v>46226</v>
      </c>
      <c r="D295" s="4" t="s">
        <v>5417</v>
      </c>
      <c r="E295" s="4" t="s">
        <v>6173</v>
      </c>
      <c r="F295" s="7" t="n">
        <v>-15136.31</v>
      </c>
      <c r="G295" s="24" t="s">
        <v>5951</v>
      </c>
      <c r="H295" s="4" t="s">
        <v>5414</v>
      </c>
      <c r="I295" s="4"/>
    </row>
    <row r="296" customFormat="false" ht="15" hidden="false" customHeight="false" outlineLevel="0" collapsed="false">
      <c r="A296" s="4" t="s">
        <v>4023</v>
      </c>
      <c r="B296" s="23" t="n">
        <v>293</v>
      </c>
      <c r="C296" s="6" t="n">
        <v>46226</v>
      </c>
      <c r="D296" s="4" t="s">
        <v>4025</v>
      </c>
      <c r="E296" s="4" t="s">
        <v>6174</v>
      </c>
      <c r="F296" s="7" t="n">
        <v>-30222.04</v>
      </c>
      <c r="G296" s="24" t="s">
        <v>5951</v>
      </c>
      <c r="H296" s="4" t="s">
        <v>4022</v>
      </c>
      <c r="I296" s="4"/>
    </row>
    <row r="297" customFormat="false" ht="15" hidden="false" customHeight="false" outlineLevel="0" collapsed="false">
      <c r="A297" s="4" t="s">
        <v>5001</v>
      </c>
      <c r="B297" s="23" t="n">
        <v>294</v>
      </c>
      <c r="C297" s="6" t="n">
        <v>46226</v>
      </c>
      <c r="D297" s="4" t="s">
        <v>5003</v>
      </c>
      <c r="E297" s="4" t="s">
        <v>6175</v>
      </c>
      <c r="F297" s="7" t="n">
        <v>-40339.15</v>
      </c>
      <c r="G297" s="24" t="s">
        <v>5951</v>
      </c>
      <c r="H297" s="4" t="s">
        <v>5000</v>
      </c>
      <c r="I297" s="4"/>
    </row>
    <row r="298" customFormat="false" ht="15" hidden="false" customHeight="false" outlineLevel="0" collapsed="false">
      <c r="A298" s="4" t="s">
        <v>974</v>
      </c>
      <c r="B298" s="23" t="n">
        <v>295</v>
      </c>
      <c r="C298" s="6" t="n">
        <v>46226</v>
      </c>
      <c r="D298" s="4" t="s">
        <v>976</v>
      </c>
      <c r="E298" s="4" t="s">
        <v>6176</v>
      </c>
      <c r="F298" s="7" t="n">
        <v>-48122.69</v>
      </c>
      <c r="G298" s="24" t="s">
        <v>5951</v>
      </c>
      <c r="H298" s="4" t="s">
        <v>973</v>
      </c>
      <c r="I298" s="4"/>
    </row>
    <row r="299" customFormat="false" ht="15" hidden="false" customHeight="false" outlineLevel="0" collapsed="false">
      <c r="A299" s="4" t="s">
        <v>979</v>
      </c>
      <c r="B299" s="23" t="n">
        <v>296</v>
      </c>
      <c r="C299" s="6" t="n">
        <v>46226</v>
      </c>
      <c r="D299" s="4" t="s">
        <v>981</v>
      </c>
      <c r="E299" s="4" t="s">
        <v>6177</v>
      </c>
      <c r="F299" s="7" t="n">
        <v>-59698.35</v>
      </c>
      <c r="G299" s="24" t="s">
        <v>5951</v>
      </c>
      <c r="H299" s="4" t="s">
        <v>978</v>
      </c>
      <c r="I299" s="4"/>
    </row>
    <row r="300" customFormat="false" ht="15" hidden="false" customHeight="false" outlineLevel="0" collapsed="false">
      <c r="A300" s="4" t="s">
        <v>984</v>
      </c>
      <c r="B300" s="23" t="n">
        <v>297</v>
      </c>
      <c r="C300" s="6" t="n">
        <v>46227</v>
      </c>
      <c r="D300" s="4" t="s">
        <v>986</v>
      </c>
      <c r="E300" s="4" t="s">
        <v>6178</v>
      </c>
      <c r="F300" s="7" t="n">
        <v>27094.37</v>
      </c>
      <c r="G300" s="24" t="s">
        <v>5951</v>
      </c>
      <c r="H300" s="4" t="s">
        <v>983</v>
      </c>
      <c r="I300" s="4"/>
    </row>
    <row r="301" customFormat="false" ht="15" hidden="false" customHeight="false" outlineLevel="0" collapsed="false">
      <c r="A301" s="4" t="s">
        <v>2687</v>
      </c>
      <c r="B301" s="23" t="n">
        <v>298</v>
      </c>
      <c r="C301" s="6" t="n">
        <v>46227</v>
      </c>
      <c r="D301" s="4" t="s">
        <v>2689</v>
      </c>
      <c r="E301" s="4" t="s">
        <v>6179</v>
      </c>
      <c r="F301" s="7" t="n">
        <v>49008.15</v>
      </c>
      <c r="G301" s="24" t="s">
        <v>5951</v>
      </c>
      <c r="H301" s="4" t="s">
        <v>2686</v>
      </c>
      <c r="I301" s="4"/>
    </row>
    <row r="302" customFormat="false" ht="15" hidden="false" customHeight="false" outlineLevel="0" collapsed="false">
      <c r="A302" s="4" t="s">
        <v>989</v>
      </c>
      <c r="B302" s="23" t="n">
        <v>299</v>
      </c>
      <c r="C302" s="6" t="n">
        <v>46227</v>
      </c>
      <c r="D302" s="4" t="s">
        <v>991</v>
      </c>
      <c r="E302" s="4" t="s">
        <v>6180</v>
      </c>
      <c r="F302" s="7" t="n">
        <v>48610.36</v>
      </c>
      <c r="G302" s="24" t="s">
        <v>5951</v>
      </c>
      <c r="H302" s="4" t="s">
        <v>988</v>
      </c>
      <c r="I302" s="4"/>
    </row>
    <row r="303" customFormat="false" ht="15" hidden="false" customHeight="false" outlineLevel="0" collapsed="false">
      <c r="A303" s="4" t="s">
        <v>994</v>
      </c>
      <c r="B303" s="23" t="n">
        <v>300</v>
      </c>
      <c r="C303" s="6" t="n">
        <v>46227</v>
      </c>
      <c r="D303" s="4" t="s">
        <v>996</v>
      </c>
      <c r="E303" s="4"/>
      <c r="F303" s="7" t="n">
        <v>5320.72</v>
      </c>
      <c r="G303" s="24" t="s">
        <v>5951</v>
      </c>
      <c r="H303" s="4" t="s">
        <v>993</v>
      </c>
      <c r="I303" s="4"/>
    </row>
    <row r="304" customFormat="false" ht="15" hidden="false" customHeight="false" outlineLevel="0" collapsed="false">
      <c r="A304" s="4" t="s">
        <v>4028</v>
      </c>
      <c r="B304" s="23" t="n">
        <v>301</v>
      </c>
      <c r="C304" s="6" t="n">
        <v>46227</v>
      </c>
      <c r="D304" s="4" t="s">
        <v>4030</v>
      </c>
      <c r="E304" s="4" t="s">
        <v>6181</v>
      </c>
      <c r="F304" s="7" t="n">
        <v>75834.04</v>
      </c>
      <c r="G304" s="24" t="s">
        <v>5951</v>
      </c>
      <c r="H304" s="4" t="s">
        <v>4027</v>
      </c>
      <c r="I304" s="4"/>
    </row>
    <row r="305" customFormat="false" ht="15" hidden="false" customHeight="false" outlineLevel="0" collapsed="false">
      <c r="A305" s="4" t="s">
        <v>999</v>
      </c>
      <c r="B305" s="23" t="n">
        <v>302</v>
      </c>
      <c r="C305" s="6" t="n">
        <v>46227</v>
      </c>
      <c r="D305" s="4" t="s">
        <v>1001</v>
      </c>
      <c r="E305" s="4"/>
      <c r="F305" s="7" t="n">
        <v>23580.31</v>
      </c>
      <c r="G305" s="24" t="s">
        <v>5951</v>
      </c>
      <c r="H305" s="4" t="s">
        <v>998</v>
      </c>
      <c r="I305" s="4"/>
    </row>
    <row r="306" customFormat="false" ht="15" hidden="false" customHeight="false" outlineLevel="0" collapsed="false">
      <c r="A306" s="4" t="s">
        <v>2692</v>
      </c>
      <c r="B306" s="23" t="n">
        <v>303</v>
      </c>
      <c r="C306" s="6" t="n">
        <v>46227</v>
      </c>
      <c r="D306" s="4" t="s">
        <v>2694</v>
      </c>
      <c r="E306" s="4" t="s">
        <v>6182</v>
      </c>
      <c r="F306" s="7" t="n">
        <v>-5619.2</v>
      </c>
      <c r="G306" s="24" t="s">
        <v>5951</v>
      </c>
      <c r="H306" s="4" t="s">
        <v>2691</v>
      </c>
      <c r="I306" s="4"/>
    </row>
    <row r="307" customFormat="false" ht="15" hidden="false" customHeight="false" outlineLevel="0" collapsed="false">
      <c r="A307" s="4" t="s">
        <v>4651</v>
      </c>
      <c r="B307" s="23" t="n">
        <v>304</v>
      </c>
      <c r="C307" s="6" t="n">
        <v>46227</v>
      </c>
      <c r="D307" s="4" t="s">
        <v>4653</v>
      </c>
      <c r="E307" s="4" t="s">
        <v>6183</v>
      </c>
      <c r="F307" s="7" t="n">
        <v>-2879.91</v>
      </c>
      <c r="G307" s="24" t="s">
        <v>5951</v>
      </c>
      <c r="H307" s="4" t="s">
        <v>4650</v>
      </c>
      <c r="I307" s="4"/>
    </row>
    <row r="308" customFormat="false" ht="15" hidden="false" customHeight="false" outlineLevel="0" collapsed="false">
      <c r="A308" s="4" t="s">
        <v>4033</v>
      </c>
      <c r="B308" s="23" t="n">
        <v>305</v>
      </c>
      <c r="C308" s="6" t="n">
        <v>46227</v>
      </c>
      <c r="D308" s="4" t="s">
        <v>4035</v>
      </c>
      <c r="E308" s="4" t="s">
        <v>6184</v>
      </c>
      <c r="F308" s="7" t="n">
        <v>-57834.6</v>
      </c>
      <c r="G308" s="24" t="s">
        <v>5951</v>
      </c>
      <c r="H308" s="4" t="s">
        <v>4032</v>
      </c>
      <c r="I308" s="4"/>
    </row>
    <row r="309" customFormat="false" ht="15" hidden="false" customHeight="false" outlineLevel="0" collapsed="false">
      <c r="A309" s="4" t="s">
        <v>5420</v>
      </c>
      <c r="B309" s="23" t="n">
        <v>306</v>
      </c>
      <c r="C309" s="6" t="n">
        <v>46227</v>
      </c>
      <c r="D309" s="4" t="s">
        <v>5422</v>
      </c>
      <c r="E309" s="4" t="s">
        <v>6185</v>
      </c>
      <c r="F309" s="7" t="n">
        <v>-14663.25</v>
      </c>
      <c r="G309" s="24" t="s">
        <v>5951</v>
      </c>
      <c r="H309" s="4" t="s">
        <v>5419</v>
      </c>
      <c r="I309" s="4"/>
    </row>
    <row r="310" customFormat="false" ht="15" hidden="false" customHeight="false" outlineLevel="0" collapsed="false">
      <c r="A310" s="4" t="s">
        <v>5006</v>
      </c>
      <c r="B310" s="23" t="n">
        <v>307</v>
      </c>
      <c r="C310" s="6" t="n">
        <v>46227</v>
      </c>
      <c r="D310" s="4" t="s">
        <v>5008</v>
      </c>
      <c r="E310" s="4" t="s">
        <v>6186</v>
      </c>
      <c r="F310" s="7" t="n">
        <v>-54740.62</v>
      </c>
      <c r="G310" s="24" t="s">
        <v>5951</v>
      </c>
      <c r="H310" s="4" t="s">
        <v>5005</v>
      </c>
      <c r="I310" s="4"/>
    </row>
    <row r="311" customFormat="false" ht="15" hidden="false" customHeight="false" outlineLevel="0" collapsed="false">
      <c r="A311" s="4" t="s">
        <v>5425</v>
      </c>
      <c r="B311" s="23" t="n">
        <v>308</v>
      </c>
      <c r="C311" s="6" t="n">
        <v>46227</v>
      </c>
      <c r="D311" s="4" t="s">
        <v>5427</v>
      </c>
      <c r="E311" s="4" t="s">
        <v>6187</v>
      </c>
      <c r="F311" s="7" t="n">
        <v>-52959.94</v>
      </c>
      <c r="G311" s="24" t="s">
        <v>5951</v>
      </c>
      <c r="H311" s="4" t="s">
        <v>5424</v>
      </c>
      <c r="I311" s="4"/>
    </row>
    <row r="312" customFormat="false" ht="15" hidden="false" customHeight="false" outlineLevel="0" collapsed="false">
      <c r="A312" s="4" t="s">
        <v>5775</v>
      </c>
      <c r="B312" s="23" t="n">
        <v>309</v>
      </c>
      <c r="C312" s="6" t="n">
        <v>46227</v>
      </c>
      <c r="D312" s="4" t="s">
        <v>5777</v>
      </c>
      <c r="E312" s="4"/>
      <c r="F312" s="7" t="n">
        <v>-3427.02</v>
      </c>
      <c r="G312" s="24" t="s">
        <v>5951</v>
      </c>
      <c r="H312" s="4" t="s">
        <v>5773</v>
      </c>
      <c r="I312" s="4"/>
    </row>
    <row r="313" customFormat="false" ht="15" hidden="false" customHeight="false" outlineLevel="0" collapsed="false">
      <c r="A313" s="4" t="s">
        <v>499</v>
      </c>
      <c r="B313" s="23" t="n">
        <v>310</v>
      </c>
      <c r="C313" s="6" t="n">
        <v>46227</v>
      </c>
      <c r="D313" s="4" t="s">
        <v>5872</v>
      </c>
      <c r="E313" s="4" t="s">
        <v>501</v>
      </c>
      <c r="F313" s="7" t="n">
        <v>12701.31</v>
      </c>
      <c r="G313" s="25" t="s">
        <v>5987</v>
      </c>
      <c r="H313" s="4" t="s">
        <v>5871</v>
      </c>
      <c r="I313" s="4" t="s">
        <v>498</v>
      </c>
    </row>
    <row r="314" customFormat="false" ht="15" hidden="false" customHeight="false" outlineLevel="0" collapsed="false">
      <c r="A314" s="4" t="s">
        <v>313</v>
      </c>
      <c r="B314" s="23" t="n">
        <v>311</v>
      </c>
      <c r="C314" s="6" t="n">
        <v>46227</v>
      </c>
      <c r="D314" s="4" t="s">
        <v>5908</v>
      </c>
      <c r="E314" s="4" t="s">
        <v>315</v>
      </c>
      <c r="F314" s="7" t="n">
        <v>-4275.64</v>
      </c>
      <c r="G314" s="25" t="s">
        <v>5987</v>
      </c>
      <c r="H314" s="4" t="s">
        <v>5907</v>
      </c>
      <c r="I314" s="4" t="s">
        <v>312</v>
      </c>
    </row>
    <row r="315" customFormat="false" ht="15" hidden="false" customHeight="false" outlineLevel="0" collapsed="false">
      <c r="A315" s="4" t="s">
        <v>2697</v>
      </c>
      <c r="B315" s="23" t="n">
        <v>312</v>
      </c>
      <c r="C315" s="6" t="n">
        <v>46228</v>
      </c>
      <c r="D315" s="4" t="s">
        <v>2699</v>
      </c>
      <c r="E315" s="4" t="s">
        <v>6188</v>
      </c>
      <c r="F315" s="7" t="n">
        <v>79460.61</v>
      </c>
      <c r="G315" s="24" t="s">
        <v>5951</v>
      </c>
      <c r="H315" s="4" t="s">
        <v>2696</v>
      </c>
      <c r="I315" s="4"/>
    </row>
    <row r="316" customFormat="false" ht="15" hidden="false" customHeight="false" outlineLevel="0" collapsed="false">
      <c r="A316" s="4" t="s">
        <v>1004</v>
      </c>
      <c r="B316" s="23" t="n">
        <v>313</v>
      </c>
      <c r="C316" s="6" t="n">
        <v>46228</v>
      </c>
      <c r="D316" s="4" t="s">
        <v>1006</v>
      </c>
      <c r="E316" s="4" t="s">
        <v>6189</v>
      </c>
      <c r="F316" s="7" t="n">
        <v>75532.73</v>
      </c>
      <c r="G316" s="24" t="s">
        <v>5951</v>
      </c>
      <c r="H316" s="4" t="s">
        <v>1003</v>
      </c>
      <c r="I316" s="4"/>
    </row>
    <row r="317" customFormat="false" ht="15" hidden="false" customHeight="false" outlineLevel="0" collapsed="false">
      <c r="A317" s="4" t="s">
        <v>2702</v>
      </c>
      <c r="B317" s="23" t="n">
        <v>314</v>
      </c>
      <c r="C317" s="6" t="n">
        <v>46228</v>
      </c>
      <c r="D317" s="4" t="s">
        <v>2704</v>
      </c>
      <c r="E317" s="4" t="s">
        <v>6190</v>
      </c>
      <c r="F317" s="7" t="n">
        <v>28016.68</v>
      </c>
      <c r="G317" s="24" t="s">
        <v>5951</v>
      </c>
      <c r="H317" s="4" t="s">
        <v>2701</v>
      </c>
      <c r="I317" s="4"/>
    </row>
    <row r="318" customFormat="false" ht="15" hidden="false" customHeight="false" outlineLevel="0" collapsed="false">
      <c r="A318" s="4" t="s">
        <v>1009</v>
      </c>
      <c r="B318" s="23" t="n">
        <v>315</v>
      </c>
      <c r="C318" s="6" t="n">
        <v>46228</v>
      </c>
      <c r="D318" s="4" t="s">
        <v>1011</v>
      </c>
      <c r="E318" s="4" t="s">
        <v>6191</v>
      </c>
      <c r="F318" s="7" t="n">
        <v>31677.85</v>
      </c>
      <c r="G318" s="24" t="s">
        <v>5951</v>
      </c>
      <c r="H318" s="4" t="s">
        <v>1008</v>
      </c>
      <c r="I318" s="4"/>
    </row>
    <row r="319" customFormat="false" ht="15" hidden="false" customHeight="false" outlineLevel="0" collapsed="false">
      <c r="A319" s="4" t="s">
        <v>1014</v>
      </c>
      <c r="B319" s="23" t="n">
        <v>316</v>
      </c>
      <c r="C319" s="6" t="n">
        <v>46228</v>
      </c>
      <c r="D319" s="4" t="s">
        <v>1016</v>
      </c>
      <c r="E319" s="4" t="s">
        <v>6192</v>
      </c>
      <c r="F319" s="7" t="n">
        <v>78039.78</v>
      </c>
      <c r="G319" s="24" t="s">
        <v>5951</v>
      </c>
      <c r="H319" s="4" t="s">
        <v>1013</v>
      </c>
      <c r="I319" s="4"/>
    </row>
    <row r="320" customFormat="false" ht="15" hidden="false" customHeight="false" outlineLevel="0" collapsed="false">
      <c r="A320" s="4" t="s">
        <v>2707</v>
      </c>
      <c r="B320" s="23" t="n">
        <v>317</v>
      </c>
      <c r="C320" s="6" t="n">
        <v>46228</v>
      </c>
      <c r="D320" s="4" t="s">
        <v>2709</v>
      </c>
      <c r="E320" s="4" t="s">
        <v>6193</v>
      </c>
      <c r="F320" s="7" t="n">
        <v>48216.54</v>
      </c>
      <c r="G320" s="24" t="s">
        <v>5951</v>
      </c>
      <c r="H320" s="4" t="s">
        <v>2706</v>
      </c>
      <c r="I320" s="4"/>
    </row>
    <row r="321" customFormat="false" ht="15" hidden="false" customHeight="false" outlineLevel="0" collapsed="false">
      <c r="A321" s="4" t="s">
        <v>2712</v>
      </c>
      <c r="B321" s="23" t="n">
        <v>318</v>
      </c>
      <c r="C321" s="6" t="n">
        <v>46228</v>
      </c>
      <c r="D321" s="4" t="s">
        <v>2714</v>
      </c>
      <c r="E321" s="4"/>
      <c r="F321" s="7" t="n">
        <v>82345.45</v>
      </c>
      <c r="G321" s="24" t="s">
        <v>5951</v>
      </c>
      <c r="H321" s="4" t="s">
        <v>2711</v>
      </c>
      <c r="I321" s="4"/>
    </row>
    <row r="322" customFormat="false" ht="15" hidden="false" customHeight="false" outlineLevel="0" collapsed="false">
      <c r="A322" s="4" t="s">
        <v>4038</v>
      </c>
      <c r="B322" s="23" t="n">
        <v>319</v>
      </c>
      <c r="C322" s="6" t="n">
        <v>46228</v>
      </c>
      <c r="D322" s="4" t="s">
        <v>4040</v>
      </c>
      <c r="E322" s="4" t="s">
        <v>6194</v>
      </c>
      <c r="F322" s="7" t="n">
        <v>-55883.98</v>
      </c>
      <c r="G322" s="24" t="s">
        <v>5951</v>
      </c>
      <c r="H322" s="4" t="s">
        <v>4037</v>
      </c>
      <c r="I322" s="4"/>
    </row>
    <row r="323" customFormat="false" ht="15" hidden="false" customHeight="false" outlineLevel="0" collapsed="false">
      <c r="A323" s="4" t="s">
        <v>1019</v>
      </c>
      <c r="B323" s="23" t="n">
        <v>320</v>
      </c>
      <c r="C323" s="6" t="n">
        <v>46228</v>
      </c>
      <c r="D323" s="4" t="s">
        <v>1021</v>
      </c>
      <c r="E323" s="4" t="s">
        <v>6195</v>
      </c>
      <c r="F323" s="7" t="n">
        <v>-45627.98</v>
      </c>
      <c r="G323" s="24" t="s">
        <v>5951</v>
      </c>
      <c r="H323" s="4" t="s">
        <v>1018</v>
      </c>
      <c r="I323" s="4"/>
    </row>
    <row r="324" customFormat="false" ht="15" hidden="false" customHeight="false" outlineLevel="0" collapsed="false">
      <c r="A324" s="4" t="s">
        <v>4043</v>
      </c>
      <c r="B324" s="23" t="n">
        <v>321</v>
      </c>
      <c r="C324" s="6" t="n">
        <v>46228</v>
      </c>
      <c r="D324" s="4" t="s">
        <v>4045</v>
      </c>
      <c r="E324" s="4" t="s">
        <v>6196</v>
      </c>
      <c r="F324" s="7" t="n">
        <v>-19495.81</v>
      </c>
      <c r="G324" s="24" t="s">
        <v>5951</v>
      </c>
      <c r="H324" s="4" t="s">
        <v>4042</v>
      </c>
      <c r="I324" s="4"/>
    </row>
    <row r="325" customFormat="false" ht="15" hidden="false" customHeight="false" outlineLevel="0" collapsed="false">
      <c r="A325" s="4" t="s">
        <v>5011</v>
      </c>
      <c r="B325" s="23" t="n">
        <v>322</v>
      </c>
      <c r="C325" s="6" t="n">
        <v>46228</v>
      </c>
      <c r="D325" s="4" t="s">
        <v>5013</v>
      </c>
      <c r="E325" s="4" t="s">
        <v>6197</v>
      </c>
      <c r="F325" s="7" t="n">
        <v>-54220.02</v>
      </c>
      <c r="G325" s="24" t="s">
        <v>5951</v>
      </c>
      <c r="H325" s="4" t="s">
        <v>5010</v>
      </c>
      <c r="I325" s="4"/>
    </row>
    <row r="326" customFormat="false" ht="15" hidden="false" customHeight="false" outlineLevel="0" collapsed="false">
      <c r="A326" s="4" t="s">
        <v>5429</v>
      </c>
      <c r="B326" s="23" t="n">
        <v>323</v>
      </c>
      <c r="C326" s="6" t="n">
        <v>46228</v>
      </c>
      <c r="D326" s="4" t="s">
        <v>5431</v>
      </c>
      <c r="E326" s="4" t="s">
        <v>6198</v>
      </c>
      <c r="F326" s="7" t="n">
        <v>-7820.52</v>
      </c>
      <c r="G326" s="24" t="s">
        <v>5951</v>
      </c>
      <c r="H326" s="4" t="s">
        <v>5428</v>
      </c>
      <c r="I326" s="4"/>
    </row>
    <row r="327" customFormat="false" ht="15" hidden="false" customHeight="false" outlineLevel="0" collapsed="false">
      <c r="A327" s="4" t="s">
        <v>2717</v>
      </c>
      <c r="B327" s="23" t="n">
        <v>324</v>
      </c>
      <c r="C327" s="6" t="n">
        <v>46229</v>
      </c>
      <c r="D327" s="4" t="s">
        <v>2719</v>
      </c>
      <c r="E327" s="4"/>
      <c r="F327" s="7" t="n">
        <v>55550.8</v>
      </c>
      <c r="G327" s="24" t="s">
        <v>5951</v>
      </c>
      <c r="H327" s="4" t="s">
        <v>2716</v>
      </c>
      <c r="I327" s="4"/>
    </row>
    <row r="328" customFormat="false" ht="15" hidden="false" customHeight="false" outlineLevel="0" collapsed="false">
      <c r="A328" s="4" t="s">
        <v>1023</v>
      </c>
      <c r="B328" s="23" t="n">
        <v>325</v>
      </c>
      <c r="C328" s="6" t="n">
        <v>46229</v>
      </c>
      <c r="D328" s="4" t="s">
        <v>1025</v>
      </c>
      <c r="E328" s="4" t="s">
        <v>6199</v>
      </c>
      <c r="F328" s="7" t="n">
        <v>49254.29</v>
      </c>
      <c r="G328" s="24" t="s">
        <v>5951</v>
      </c>
      <c r="H328" s="4" t="s">
        <v>1022</v>
      </c>
      <c r="I328" s="4"/>
    </row>
    <row r="329" customFormat="false" ht="15" hidden="false" customHeight="false" outlineLevel="0" collapsed="false">
      <c r="A329" s="4" t="s">
        <v>2722</v>
      </c>
      <c r="B329" s="23" t="n">
        <v>326</v>
      </c>
      <c r="C329" s="6" t="n">
        <v>46229</v>
      </c>
      <c r="D329" s="4" t="s">
        <v>2724</v>
      </c>
      <c r="E329" s="4"/>
      <c r="F329" s="7" t="n">
        <v>86496.28</v>
      </c>
      <c r="G329" s="24" t="s">
        <v>5951</v>
      </c>
      <c r="H329" s="4" t="s">
        <v>2721</v>
      </c>
      <c r="I329" s="4"/>
    </row>
    <row r="330" customFormat="false" ht="15" hidden="false" customHeight="false" outlineLevel="0" collapsed="false">
      <c r="A330" s="4" t="s">
        <v>1028</v>
      </c>
      <c r="B330" s="23" t="n">
        <v>327</v>
      </c>
      <c r="C330" s="6" t="n">
        <v>46229</v>
      </c>
      <c r="D330" s="4" t="s">
        <v>1030</v>
      </c>
      <c r="E330" s="4" t="s">
        <v>6200</v>
      </c>
      <c r="F330" s="7" t="n">
        <v>63425.59</v>
      </c>
      <c r="G330" s="24" t="s">
        <v>5951</v>
      </c>
      <c r="H330" s="4" t="s">
        <v>1027</v>
      </c>
      <c r="I330" s="4"/>
    </row>
    <row r="331" customFormat="false" ht="15" hidden="false" customHeight="false" outlineLevel="0" collapsed="false">
      <c r="A331" s="4" t="s">
        <v>1033</v>
      </c>
      <c r="B331" s="23" t="n">
        <v>328</v>
      </c>
      <c r="C331" s="6" t="n">
        <v>46229</v>
      </c>
      <c r="D331" s="4" t="s">
        <v>1035</v>
      </c>
      <c r="E331" s="4"/>
      <c r="F331" s="7" t="n">
        <v>49567.52</v>
      </c>
      <c r="G331" s="24" t="s">
        <v>5951</v>
      </c>
      <c r="H331" s="4" t="s">
        <v>1032</v>
      </c>
      <c r="I331" s="4"/>
    </row>
    <row r="332" customFormat="false" ht="15" hidden="false" customHeight="false" outlineLevel="0" collapsed="false">
      <c r="A332" s="4" t="s">
        <v>4048</v>
      </c>
      <c r="B332" s="23" t="n">
        <v>329</v>
      </c>
      <c r="C332" s="6" t="n">
        <v>46229</v>
      </c>
      <c r="D332" s="4" t="s">
        <v>4050</v>
      </c>
      <c r="E332" s="4" t="s">
        <v>6201</v>
      </c>
      <c r="F332" s="7" t="n">
        <v>27495.88</v>
      </c>
      <c r="G332" s="24" t="s">
        <v>5951</v>
      </c>
      <c r="H332" s="4" t="s">
        <v>4047</v>
      </c>
      <c r="I332" s="4"/>
    </row>
    <row r="333" customFormat="false" ht="15" hidden="false" customHeight="false" outlineLevel="0" collapsed="false">
      <c r="A333" s="4" t="s">
        <v>2727</v>
      </c>
      <c r="B333" s="23" t="n">
        <v>330</v>
      </c>
      <c r="C333" s="6" t="n">
        <v>46229</v>
      </c>
      <c r="D333" s="4" t="s">
        <v>2729</v>
      </c>
      <c r="E333" s="4"/>
      <c r="F333" s="7" t="n">
        <v>67304.99</v>
      </c>
      <c r="G333" s="24" t="s">
        <v>5951</v>
      </c>
      <c r="H333" s="4" t="s">
        <v>2726</v>
      </c>
      <c r="I333" s="4"/>
    </row>
    <row r="334" customFormat="false" ht="15" hidden="false" customHeight="false" outlineLevel="0" collapsed="false">
      <c r="A334" s="4" t="s">
        <v>5434</v>
      </c>
      <c r="B334" s="23" t="n">
        <v>331</v>
      </c>
      <c r="C334" s="6" t="n">
        <v>46229</v>
      </c>
      <c r="D334" s="4" t="s">
        <v>5436</v>
      </c>
      <c r="E334" s="4" t="s">
        <v>6202</v>
      </c>
      <c r="F334" s="7" t="n">
        <v>-10884.58</v>
      </c>
      <c r="G334" s="24" t="s">
        <v>5951</v>
      </c>
      <c r="H334" s="4" t="s">
        <v>5433</v>
      </c>
      <c r="I334" s="4"/>
    </row>
    <row r="335" customFormat="false" ht="15" hidden="false" customHeight="false" outlineLevel="0" collapsed="false">
      <c r="A335" s="4" t="s">
        <v>5016</v>
      </c>
      <c r="B335" s="23" t="n">
        <v>332</v>
      </c>
      <c r="C335" s="6" t="n">
        <v>46229</v>
      </c>
      <c r="D335" s="4" t="s">
        <v>5018</v>
      </c>
      <c r="E335" s="4" t="s">
        <v>6203</v>
      </c>
      <c r="F335" s="7" t="n">
        <v>-46454.69</v>
      </c>
      <c r="G335" s="24" t="s">
        <v>5951</v>
      </c>
      <c r="H335" s="4" t="s">
        <v>5015</v>
      </c>
      <c r="I335" s="4"/>
    </row>
    <row r="336" customFormat="false" ht="15" hidden="false" customHeight="false" outlineLevel="0" collapsed="false">
      <c r="A336" s="4" t="s">
        <v>87</v>
      </c>
      <c r="B336" s="23" t="n">
        <v>333</v>
      </c>
      <c r="C336" s="6" t="n">
        <v>46229</v>
      </c>
      <c r="D336" s="4" t="s">
        <v>88</v>
      </c>
      <c r="E336" s="4"/>
      <c r="F336" s="7" t="n">
        <v>12055.87</v>
      </c>
      <c r="G336" s="26" t="s">
        <v>6043</v>
      </c>
      <c r="H336" s="4"/>
      <c r="I336" s="4" t="s">
        <v>86</v>
      </c>
    </row>
    <row r="337" customFormat="false" ht="15" hidden="false" customHeight="false" outlineLevel="0" collapsed="false">
      <c r="A337" s="4" t="s">
        <v>391</v>
      </c>
      <c r="B337" s="23" t="n">
        <v>334</v>
      </c>
      <c r="C337" s="6" t="n">
        <v>46229</v>
      </c>
      <c r="D337" s="4" t="s">
        <v>5937</v>
      </c>
      <c r="E337" s="4"/>
      <c r="F337" s="7" t="n">
        <v>18401.02</v>
      </c>
      <c r="G337" s="25" t="s">
        <v>5987</v>
      </c>
      <c r="H337" s="4" t="s">
        <v>5936</v>
      </c>
      <c r="I337" s="4" t="s">
        <v>390</v>
      </c>
    </row>
    <row r="338" customFormat="false" ht="15" hidden="false" customHeight="false" outlineLevel="0" collapsed="false">
      <c r="A338" s="4" t="s">
        <v>4053</v>
      </c>
      <c r="B338" s="23" t="n">
        <v>335</v>
      </c>
      <c r="C338" s="6" t="n">
        <v>46230</v>
      </c>
      <c r="D338" s="4" t="s">
        <v>4055</v>
      </c>
      <c r="E338" s="4" t="s">
        <v>6204</v>
      </c>
      <c r="F338" s="7" t="n">
        <v>46446.09</v>
      </c>
      <c r="G338" s="24" t="s">
        <v>5951</v>
      </c>
      <c r="H338" s="4" t="s">
        <v>4052</v>
      </c>
      <c r="I338" s="4"/>
    </row>
    <row r="339" customFormat="false" ht="15" hidden="false" customHeight="false" outlineLevel="0" collapsed="false">
      <c r="A339" s="4" t="s">
        <v>1038</v>
      </c>
      <c r="B339" s="23" t="n">
        <v>336</v>
      </c>
      <c r="C339" s="6" t="n">
        <v>46230</v>
      </c>
      <c r="D339" s="4" t="s">
        <v>1040</v>
      </c>
      <c r="E339" s="4" t="s">
        <v>6205</v>
      </c>
      <c r="F339" s="7" t="n">
        <v>38590.05</v>
      </c>
      <c r="G339" s="24" t="s">
        <v>5951</v>
      </c>
      <c r="H339" s="4" t="s">
        <v>1037</v>
      </c>
      <c r="I339" s="4"/>
    </row>
    <row r="340" customFormat="false" ht="15" hidden="false" customHeight="false" outlineLevel="0" collapsed="false">
      <c r="A340" s="4" t="s">
        <v>1043</v>
      </c>
      <c r="B340" s="23" t="n">
        <v>337</v>
      </c>
      <c r="C340" s="6" t="n">
        <v>46230</v>
      </c>
      <c r="D340" s="4" t="s">
        <v>1045</v>
      </c>
      <c r="E340" s="4" t="s">
        <v>6206</v>
      </c>
      <c r="F340" s="7" t="n">
        <v>31722.01</v>
      </c>
      <c r="G340" s="24" t="s">
        <v>5951</v>
      </c>
      <c r="H340" s="4" t="s">
        <v>1042</v>
      </c>
      <c r="I340" s="4"/>
    </row>
    <row r="341" customFormat="false" ht="15" hidden="false" customHeight="false" outlineLevel="0" collapsed="false">
      <c r="A341" s="4" t="s">
        <v>2732</v>
      </c>
      <c r="B341" s="23" t="n">
        <v>338</v>
      </c>
      <c r="C341" s="6" t="n">
        <v>46230</v>
      </c>
      <c r="D341" s="4" t="s">
        <v>2734</v>
      </c>
      <c r="E341" s="4"/>
      <c r="F341" s="7" t="n">
        <v>75877.32</v>
      </c>
      <c r="G341" s="24" t="s">
        <v>5951</v>
      </c>
      <c r="H341" s="4" t="s">
        <v>2731</v>
      </c>
      <c r="I341" s="4"/>
    </row>
    <row r="342" customFormat="false" ht="15" hidden="false" customHeight="false" outlineLevel="0" collapsed="false">
      <c r="A342" s="4" t="s">
        <v>2737</v>
      </c>
      <c r="B342" s="23" t="n">
        <v>339</v>
      </c>
      <c r="C342" s="6" t="n">
        <v>46230</v>
      </c>
      <c r="D342" s="4" t="s">
        <v>2739</v>
      </c>
      <c r="E342" s="4"/>
      <c r="F342" s="7" t="n">
        <v>59555.08</v>
      </c>
      <c r="G342" s="24" t="s">
        <v>5951</v>
      </c>
      <c r="H342" s="4" t="s">
        <v>2736</v>
      </c>
      <c r="I342" s="4"/>
    </row>
    <row r="343" customFormat="false" ht="15" hidden="false" customHeight="false" outlineLevel="0" collapsed="false">
      <c r="A343" s="4" t="s">
        <v>2742</v>
      </c>
      <c r="B343" s="23" t="n">
        <v>340</v>
      </c>
      <c r="C343" s="6" t="n">
        <v>46230</v>
      </c>
      <c r="D343" s="4" t="s">
        <v>2744</v>
      </c>
      <c r="E343" s="4" t="s">
        <v>6207</v>
      </c>
      <c r="F343" s="7" t="n">
        <v>3119.51</v>
      </c>
      <c r="G343" s="24" t="s">
        <v>5951</v>
      </c>
      <c r="H343" s="4" t="s">
        <v>2741</v>
      </c>
      <c r="I343" s="4"/>
    </row>
    <row r="344" customFormat="false" ht="15" hidden="false" customHeight="false" outlineLevel="0" collapsed="false">
      <c r="A344" s="4" t="s">
        <v>2747</v>
      </c>
      <c r="B344" s="23" t="n">
        <v>341</v>
      </c>
      <c r="C344" s="6" t="n">
        <v>46230</v>
      </c>
      <c r="D344" s="4" t="s">
        <v>2749</v>
      </c>
      <c r="E344" s="4" t="s">
        <v>6208</v>
      </c>
      <c r="F344" s="7" t="n">
        <v>80169.88</v>
      </c>
      <c r="G344" s="24" t="s">
        <v>5951</v>
      </c>
      <c r="H344" s="4" t="s">
        <v>2746</v>
      </c>
      <c r="I344" s="4"/>
    </row>
    <row r="345" customFormat="false" ht="15" hidden="false" customHeight="false" outlineLevel="0" collapsed="false">
      <c r="A345" s="4" t="s">
        <v>4058</v>
      </c>
      <c r="B345" s="23" t="n">
        <v>342</v>
      </c>
      <c r="C345" s="6" t="n">
        <v>46230</v>
      </c>
      <c r="D345" s="4" t="s">
        <v>4060</v>
      </c>
      <c r="E345" s="4" t="s">
        <v>6209</v>
      </c>
      <c r="F345" s="7" t="n">
        <v>60816.91</v>
      </c>
      <c r="G345" s="24" t="s">
        <v>5951</v>
      </c>
      <c r="H345" s="4" t="s">
        <v>4057</v>
      </c>
      <c r="I345" s="4"/>
    </row>
    <row r="346" customFormat="false" ht="15" hidden="false" customHeight="false" outlineLevel="0" collapsed="false">
      <c r="A346" s="4" t="s">
        <v>5439</v>
      </c>
      <c r="B346" s="23" t="n">
        <v>343</v>
      </c>
      <c r="C346" s="6" t="n">
        <v>46230</v>
      </c>
      <c r="D346" s="4" t="s">
        <v>5441</v>
      </c>
      <c r="E346" s="4" t="s">
        <v>6210</v>
      </c>
      <c r="F346" s="7" t="n">
        <v>-45750.76</v>
      </c>
      <c r="G346" s="24" t="s">
        <v>5951</v>
      </c>
      <c r="H346" s="4" t="s">
        <v>5438</v>
      </c>
      <c r="I346" s="4"/>
    </row>
    <row r="347" customFormat="false" ht="15" hidden="false" customHeight="false" outlineLevel="0" collapsed="false">
      <c r="A347" s="4" t="s">
        <v>1048</v>
      </c>
      <c r="B347" s="23" t="n">
        <v>344</v>
      </c>
      <c r="C347" s="6" t="n">
        <v>46230</v>
      </c>
      <c r="D347" s="4" t="s">
        <v>1050</v>
      </c>
      <c r="E347" s="4" t="s">
        <v>6211</v>
      </c>
      <c r="F347" s="7" t="n">
        <v>-21948.61</v>
      </c>
      <c r="G347" s="24" t="s">
        <v>5951</v>
      </c>
      <c r="H347" s="4" t="s">
        <v>1047</v>
      </c>
      <c r="I347" s="4"/>
    </row>
    <row r="348" customFormat="false" ht="15" hidden="false" customHeight="false" outlineLevel="0" collapsed="false">
      <c r="A348" s="4" t="s">
        <v>2752</v>
      </c>
      <c r="B348" s="23" t="n">
        <v>345</v>
      </c>
      <c r="C348" s="6" t="n">
        <v>46230</v>
      </c>
      <c r="D348" s="4" t="s">
        <v>2754</v>
      </c>
      <c r="E348" s="4" t="s">
        <v>6212</v>
      </c>
      <c r="F348" s="7" t="n">
        <v>-39061.59</v>
      </c>
      <c r="G348" s="24" t="s">
        <v>5951</v>
      </c>
      <c r="H348" s="4" t="s">
        <v>2751</v>
      </c>
      <c r="I348" s="4"/>
    </row>
    <row r="349" customFormat="false" ht="15" hidden="false" customHeight="false" outlineLevel="0" collapsed="false">
      <c r="A349" s="4" t="s">
        <v>5021</v>
      </c>
      <c r="B349" s="23" t="n">
        <v>346</v>
      </c>
      <c r="C349" s="6" t="n">
        <v>46230</v>
      </c>
      <c r="D349" s="4" t="s">
        <v>5023</v>
      </c>
      <c r="E349" s="4" t="s">
        <v>6213</v>
      </c>
      <c r="F349" s="7" t="n">
        <v>-28961.23</v>
      </c>
      <c r="G349" s="24" t="s">
        <v>5951</v>
      </c>
      <c r="H349" s="4" t="s">
        <v>5020</v>
      </c>
      <c r="I349" s="4"/>
    </row>
    <row r="350" customFormat="false" ht="15" hidden="false" customHeight="false" outlineLevel="0" collapsed="false">
      <c r="A350" s="4" t="s">
        <v>2757</v>
      </c>
      <c r="B350" s="23" t="n">
        <v>347</v>
      </c>
      <c r="C350" s="6" t="n">
        <v>46230</v>
      </c>
      <c r="D350" s="4" t="s">
        <v>2759</v>
      </c>
      <c r="E350" s="4" t="s">
        <v>6214</v>
      </c>
      <c r="F350" s="7" t="n">
        <v>-15796.54</v>
      </c>
      <c r="G350" s="24" t="s">
        <v>5951</v>
      </c>
      <c r="H350" s="4" t="s">
        <v>2756</v>
      </c>
      <c r="I350" s="4"/>
    </row>
    <row r="351" customFormat="false" ht="15" hidden="false" customHeight="false" outlineLevel="0" collapsed="false">
      <c r="A351" s="4" t="s">
        <v>2762</v>
      </c>
      <c r="B351" s="23" t="n">
        <v>348</v>
      </c>
      <c r="C351" s="6" t="n">
        <v>46231</v>
      </c>
      <c r="D351" s="4" t="s">
        <v>2764</v>
      </c>
      <c r="E351" s="4"/>
      <c r="F351" s="7" t="n">
        <v>9195.98</v>
      </c>
      <c r="G351" s="24" t="s">
        <v>5951</v>
      </c>
      <c r="H351" s="4" t="s">
        <v>2761</v>
      </c>
      <c r="I351" s="4"/>
    </row>
    <row r="352" customFormat="false" ht="15" hidden="false" customHeight="false" outlineLevel="0" collapsed="false">
      <c r="A352" s="4" t="s">
        <v>2767</v>
      </c>
      <c r="B352" s="23" t="n">
        <v>349</v>
      </c>
      <c r="C352" s="6" t="n">
        <v>46231</v>
      </c>
      <c r="D352" s="4" t="s">
        <v>2769</v>
      </c>
      <c r="E352" s="4" t="s">
        <v>6215</v>
      </c>
      <c r="F352" s="7" t="n">
        <v>71617.33</v>
      </c>
      <c r="G352" s="24" t="s">
        <v>5951</v>
      </c>
      <c r="H352" s="4" t="s">
        <v>2766</v>
      </c>
      <c r="I352" s="4"/>
    </row>
    <row r="353" customFormat="false" ht="15" hidden="false" customHeight="false" outlineLevel="0" collapsed="false">
      <c r="A353" s="4" t="s">
        <v>1053</v>
      </c>
      <c r="B353" s="23" t="n">
        <v>350</v>
      </c>
      <c r="C353" s="6" t="n">
        <v>46231</v>
      </c>
      <c r="D353" s="4" t="s">
        <v>1055</v>
      </c>
      <c r="E353" s="4" t="s">
        <v>6216</v>
      </c>
      <c r="F353" s="7" t="n">
        <v>82383.24</v>
      </c>
      <c r="G353" s="24" t="s">
        <v>5951</v>
      </c>
      <c r="H353" s="4" t="s">
        <v>1052</v>
      </c>
      <c r="I353" s="4"/>
    </row>
    <row r="354" customFormat="false" ht="15" hidden="false" customHeight="false" outlineLevel="0" collapsed="false">
      <c r="A354" s="4" t="s">
        <v>2772</v>
      </c>
      <c r="B354" s="23" t="n">
        <v>351</v>
      </c>
      <c r="C354" s="6" t="n">
        <v>46231</v>
      </c>
      <c r="D354" s="4" t="s">
        <v>2774</v>
      </c>
      <c r="E354" s="4" t="s">
        <v>6217</v>
      </c>
      <c r="F354" s="7" t="n">
        <v>49448.81</v>
      </c>
      <c r="G354" s="24" t="s">
        <v>5951</v>
      </c>
      <c r="H354" s="4" t="s">
        <v>2771</v>
      </c>
      <c r="I354" s="4"/>
    </row>
    <row r="355" customFormat="false" ht="15" hidden="false" customHeight="false" outlineLevel="0" collapsed="false">
      <c r="A355" s="4" t="s">
        <v>1058</v>
      </c>
      <c r="B355" s="23" t="n">
        <v>352</v>
      </c>
      <c r="C355" s="6" t="n">
        <v>46231</v>
      </c>
      <c r="D355" s="4" t="s">
        <v>162</v>
      </c>
      <c r="E355" s="4" t="s">
        <v>161</v>
      </c>
      <c r="F355" s="7" t="n">
        <v>39198.32</v>
      </c>
      <c r="G355" s="24" t="s">
        <v>5951</v>
      </c>
      <c r="H355" s="4" t="s">
        <v>1057</v>
      </c>
      <c r="I355" s="4"/>
    </row>
    <row r="356" customFormat="false" ht="15" hidden="false" customHeight="false" outlineLevel="0" collapsed="false">
      <c r="A356" s="4" t="s">
        <v>1062</v>
      </c>
      <c r="B356" s="23" t="n">
        <v>353</v>
      </c>
      <c r="C356" s="6" t="n">
        <v>46231</v>
      </c>
      <c r="D356" s="4" t="s">
        <v>1064</v>
      </c>
      <c r="E356" s="4" t="s">
        <v>6218</v>
      </c>
      <c r="F356" s="7" t="n">
        <v>30196.76</v>
      </c>
      <c r="G356" s="24" t="s">
        <v>5951</v>
      </c>
      <c r="H356" s="4" t="s">
        <v>1061</v>
      </c>
      <c r="I356" s="4"/>
    </row>
    <row r="357" customFormat="false" ht="15" hidden="false" customHeight="false" outlineLevel="0" collapsed="false">
      <c r="A357" s="4" t="s">
        <v>1067</v>
      </c>
      <c r="B357" s="23" t="n">
        <v>354</v>
      </c>
      <c r="C357" s="6" t="n">
        <v>46231</v>
      </c>
      <c r="D357" s="4" t="s">
        <v>1069</v>
      </c>
      <c r="E357" s="4" t="s">
        <v>6219</v>
      </c>
      <c r="F357" s="7" t="n">
        <v>17618.37</v>
      </c>
      <c r="G357" s="24" t="s">
        <v>5951</v>
      </c>
      <c r="H357" s="4" t="s">
        <v>1066</v>
      </c>
      <c r="I357" s="4"/>
    </row>
    <row r="358" customFormat="false" ht="15" hidden="false" customHeight="false" outlineLevel="0" collapsed="false">
      <c r="A358" s="4" t="s">
        <v>4063</v>
      </c>
      <c r="B358" s="23" t="n">
        <v>355</v>
      </c>
      <c r="C358" s="6" t="n">
        <v>46231</v>
      </c>
      <c r="D358" s="4" t="s">
        <v>4065</v>
      </c>
      <c r="E358" s="4" t="s">
        <v>6220</v>
      </c>
      <c r="F358" s="7" t="n">
        <v>23045.1</v>
      </c>
      <c r="G358" s="24" t="s">
        <v>5951</v>
      </c>
      <c r="H358" s="4" t="s">
        <v>4062</v>
      </c>
      <c r="I358" s="4"/>
    </row>
    <row r="359" customFormat="false" ht="15" hidden="false" customHeight="false" outlineLevel="0" collapsed="false">
      <c r="A359" s="4" t="s">
        <v>2777</v>
      </c>
      <c r="B359" s="23" t="n">
        <v>356</v>
      </c>
      <c r="C359" s="6" t="n">
        <v>46231</v>
      </c>
      <c r="D359" s="4" t="s">
        <v>2779</v>
      </c>
      <c r="E359" s="4" t="s">
        <v>6221</v>
      </c>
      <c r="F359" s="7" t="n">
        <v>53979.55</v>
      </c>
      <c r="G359" s="24" t="s">
        <v>5951</v>
      </c>
      <c r="H359" s="4" t="s">
        <v>2776</v>
      </c>
      <c r="I359" s="4"/>
    </row>
    <row r="360" customFormat="false" ht="15" hidden="false" customHeight="false" outlineLevel="0" collapsed="false">
      <c r="A360" s="4" t="s">
        <v>1072</v>
      </c>
      <c r="B360" s="23" t="n">
        <v>357</v>
      </c>
      <c r="C360" s="6" t="n">
        <v>46231</v>
      </c>
      <c r="D360" s="4" t="s">
        <v>1074</v>
      </c>
      <c r="E360" s="4"/>
      <c r="F360" s="7" t="n">
        <v>81978.96</v>
      </c>
      <c r="G360" s="24" t="s">
        <v>5951</v>
      </c>
      <c r="H360" s="4" t="s">
        <v>1071</v>
      </c>
      <c r="I360" s="4"/>
    </row>
    <row r="361" customFormat="false" ht="15" hidden="false" customHeight="false" outlineLevel="0" collapsed="false">
      <c r="A361" s="4" t="s">
        <v>4068</v>
      </c>
      <c r="B361" s="23" t="n">
        <v>358</v>
      </c>
      <c r="C361" s="6" t="n">
        <v>46231</v>
      </c>
      <c r="D361" s="4" t="s">
        <v>4070</v>
      </c>
      <c r="E361" s="4" t="s">
        <v>6222</v>
      </c>
      <c r="F361" s="7" t="n">
        <v>32840.22</v>
      </c>
      <c r="G361" s="24" t="s">
        <v>5951</v>
      </c>
      <c r="H361" s="4" t="s">
        <v>4067</v>
      </c>
      <c r="I361" s="4"/>
    </row>
    <row r="362" customFormat="false" ht="15" hidden="false" customHeight="false" outlineLevel="0" collapsed="false">
      <c r="A362" s="4" t="s">
        <v>4073</v>
      </c>
      <c r="B362" s="23" t="n">
        <v>359</v>
      </c>
      <c r="C362" s="6" t="n">
        <v>46231</v>
      </c>
      <c r="D362" s="4" t="s">
        <v>4075</v>
      </c>
      <c r="E362" s="4" t="s">
        <v>6223</v>
      </c>
      <c r="F362" s="7" t="n">
        <v>35425.79</v>
      </c>
      <c r="G362" s="24" t="s">
        <v>5951</v>
      </c>
      <c r="H362" s="4" t="s">
        <v>4072</v>
      </c>
      <c r="I362" s="4"/>
    </row>
    <row r="363" customFormat="false" ht="15" hidden="false" customHeight="false" outlineLevel="0" collapsed="false">
      <c r="A363" s="4" t="s">
        <v>4656</v>
      </c>
      <c r="B363" s="23" t="n">
        <v>360</v>
      </c>
      <c r="C363" s="6" t="n">
        <v>46231</v>
      </c>
      <c r="D363" s="4" t="s">
        <v>4658</v>
      </c>
      <c r="E363" s="4" t="s">
        <v>6224</v>
      </c>
      <c r="F363" s="7" t="n">
        <v>-9676.11</v>
      </c>
      <c r="G363" s="24" t="s">
        <v>5951</v>
      </c>
      <c r="H363" s="4" t="s">
        <v>4655</v>
      </c>
      <c r="I363" s="4"/>
    </row>
    <row r="364" customFormat="false" ht="15" hidden="false" customHeight="false" outlineLevel="0" collapsed="false">
      <c r="A364" s="4" t="s">
        <v>4661</v>
      </c>
      <c r="B364" s="23" t="n">
        <v>361</v>
      </c>
      <c r="C364" s="6" t="n">
        <v>46231</v>
      </c>
      <c r="D364" s="4" t="s">
        <v>4663</v>
      </c>
      <c r="E364" s="4" t="s">
        <v>6225</v>
      </c>
      <c r="F364" s="7" t="n">
        <v>-15073.69</v>
      </c>
      <c r="G364" s="24" t="s">
        <v>5951</v>
      </c>
      <c r="H364" s="4" t="s">
        <v>4660</v>
      </c>
      <c r="I364" s="4"/>
    </row>
    <row r="365" customFormat="false" ht="15" hidden="false" customHeight="false" outlineLevel="0" collapsed="false">
      <c r="A365" s="4" t="s">
        <v>5444</v>
      </c>
      <c r="B365" s="23" t="n">
        <v>362</v>
      </c>
      <c r="C365" s="6" t="n">
        <v>46231</v>
      </c>
      <c r="D365" s="4" t="s">
        <v>5446</v>
      </c>
      <c r="E365" s="4" t="s">
        <v>6226</v>
      </c>
      <c r="F365" s="7" t="n">
        <v>-57382.48</v>
      </c>
      <c r="G365" s="24" t="s">
        <v>5951</v>
      </c>
      <c r="H365" s="4" t="s">
        <v>5443</v>
      </c>
      <c r="I365" s="4"/>
    </row>
    <row r="366" customFormat="false" ht="15" hidden="false" customHeight="false" outlineLevel="0" collapsed="false">
      <c r="A366" s="4" t="s">
        <v>160</v>
      </c>
      <c r="B366" s="23" t="n">
        <v>363</v>
      </c>
      <c r="C366" s="6" t="n">
        <v>46231</v>
      </c>
      <c r="D366" s="4" t="s">
        <v>162</v>
      </c>
      <c r="E366" s="4" t="s">
        <v>161</v>
      </c>
      <c r="F366" s="7" t="n">
        <v>39198.32</v>
      </c>
      <c r="G366" s="26" t="s">
        <v>6043</v>
      </c>
      <c r="H366" s="4"/>
      <c r="I366" s="4" t="s">
        <v>159</v>
      </c>
    </row>
    <row r="367" customFormat="false" ht="15" hidden="false" customHeight="false" outlineLevel="0" collapsed="false">
      <c r="A367" s="4" t="s">
        <v>1077</v>
      </c>
      <c r="B367" s="23" t="n">
        <v>364</v>
      </c>
      <c r="C367" s="6" t="n">
        <v>46232</v>
      </c>
      <c r="D367" s="4" t="s">
        <v>1079</v>
      </c>
      <c r="E367" s="4" t="s">
        <v>6227</v>
      </c>
      <c r="F367" s="7" t="n">
        <v>39494.6</v>
      </c>
      <c r="G367" s="24" t="s">
        <v>5951</v>
      </c>
      <c r="H367" s="4" t="s">
        <v>1076</v>
      </c>
      <c r="I367" s="4"/>
    </row>
    <row r="368" customFormat="false" ht="15" hidden="false" customHeight="false" outlineLevel="0" collapsed="false">
      <c r="A368" s="4" t="s">
        <v>4078</v>
      </c>
      <c r="B368" s="23" t="n">
        <v>365</v>
      </c>
      <c r="C368" s="6" t="n">
        <v>46232</v>
      </c>
      <c r="D368" s="4" t="s">
        <v>4080</v>
      </c>
      <c r="E368" s="4" t="s">
        <v>6228</v>
      </c>
      <c r="F368" s="7" t="n">
        <v>9469.03</v>
      </c>
      <c r="G368" s="24" t="s">
        <v>5951</v>
      </c>
      <c r="H368" s="4" t="s">
        <v>4077</v>
      </c>
      <c r="I368" s="4"/>
    </row>
    <row r="369" customFormat="false" ht="15" hidden="false" customHeight="false" outlineLevel="0" collapsed="false">
      <c r="A369" s="4" t="s">
        <v>2782</v>
      </c>
      <c r="B369" s="23" t="n">
        <v>366</v>
      </c>
      <c r="C369" s="6" t="n">
        <v>46232</v>
      </c>
      <c r="D369" s="4" t="s">
        <v>2784</v>
      </c>
      <c r="E369" s="4" t="s">
        <v>6229</v>
      </c>
      <c r="F369" s="7" t="n">
        <v>42407.16</v>
      </c>
      <c r="G369" s="24" t="s">
        <v>5951</v>
      </c>
      <c r="H369" s="4" t="s">
        <v>2781</v>
      </c>
      <c r="I369" s="4"/>
    </row>
    <row r="370" customFormat="false" ht="15" hidden="false" customHeight="false" outlineLevel="0" collapsed="false">
      <c r="A370" s="4" t="s">
        <v>1082</v>
      </c>
      <c r="B370" s="23" t="n">
        <v>367</v>
      </c>
      <c r="C370" s="6" t="n">
        <v>46232</v>
      </c>
      <c r="D370" s="4" t="s">
        <v>1084</v>
      </c>
      <c r="E370" s="4" t="s">
        <v>6230</v>
      </c>
      <c r="F370" s="7" t="n">
        <v>10704.31</v>
      </c>
      <c r="G370" s="24" t="s">
        <v>5951</v>
      </c>
      <c r="H370" s="4" t="s">
        <v>1081</v>
      </c>
      <c r="I370" s="4"/>
    </row>
    <row r="371" customFormat="false" ht="15" hidden="false" customHeight="false" outlineLevel="0" collapsed="false">
      <c r="A371" s="4" t="s">
        <v>1087</v>
      </c>
      <c r="B371" s="23" t="n">
        <v>368</v>
      </c>
      <c r="C371" s="6" t="n">
        <v>46232</v>
      </c>
      <c r="D371" s="4" t="s">
        <v>1089</v>
      </c>
      <c r="E371" s="4" t="s">
        <v>6231</v>
      </c>
      <c r="F371" s="7" t="n">
        <v>44628.83</v>
      </c>
      <c r="G371" s="24" t="s">
        <v>5951</v>
      </c>
      <c r="H371" s="4" t="s">
        <v>1086</v>
      </c>
      <c r="I371" s="4"/>
    </row>
    <row r="372" customFormat="false" ht="15" hidden="false" customHeight="false" outlineLevel="0" collapsed="false">
      <c r="A372" s="4" t="s">
        <v>1092</v>
      </c>
      <c r="B372" s="23" t="n">
        <v>369</v>
      </c>
      <c r="C372" s="6" t="n">
        <v>46232</v>
      </c>
      <c r="D372" s="4" t="s">
        <v>1094</v>
      </c>
      <c r="E372" s="4" t="s">
        <v>6232</v>
      </c>
      <c r="F372" s="7" t="n">
        <v>54708.96</v>
      </c>
      <c r="G372" s="24" t="s">
        <v>5951</v>
      </c>
      <c r="H372" s="4" t="s">
        <v>1091</v>
      </c>
      <c r="I372" s="4"/>
    </row>
    <row r="373" customFormat="false" ht="15" hidden="false" customHeight="false" outlineLevel="0" collapsed="false">
      <c r="A373" s="4" t="s">
        <v>1097</v>
      </c>
      <c r="B373" s="23" t="n">
        <v>370</v>
      </c>
      <c r="C373" s="6" t="n">
        <v>46232</v>
      </c>
      <c r="D373" s="4" t="s">
        <v>1099</v>
      </c>
      <c r="E373" s="4"/>
      <c r="F373" s="7" t="n">
        <v>94237.85</v>
      </c>
      <c r="G373" s="24" t="s">
        <v>5951</v>
      </c>
      <c r="H373" s="4" t="s">
        <v>1096</v>
      </c>
      <c r="I373" s="4"/>
    </row>
    <row r="374" customFormat="false" ht="15" hidden="false" customHeight="false" outlineLevel="0" collapsed="false">
      <c r="A374" s="4" t="s">
        <v>5449</v>
      </c>
      <c r="B374" s="23" t="n">
        <v>371</v>
      </c>
      <c r="C374" s="6" t="n">
        <v>46232</v>
      </c>
      <c r="D374" s="4" t="s">
        <v>5451</v>
      </c>
      <c r="E374" s="4" t="s">
        <v>6233</v>
      </c>
      <c r="F374" s="7" t="n">
        <v>-18130.76</v>
      </c>
      <c r="G374" s="24" t="s">
        <v>5951</v>
      </c>
      <c r="H374" s="4" t="s">
        <v>5448</v>
      </c>
      <c r="I374" s="4"/>
    </row>
    <row r="375" customFormat="false" ht="15" hidden="false" customHeight="false" outlineLevel="0" collapsed="false">
      <c r="A375" s="4" t="s">
        <v>4666</v>
      </c>
      <c r="B375" s="23" t="n">
        <v>372</v>
      </c>
      <c r="C375" s="6" t="n">
        <v>46232</v>
      </c>
      <c r="D375" s="4" t="s">
        <v>4668</v>
      </c>
      <c r="E375" s="4" t="s">
        <v>6234</v>
      </c>
      <c r="F375" s="7" t="n">
        <v>-21212.1</v>
      </c>
      <c r="G375" s="24" t="s">
        <v>5951</v>
      </c>
      <c r="H375" s="4" t="s">
        <v>4665</v>
      </c>
      <c r="I375" s="4"/>
    </row>
    <row r="376" customFormat="false" ht="15" hidden="false" customHeight="false" outlineLevel="0" collapsed="false">
      <c r="A376" s="4" t="s">
        <v>5026</v>
      </c>
      <c r="B376" s="23" t="n">
        <v>373</v>
      </c>
      <c r="C376" s="6" t="n">
        <v>46232</v>
      </c>
      <c r="D376" s="4" t="s">
        <v>5028</v>
      </c>
      <c r="E376" s="4" t="s">
        <v>6235</v>
      </c>
      <c r="F376" s="7" t="n">
        <v>-39155.61</v>
      </c>
      <c r="G376" s="24" t="s">
        <v>5951</v>
      </c>
      <c r="H376" s="4" t="s">
        <v>5025</v>
      </c>
      <c r="I376" s="4"/>
    </row>
    <row r="377" customFormat="false" ht="15" hidden="false" customHeight="false" outlineLevel="0" collapsed="false">
      <c r="A377" s="4" t="s">
        <v>5031</v>
      </c>
      <c r="B377" s="23" t="n">
        <v>374</v>
      </c>
      <c r="C377" s="6" t="n">
        <v>46232</v>
      </c>
      <c r="D377" s="4" t="s">
        <v>5033</v>
      </c>
      <c r="E377" s="4" t="s">
        <v>6236</v>
      </c>
      <c r="F377" s="7" t="n">
        <v>-10689.68</v>
      </c>
      <c r="G377" s="24" t="s">
        <v>5951</v>
      </c>
      <c r="H377" s="4" t="s">
        <v>5030</v>
      </c>
      <c r="I377" s="4"/>
    </row>
    <row r="378" customFormat="false" ht="15" hidden="false" customHeight="false" outlineLevel="0" collapsed="false">
      <c r="A378" s="4" t="s">
        <v>2787</v>
      </c>
      <c r="B378" s="23" t="n">
        <v>375</v>
      </c>
      <c r="C378" s="6" t="n">
        <v>46232</v>
      </c>
      <c r="D378" s="4" t="s">
        <v>2789</v>
      </c>
      <c r="E378" s="4" t="s">
        <v>6237</v>
      </c>
      <c r="F378" s="7" t="n">
        <v>-37664.84</v>
      </c>
      <c r="G378" s="24" t="s">
        <v>5951</v>
      </c>
      <c r="H378" s="4" t="s">
        <v>2786</v>
      </c>
      <c r="I378" s="4"/>
    </row>
    <row r="379" customFormat="false" ht="15" hidden="false" customHeight="false" outlineLevel="0" collapsed="false">
      <c r="A379" s="4" t="s">
        <v>2792</v>
      </c>
      <c r="B379" s="23" t="n">
        <v>376</v>
      </c>
      <c r="C379" s="6" t="n">
        <v>46232</v>
      </c>
      <c r="D379" s="4" t="s">
        <v>2794</v>
      </c>
      <c r="E379" s="4" t="s">
        <v>6238</v>
      </c>
      <c r="F379" s="7" t="n">
        <v>-21291.77</v>
      </c>
      <c r="G379" s="24" t="s">
        <v>5951</v>
      </c>
      <c r="H379" s="4" t="s">
        <v>2791</v>
      </c>
      <c r="I379" s="4"/>
    </row>
    <row r="380" customFormat="false" ht="15" hidden="false" customHeight="false" outlineLevel="0" collapsed="false">
      <c r="A380" s="4" t="s">
        <v>4083</v>
      </c>
      <c r="B380" s="23" t="n">
        <v>377</v>
      </c>
      <c r="C380" s="6" t="n">
        <v>46232</v>
      </c>
      <c r="D380" s="4" t="s">
        <v>4085</v>
      </c>
      <c r="E380" s="4" t="s">
        <v>6239</v>
      </c>
      <c r="F380" s="7" t="n">
        <v>-4269.7</v>
      </c>
      <c r="G380" s="24" t="s">
        <v>5951</v>
      </c>
      <c r="H380" s="4" t="s">
        <v>4082</v>
      </c>
      <c r="I380" s="4"/>
    </row>
    <row r="381" customFormat="false" ht="15" hidden="false" customHeight="false" outlineLevel="0" collapsed="false">
      <c r="A381" s="4" t="s">
        <v>4671</v>
      </c>
      <c r="B381" s="23" t="n">
        <v>378</v>
      </c>
      <c r="C381" s="6" t="n">
        <v>46232</v>
      </c>
      <c r="D381" s="4" t="s">
        <v>4673</v>
      </c>
      <c r="E381" s="4" t="s">
        <v>6240</v>
      </c>
      <c r="F381" s="7" t="n">
        <v>-14328.73</v>
      </c>
      <c r="G381" s="24" t="s">
        <v>5951</v>
      </c>
      <c r="H381" s="4" t="s">
        <v>4670</v>
      </c>
      <c r="I381" s="4"/>
    </row>
    <row r="382" customFormat="false" ht="15" hidden="false" customHeight="false" outlineLevel="0" collapsed="false">
      <c r="A382" s="4" t="s">
        <v>1102</v>
      </c>
      <c r="B382" s="23" t="n">
        <v>379</v>
      </c>
      <c r="C382" s="6" t="n">
        <v>46232</v>
      </c>
      <c r="D382" s="4" t="s">
        <v>1104</v>
      </c>
      <c r="E382" s="4" t="s">
        <v>6241</v>
      </c>
      <c r="F382" s="7" t="n">
        <v>-7528.09</v>
      </c>
      <c r="G382" s="24" t="s">
        <v>5951</v>
      </c>
      <c r="H382" s="4" t="s">
        <v>1101</v>
      </c>
      <c r="I382" s="4"/>
    </row>
    <row r="383" customFormat="false" ht="15" hidden="false" customHeight="false" outlineLevel="0" collapsed="false">
      <c r="A383" s="4" t="s">
        <v>1107</v>
      </c>
      <c r="B383" s="23" t="n">
        <v>380</v>
      </c>
      <c r="C383" s="6" t="n">
        <v>46233</v>
      </c>
      <c r="D383" s="4" t="s">
        <v>1109</v>
      </c>
      <c r="E383" s="4"/>
      <c r="F383" s="7" t="n">
        <v>38000.6</v>
      </c>
      <c r="G383" s="24" t="s">
        <v>5951</v>
      </c>
      <c r="H383" s="4" t="s">
        <v>1106</v>
      </c>
      <c r="I383" s="4"/>
    </row>
    <row r="384" customFormat="false" ht="15" hidden="false" customHeight="false" outlineLevel="0" collapsed="false">
      <c r="A384" s="4" t="s">
        <v>1112</v>
      </c>
      <c r="B384" s="23" t="n">
        <v>381</v>
      </c>
      <c r="C384" s="6" t="n">
        <v>46233</v>
      </c>
      <c r="D384" s="4" t="s">
        <v>147</v>
      </c>
      <c r="E384" s="4" t="s">
        <v>146</v>
      </c>
      <c r="F384" s="7" t="n">
        <v>71068.32</v>
      </c>
      <c r="G384" s="24" t="s">
        <v>5951</v>
      </c>
      <c r="H384" s="4" t="s">
        <v>1111</v>
      </c>
      <c r="I384" s="4"/>
    </row>
    <row r="385" customFormat="false" ht="15" hidden="false" customHeight="false" outlineLevel="0" collapsed="false">
      <c r="A385" s="4" t="s">
        <v>1116</v>
      </c>
      <c r="B385" s="23" t="n">
        <v>382</v>
      </c>
      <c r="C385" s="6" t="n">
        <v>46233</v>
      </c>
      <c r="D385" s="4" t="s">
        <v>1118</v>
      </c>
      <c r="E385" s="4"/>
      <c r="F385" s="7" t="n">
        <v>87506.43</v>
      </c>
      <c r="G385" s="24" t="s">
        <v>5951</v>
      </c>
      <c r="H385" s="4" t="s">
        <v>1115</v>
      </c>
      <c r="I385" s="4"/>
    </row>
    <row r="386" customFormat="false" ht="15" hidden="false" customHeight="false" outlineLevel="0" collapsed="false">
      <c r="A386" s="4" t="s">
        <v>2797</v>
      </c>
      <c r="B386" s="23" t="n">
        <v>383</v>
      </c>
      <c r="C386" s="6" t="n">
        <v>46233</v>
      </c>
      <c r="D386" s="4" t="s">
        <v>2799</v>
      </c>
      <c r="E386" s="4" t="s">
        <v>6242</v>
      </c>
      <c r="F386" s="7" t="n">
        <v>51491.03</v>
      </c>
      <c r="G386" s="24" t="s">
        <v>5951</v>
      </c>
      <c r="H386" s="4" t="s">
        <v>2796</v>
      </c>
      <c r="I386" s="4"/>
    </row>
    <row r="387" customFormat="false" ht="15" hidden="false" customHeight="false" outlineLevel="0" collapsed="false">
      <c r="A387" s="4" t="s">
        <v>1121</v>
      </c>
      <c r="B387" s="23" t="n">
        <v>384</v>
      </c>
      <c r="C387" s="6" t="n">
        <v>46233</v>
      </c>
      <c r="D387" s="4" t="s">
        <v>1123</v>
      </c>
      <c r="E387" s="4" t="s">
        <v>6243</v>
      </c>
      <c r="F387" s="7" t="n">
        <v>27333.48</v>
      </c>
      <c r="G387" s="24" t="s">
        <v>5951</v>
      </c>
      <c r="H387" s="4" t="s">
        <v>1120</v>
      </c>
      <c r="I387" s="4"/>
    </row>
    <row r="388" customFormat="false" ht="15" hidden="false" customHeight="false" outlineLevel="0" collapsed="false">
      <c r="A388" s="4" t="s">
        <v>1126</v>
      </c>
      <c r="B388" s="23" t="n">
        <v>385</v>
      </c>
      <c r="C388" s="6" t="n">
        <v>46233</v>
      </c>
      <c r="D388" s="4" t="s">
        <v>1128</v>
      </c>
      <c r="E388" s="4" t="s">
        <v>6244</v>
      </c>
      <c r="F388" s="7" t="n">
        <v>37683.91</v>
      </c>
      <c r="G388" s="24" t="s">
        <v>5951</v>
      </c>
      <c r="H388" s="4" t="s">
        <v>1125</v>
      </c>
      <c r="I388" s="4"/>
    </row>
    <row r="389" customFormat="false" ht="15" hidden="false" customHeight="false" outlineLevel="0" collapsed="false">
      <c r="A389" s="4" t="s">
        <v>5036</v>
      </c>
      <c r="B389" s="23" t="n">
        <v>386</v>
      </c>
      <c r="C389" s="6" t="n">
        <v>46233</v>
      </c>
      <c r="D389" s="4" t="s">
        <v>5038</v>
      </c>
      <c r="E389" s="4" t="s">
        <v>6245</v>
      </c>
      <c r="F389" s="7" t="n">
        <v>-11239.85</v>
      </c>
      <c r="G389" s="24" t="s">
        <v>5951</v>
      </c>
      <c r="H389" s="4" t="s">
        <v>5035</v>
      </c>
      <c r="I389" s="4"/>
    </row>
    <row r="390" customFormat="false" ht="15" hidden="false" customHeight="false" outlineLevel="0" collapsed="false">
      <c r="A390" s="4" t="s">
        <v>5041</v>
      </c>
      <c r="B390" s="23" t="n">
        <v>387</v>
      </c>
      <c r="C390" s="6" t="n">
        <v>46233</v>
      </c>
      <c r="D390" s="4" t="s">
        <v>5043</v>
      </c>
      <c r="E390" s="4" t="s">
        <v>6246</v>
      </c>
      <c r="F390" s="7" t="n">
        <v>-59322.86</v>
      </c>
      <c r="G390" s="24" t="s">
        <v>5951</v>
      </c>
      <c r="H390" s="4" t="s">
        <v>5040</v>
      </c>
      <c r="I390" s="4"/>
    </row>
    <row r="391" customFormat="false" ht="15" hidden="false" customHeight="false" outlineLevel="0" collapsed="false">
      <c r="A391" s="4" t="s">
        <v>1131</v>
      </c>
      <c r="B391" s="23" t="n">
        <v>388</v>
      </c>
      <c r="C391" s="6" t="n">
        <v>46233</v>
      </c>
      <c r="D391" s="4" t="s">
        <v>1133</v>
      </c>
      <c r="E391" s="4" t="s">
        <v>6247</v>
      </c>
      <c r="F391" s="7" t="n">
        <v>-29264.55</v>
      </c>
      <c r="G391" s="24" t="s">
        <v>5951</v>
      </c>
      <c r="H391" s="4" t="s">
        <v>1130</v>
      </c>
      <c r="I391" s="4"/>
    </row>
    <row r="392" customFormat="false" ht="15" hidden="false" customHeight="false" outlineLevel="0" collapsed="false">
      <c r="A392" s="4" t="s">
        <v>4088</v>
      </c>
      <c r="B392" s="23" t="n">
        <v>389</v>
      </c>
      <c r="C392" s="6" t="n">
        <v>46233</v>
      </c>
      <c r="D392" s="4" t="s">
        <v>4090</v>
      </c>
      <c r="E392" s="4" t="s">
        <v>6248</v>
      </c>
      <c r="F392" s="7" t="n">
        <v>-55411.82</v>
      </c>
      <c r="G392" s="24" t="s">
        <v>5951</v>
      </c>
      <c r="H392" s="4" t="s">
        <v>4087</v>
      </c>
      <c r="I392" s="4"/>
    </row>
    <row r="393" customFormat="false" ht="15" hidden="false" customHeight="false" outlineLevel="0" collapsed="false">
      <c r="A393" s="4" t="s">
        <v>145</v>
      </c>
      <c r="B393" s="23" t="n">
        <v>390</v>
      </c>
      <c r="C393" s="6" t="n">
        <v>46233</v>
      </c>
      <c r="D393" s="4" t="s">
        <v>147</v>
      </c>
      <c r="E393" s="4" t="s">
        <v>146</v>
      </c>
      <c r="F393" s="7" t="n">
        <v>71068.32</v>
      </c>
      <c r="G393" s="26" t="s">
        <v>6043</v>
      </c>
      <c r="H393" s="4"/>
      <c r="I393" s="4" t="s">
        <v>144</v>
      </c>
    </row>
    <row r="394" customFormat="false" ht="15" hidden="false" customHeight="false" outlineLevel="0" collapsed="false">
      <c r="A394" s="4" t="s">
        <v>345</v>
      </c>
      <c r="B394" s="23" t="n">
        <v>391</v>
      </c>
      <c r="C394" s="6" t="n">
        <v>46233</v>
      </c>
      <c r="D394" s="4" t="s">
        <v>5887</v>
      </c>
      <c r="E394" s="4" t="s">
        <v>347</v>
      </c>
      <c r="F394" s="7" t="n">
        <v>35273.35</v>
      </c>
      <c r="G394" s="25" t="s">
        <v>5987</v>
      </c>
      <c r="H394" s="4" t="s">
        <v>5886</v>
      </c>
      <c r="I394" s="4" t="s">
        <v>344</v>
      </c>
    </row>
    <row r="395" customFormat="false" ht="15" hidden="false" customHeight="false" outlineLevel="0" collapsed="false">
      <c r="A395" s="4" t="s">
        <v>1136</v>
      </c>
      <c r="B395" s="23" t="n">
        <v>392</v>
      </c>
      <c r="C395" s="6" t="n">
        <v>46234</v>
      </c>
      <c r="D395" s="4" t="s">
        <v>1138</v>
      </c>
      <c r="E395" s="4" t="s">
        <v>6249</v>
      </c>
      <c r="F395" s="7" t="n">
        <v>51476.18</v>
      </c>
      <c r="G395" s="24" t="s">
        <v>5951</v>
      </c>
      <c r="H395" s="4" t="s">
        <v>1135</v>
      </c>
      <c r="I395" s="4"/>
    </row>
    <row r="396" customFormat="false" ht="15" hidden="false" customHeight="false" outlineLevel="0" collapsed="false">
      <c r="A396" s="4" t="s">
        <v>2802</v>
      </c>
      <c r="B396" s="23" t="n">
        <v>393</v>
      </c>
      <c r="C396" s="6" t="n">
        <v>46234</v>
      </c>
      <c r="D396" s="4" t="s">
        <v>2804</v>
      </c>
      <c r="E396" s="4" t="s">
        <v>6250</v>
      </c>
      <c r="F396" s="7" t="n">
        <v>72592.61</v>
      </c>
      <c r="G396" s="24" t="s">
        <v>5951</v>
      </c>
      <c r="H396" s="4" t="s">
        <v>2801</v>
      </c>
      <c r="I396" s="4"/>
    </row>
    <row r="397" customFormat="false" ht="15" hidden="false" customHeight="false" outlineLevel="0" collapsed="false">
      <c r="A397" s="4" t="s">
        <v>1141</v>
      </c>
      <c r="B397" s="23" t="n">
        <v>394</v>
      </c>
      <c r="C397" s="6" t="n">
        <v>46234</v>
      </c>
      <c r="D397" s="4" t="s">
        <v>1143</v>
      </c>
      <c r="E397" s="4" t="s">
        <v>6251</v>
      </c>
      <c r="F397" s="7" t="n">
        <v>20087.75</v>
      </c>
      <c r="G397" s="24" t="s">
        <v>5951</v>
      </c>
      <c r="H397" s="4" t="s">
        <v>1140</v>
      </c>
      <c r="I397" s="4"/>
    </row>
    <row r="398" customFormat="false" ht="15" hidden="false" customHeight="false" outlineLevel="0" collapsed="false">
      <c r="A398" s="4" t="s">
        <v>4093</v>
      </c>
      <c r="B398" s="23" t="n">
        <v>395</v>
      </c>
      <c r="C398" s="6" t="n">
        <v>46234</v>
      </c>
      <c r="D398" s="4" t="s">
        <v>4095</v>
      </c>
      <c r="E398" s="4" t="s">
        <v>6252</v>
      </c>
      <c r="F398" s="7" t="n">
        <v>75772.4</v>
      </c>
      <c r="G398" s="24" t="s">
        <v>5951</v>
      </c>
      <c r="H398" s="4" t="s">
        <v>4092</v>
      </c>
      <c r="I398" s="4"/>
    </row>
    <row r="399" customFormat="false" ht="15" hidden="false" customHeight="false" outlineLevel="0" collapsed="false">
      <c r="A399" s="4" t="s">
        <v>2807</v>
      </c>
      <c r="B399" s="23" t="n">
        <v>396</v>
      </c>
      <c r="C399" s="6" t="n">
        <v>46234</v>
      </c>
      <c r="D399" s="4" t="s">
        <v>2809</v>
      </c>
      <c r="E399" s="4" t="s">
        <v>6253</v>
      </c>
      <c r="F399" s="7" t="n">
        <v>46184.95</v>
      </c>
      <c r="G399" s="24" t="s">
        <v>5951</v>
      </c>
      <c r="H399" s="4" t="s">
        <v>2806</v>
      </c>
      <c r="I399" s="4"/>
    </row>
    <row r="400" customFormat="false" ht="15" hidden="false" customHeight="false" outlineLevel="0" collapsed="false">
      <c r="A400" s="4" t="s">
        <v>2812</v>
      </c>
      <c r="B400" s="23" t="n">
        <v>397</v>
      </c>
      <c r="C400" s="6" t="n">
        <v>46234</v>
      </c>
      <c r="D400" s="4" t="s">
        <v>2814</v>
      </c>
      <c r="E400" s="4" t="s">
        <v>6254</v>
      </c>
      <c r="F400" s="7" t="n">
        <v>21439.61</v>
      </c>
      <c r="G400" s="24" t="s">
        <v>5951</v>
      </c>
      <c r="H400" s="4" t="s">
        <v>2811</v>
      </c>
      <c r="I400" s="4"/>
    </row>
    <row r="401" customFormat="false" ht="15" hidden="false" customHeight="false" outlineLevel="0" collapsed="false">
      <c r="A401" s="4" t="s">
        <v>2817</v>
      </c>
      <c r="B401" s="23" t="n">
        <v>398</v>
      </c>
      <c r="C401" s="6" t="n">
        <v>46234</v>
      </c>
      <c r="D401" s="4" t="s">
        <v>2819</v>
      </c>
      <c r="E401" s="4"/>
      <c r="F401" s="7" t="n">
        <v>34259.67</v>
      </c>
      <c r="G401" s="24" t="s">
        <v>5951</v>
      </c>
      <c r="H401" s="4" t="s">
        <v>2816</v>
      </c>
      <c r="I401" s="4"/>
    </row>
    <row r="402" customFormat="false" ht="15" hidden="false" customHeight="false" outlineLevel="0" collapsed="false">
      <c r="A402" s="4" t="s">
        <v>5046</v>
      </c>
      <c r="B402" s="23" t="n">
        <v>399</v>
      </c>
      <c r="C402" s="6" t="n">
        <v>46234</v>
      </c>
      <c r="D402" s="4" t="s">
        <v>5048</v>
      </c>
      <c r="E402" s="4" t="s">
        <v>6255</v>
      </c>
      <c r="F402" s="7" t="n">
        <v>-49061.68</v>
      </c>
      <c r="G402" s="24" t="s">
        <v>5951</v>
      </c>
      <c r="H402" s="4" t="s">
        <v>5045</v>
      </c>
      <c r="I402" s="4"/>
    </row>
    <row r="403" customFormat="false" ht="15" hidden="false" customHeight="false" outlineLevel="0" collapsed="false">
      <c r="A403" s="4" t="s">
        <v>1146</v>
      </c>
      <c r="B403" s="23" t="n">
        <v>400</v>
      </c>
      <c r="C403" s="6" t="n">
        <v>46234</v>
      </c>
      <c r="D403" s="4" t="s">
        <v>1148</v>
      </c>
      <c r="E403" s="4" t="s">
        <v>6256</v>
      </c>
      <c r="F403" s="7" t="n">
        <v>-29225.29</v>
      </c>
      <c r="G403" s="24" t="s">
        <v>5951</v>
      </c>
      <c r="H403" s="4" t="s">
        <v>1145</v>
      </c>
      <c r="I403" s="4"/>
    </row>
    <row r="404" customFormat="false" ht="15" hidden="false" customHeight="false" outlineLevel="0" collapsed="false">
      <c r="A404" s="4" t="s">
        <v>2822</v>
      </c>
      <c r="B404" s="23" t="n">
        <v>401</v>
      </c>
      <c r="C404" s="6" t="n">
        <v>46234</v>
      </c>
      <c r="D404" s="4" t="s">
        <v>2824</v>
      </c>
      <c r="E404" s="4" t="s">
        <v>6257</v>
      </c>
      <c r="F404" s="7" t="n">
        <v>-8942.32</v>
      </c>
      <c r="G404" s="24" t="s">
        <v>5951</v>
      </c>
      <c r="H404" s="4" t="s">
        <v>2821</v>
      </c>
      <c r="I404" s="4"/>
    </row>
    <row r="405" customFormat="false" ht="15" hidden="false" customHeight="false" outlineLevel="0" collapsed="false">
      <c r="A405" s="4" t="s">
        <v>4098</v>
      </c>
      <c r="B405" s="23" t="n">
        <v>402</v>
      </c>
      <c r="C405" s="6" t="n">
        <v>46234</v>
      </c>
      <c r="D405" s="4" t="s">
        <v>4100</v>
      </c>
      <c r="E405" s="4" t="s">
        <v>6258</v>
      </c>
      <c r="F405" s="7" t="n">
        <v>-45115.86</v>
      </c>
      <c r="G405" s="24" t="s">
        <v>5951</v>
      </c>
      <c r="H405" s="4" t="s">
        <v>4097</v>
      </c>
      <c r="I405" s="4"/>
    </row>
    <row r="406" customFormat="false" ht="15" hidden="false" customHeight="false" outlineLevel="0" collapsed="false">
      <c r="A406" s="4" t="s">
        <v>5454</v>
      </c>
      <c r="B406" s="23" t="n">
        <v>403</v>
      </c>
      <c r="C406" s="6" t="n">
        <v>46234</v>
      </c>
      <c r="D406" s="4" t="s">
        <v>5456</v>
      </c>
      <c r="E406" s="4" t="s">
        <v>6259</v>
      </c>
      <c r="F406" s="7" t="n">
        <v>-35323.8</v>
      </c>
      <c r="G406" s="24" t="s">
        <v>5951</v>
      </c>
      <c r="H406" s="4" t="s">
        <v>5453</v>
      </c>
      <c r="I406" s="4"/>
    </row>
    <row r="407" customFormat="false" ht="15" hidden="false" customHeight="false" outlineLevel="0" collapsed="false">
      <c r="A407" s="4" t="s">
        <v>5459</v>
      </c>
      <c r="B407" s="23" t="n">
        <v>404</v>
      </c>
      <c r="C407" s="6" t="n">
        <v>46234</v>
      </c>
      <c r="D407" s="4" t="s">
        <v>5461</v>
      </c>
      <c r="E407" s="4" t="s">
        <v>6260</v>
      </c>
      <c r="F407" s="7" t="n">
        <v>-27529.52</v>
      </c>
      <c r="G407" s="24" t="s">
        <v>5951</v>
      </c>
      <c r="H407" s="4" t="s">
        <v>5458</v>
      </c>
      <c r="I407" s="4"/>
    </row>
    <row r="408" customFormat="false" ht="15" hidden="false" customHeight="false" outlineLevel="0" collapsed="false">
      <c r="A408" s="4" t="s">
        <v>414</v>
      </c>
      <c r="B408" s="23" t="n">
        <v>405</v>
      </c>
      <c r="C408" s="6" t="n">
        <v>46234</v>
      </c>
      <c r="D408" s="4" t="s">
        <v>415</v>
      </c>
      <c r="E408" s="4"/>
      <c r="F408" s="7" t="n">
        <v>-541.29</v>
      </c>
      <c r="G408" s="26" t="s">
        <v>6043</v>
      </c>
      <c r="H408" s="4"/>
      <c r="I408" s="4" t="s">
        <v>413</v>
      </c>
    </row>
    <row r="409" customFormat="false" ht="15" hidden="false" customHeight="false" outlineLevel="0" collapsed="false">
      <c r="A409" s="4" t="s">
        <v>422</v>
      </c>
      <c r="B409" s="23" t="n">
        <v>406</v>
      </c>
      <c r="C409" s="6" t="n">
        <v>46234</v>
      </c>
      <c r="D409" s="4" t="s">
        <v>407</v>
      </c>
      <c r="E409" s="4"/>
      <c r="F409" s="7" t="n">
        <v>-349.94</v>
      </c>
      <c r="G409" s="26" t="s">
        <v>6043</v>
      </c>
      <c r="H409" s="4"/>
      <c r="I409" s="4" t="s">
        <v>421</v>
      </c>
    </row>
    <row r="410" customFormat="false" ht="15" hidden="false" customHeight="false" outlineLevel="0" collapsed="false">
      <c r="A410" s="4" t="s">
        <v>248</v>
      </c>
      <c r="B410" s="23" t="n">
        <v>407</v>
      </c>
      <c r="C410" s="6" t="n">
        <v>46234</v>
      </c>
      <c r="D410" s="4" t="s">
        <v>249</v>
      </c>
      <c r="E410" s="4"/>
      <c r="F410" s="7" t="n">
        <v>-5277.99</v>
      </c>
      <c r="G410" s="26" t="s">
        <v>6043</v>
      </c>
      <c r="H410" s="4"/>
      <c r="I410" s="4" t="s">
        <v>247</v>
      </c>
    </row>
    <row r="411" customFormat="false" ht="15" hidden="false" customHeight="false" outlineLevel="0" collapsed="false">
      <c r="A411" s="4" t="s">
        <v>1151</v>
      </c>
      <c r="B411" s="23" t="n">
        <v>408</v>
      </c>
      <c r="C411" s="6" t="n">
        <v>46235</v>
      </c>
      <c r="D411" s="4" t="s">
        <v>1153</v>
      </c>
      <c r="E411" s="4" t="s">
        <v>6261</v>
      </c>
      <c r="F411" s="7" t="n">
        <v>76082.91</v>
      </c>
      <c r="G411" s="24" t="s">
        <v>5951</v>
      </c>
      <c r="H411" s="4" t="s">
        <v>1150</v>
      </c>
      <c r="I411" s="4"/>
    </row>
    <row r="412" customFormat="false" ht="15" hidden="false" customHeight="false" outlineLevel="0" collapsed="false">
      <c r="A412" s="4" t="s">
        <v>2827</v>
      </c>
      <c r="B412" s="23" t="n">
        <v>409</v>
      </c>
      <c r="C412" s="6" t="n">
        <v>46235</v>
      </c>
      <c r="D412" s="4" t="s">
        <v>2829</v>
      </c>
      <c r="E412" s="4" t="s">
        <v>6262</v>
      </c>
      <c r="F412" s="7" t="n">
        <v>11380.68</v>
      </c>
      <c r="G412" s="24" t="s">
        <v>5951</v>
      </c>
      <c r="H412" s="4" t="s">
        <v>2826</v>
      </c>
      <c r="I412" s="4"/>
    </row>
    <row r="413" customFormat="false" ht="15" hidden="false" customHeight="false" outlineLevel="0" collapsed="false">
      <c r="A413" s="4" t="s">
        <v>1156</v>
      </c>
      <c r="B413" s="23" t="n">
        <v>410</v>
      </c>
      <c r="C413" s="6" t="n">
        <v>46235</v>
      </c>
      <c r="D413" s="4" t="s">
        <v>1158</v>
      </c>
      <c r="E413" s="4" t="s">
        <v>6263</v>
      </c>
      <c r="F413" s="7" t="n">
        <v>24598.66</v>
      </c>
      <c r="G413" s="24" t="s">
        <v>5951</v>
      </c>
      <c r="H413" s="4" t="s">
        <v>1155</v>
      </c>
      <c r="I413" s="4"/>
    </row>
    <row r="414" customFormat="false" ht="15" hidden="false" customHeight="false" outlineLevel="0" collapsed="false">
      <c r="A414" s="4" t="s">
        <v>2832</v>
      </c>
      <c r="B414" s="23" t="n">
        <v>411</v>
      </c>
      <c r="C414" s="6" t="n">
        <v>46235</v>
      </c>
      <c r="D414" s="4" t="s">
        <v>2834</v>
      </c>
      <c r="E414" s="4" t="s">
        <v>6264</v>
      </c>
      <c r="F414" s="7" t="n">
        <v>59659.69</v>
      </c>
      <c r="G414" s="24" t="s">
        <v>5951</v>
      </c>
      <c r="H414" s="4" t="s">
        <v>2831</v>
      </c>
      <c r="I414" s="4"/>
    </row>
    <row r="415" customFormat="false" ht="15" hidden="false" customHeight="false" outlineLevel="0" collapsed="false">
      <c r="A415" s="4" t="s">
        <v>4103</v>
      </c>
      <c r="B415" s="23" t="n">
        <v>412</v>
      </c>
      <c r="C415" s="6" t="n">
        <v>46235</v>
      </c>
      <c r="D415" s="4" t="s">
        <v>4105</v>
      </c>
      <c r="E415" s="4" t="s">
        <v>6265</v>
      </c>
      <c r="F415" s="7" t="n">
        <v>41746.24</v>
      </c>
      <c r="G415" s="24" t="s">
        <v>5951</v>
      </c>
      <c r="H415" s="4" t="s">
        <v>4102</v>
      </c>
      <c r="I415" s="4"/>
    </row>
    <row r="416" customFormat="false" ht="15" hidden="false" customHeight="false" outlineLevel="0" collapsed="false">
      <c r="A416" s="4" t="s">
        <v>2837</v>
      </c>
      <c r="B416" s="23" t="n">
        <v>413</v>
      </c>
      <c r="C416" s="6" t="n">
        <v>46235</v>
      </c>
      <c r="D416" s="4" t="s">
        <v>2839</v>
      </c>
      <c r="E416" s="4" t="s">
        <v>6266</v>
      </c>
      <c r="F416" s="7" t="n">
        <v>35444.07</v>
      </c>
      <c r="G416" s="24" t="s">
        <v>5951</v>
      </c>
      <c r="H416" s="4" t="s">
        <v>2836</v>
      </c>
      <c r="I416" s="4"/>
    </row>
    <row r="417" customFormat="false" ht="15" hidden="false" customHeight="false" outlineLevel="0" collapsed="false">
      <c r="A417" s="4" t="s">
        <v>1161</v>
      </c>
      <c r="B417" s="23" t="n">
        <v>414</v>
      </c>
      <c r="C417" s="6" t="n">
        <v>46235</v>
      </c>
      <c r="D417" s="4" t="s">
        <v>1163</v>
      </c>
      <c r="E417" s="4" t="s">
        <v>6267</v>
      </c>
      <c r="F417" s="7" t="n">
        <v>-29321.18</v>
      </c>
      <c r="G417" s="24" t="s">
        <v>5951</v>
      </c>
      <c r="H417" s="4" t="s">
        <v>1160</v>
      </c>
      <c r="I417" s="4"/>
    </row>
    <row r="418" customFormat="false" ht="15" hidden="false" customHeight="false" outlineLevel="0" collapsed="false">
      <c r="A418" s="4" t="s">
        <v>2842</v>
      </c>
      <c r="B418" s="23" t="n">
        <v>415</v>
      </c>
      <c r="C418" s="6" t="n">
        <v>46235</v>
      </c>
      <c r="D418" s="4" t="s">
        <v>2844</v>
      </c>
      <c r="E418" s="4" t="s">
        <v>6268</v>
      </c>
      <c r="F418" s="7" t="n">
        <v>-26876.87</v>
      </c>
      <c r="G418" s="24" t="s">
        <v>5951</v>
      </c>
      <c r="H418" s="4" t="s">
        <v>2841</v>
      </c>
      <c r="I418" s="4"/>
    </row>
    <row r="419" customFormat="false" ht="15" hidden="false" customHeight="false" outlineLevel="0" collapsed="false">
      <c r="A419" s="4" t="s">
        <v>2847</v>
      </c>
      <c r="B419" s="23" t="n">
        <v>416</v>
      </c>
      <c r="C419" s="6" t="n">
        <v>46235</v>
      </c>
      <c r="D419" s="4" t="s">
        <v>2849</v>
      </c>
      <c r="E419" s="4" t="s">
        <v>6269</v>
      </c>
      <c r="F419" s="7" t="n">
        <v>-42701.22</v>
      </c>
      <c r="G419" s="24" t="s">
        <v>5951</v>
      </c>
      <c r="H419" s="4" t="s">
        <v>2846</v>
      </c>
      <c r="I419" s="4"/>
    </row>
    <row r="420" customFormat="false" ht="15" hidden="false" customHeight="false" outlineLevel="0" collapsed="false">
      <c r="A420" s="4" t="s">
        <v>5051</v>
      </c>
      <c r="B420" s="23" t="n">
        <v>417</v>
      </c>
      <c r="C420" s="6" t="n">
        <v>46235</v>
      </c>
      <c r="D420" s="4" t="s">
        <v>5053</v>
      </c>
      <c r="E420" s="4" t="s">
        <v>6270</v>
      </c>
      <c r="F420" s="7" t="n">
        <v>-57431.3</v>
      </c>
      <c r="G420" s="24" t="s">
        <v>5951</v>
      </c>
      <c r="H420" s="4" t="s">
        <v>5050</v>
      </c>
      <c r="I420" s="4"/>
    </row>
    <row r="421" customFormat="false" ht="15" hidden="false" customHeight="false" outlineLevel="0" collapsed="false">
      <c r="A421" s="4" t="s">
        <v>5464</v>
      </c>
      <c r="B421" s="23" t="n">
        <v>418</v>
      </c>
      <c r="C421" s="6" t="n">
        <v>46235</v>
      </c>
      <c r="D421" s="4" t="s">
        <v>5466</v>
      </c>
      <c r="E421" s="4" t="s">
        <v>6271</v>
      </c>
      <c r="F421" s="7" t="n">
        <v>-3601.61</v>
      </c>
      <c r="G421" s="24" t="s">
        <v>5951</v>
      </c>
      <c r="H421" s="4" t="s">
        <v>5463</v>
      </c>
      <c r="I421" s="4"/>
    </row>
    <row r="422" customFormat="false" ht="15" hidden="false" customHeight="false" outlineLevel="0" collapsed="false">
      <c r="A422" s="4" t="s">
        <v>5056</v>
      </c>
      <c r="B422" s="23" t="n">
        <v>419</v>
      </c>
      <c r="C422" s="6" t="n">
        <v>46235</v>
      </c>
      <c r="D422" s="4" t="s">
        <v>5058</v>
      </c>
      <c r="E422" s="4" t="s">
        <v>6272</v>
      </c>
      <c r="F422" s="7" t="n">
        <v>-30068.11</v>
      </c>
      <c r="G422" s="24" t="s">
        <v>5951</v>
      </c>
      <c r="H422" s="4" t="s">
        <v>5055</v>
      </c>
      <c r="I422" s="4"/>
    </row>
    <row r="423" customFormat="false" ht="15" hidden="false" customHeight="false" outlineLevel="0" collapsed="false">
      <c r="A423" s="4" t="s">
        <v>2852</v>
      </c>
      <c r="B423" s="23" t="n">
        <v>420</v>
      </c>
      <c r="C423" s="6" t="n">
        <v>46236</v>
      </c>
      <c r="D423" s="4" t="s">
        <v>2854</v>
      </c>
      <c r="E423" s="4" t="s">
        <v>6273</v>
      </c>
      <c r="F423" s="7" t="n">
        <v>14899.3</v>
      </c>
      <c r="G423" s="24" t="s">
        <v>5951</v>
      </c>
      <c r="H423" s="4" t="s">
        <v>2851</v>
      </c>
      <c r="I423" s="4"/>
    </row>
    <row r="424" customFormat="false" ht="15" hidden="false" customHeight="false" outlineLevel="0" collapsed="false">
      <c r="A424" s="4" t="s">
        <v>1166</v>
      </c>
      <c r="B424" s="23" t="n">
        <v>421</v>
      </c>
      <c r="C424" s="6" t="n">
        <v>46236</v>
      </c>
      <c r="D424" s="4" t="s">
        <v>1168</v>
      </c>
      <c r="E424" s="4" t="s">
        <v>6274</v>
      </c>
      <c r="F424" s="7" t="n">
        <v>22415.9</v>
      </c>
      <c r="G424" s="24" t="s">
        <v>5951</v>
      </c>
      <c r="H424" s="4" t="s">
        <v>1165</v>
      </c>
      <c r="I424" s="4"/>
    </row>
    <row r="425" customFormat="false" ht="15" hidden="false" customHeight="false" outlineLevel="0" collapsed="false">
      <c r="A425" s="4" t="s">
        <v>1171</v>
      </c>
      <c r="B425" s="23" t="n">
        <v>422</v>
      </c>
      <c r="C425" s="6" t="n">
        <v>46236</v>
      </c>
      <c r="D425" s="4" t="s">
        <v>1173</v>
      </c>
      <c r="E425" s="4"/>
      <c r="F425" s="7" t="n">
        <v>4671.01</v>
      </c>
      <c r="G425" s="24" t="s">
        <v>5951</v>
      </c>
      <c r="H425" s="4" t="s">
        <v>1170</v>
      </c>
      <c r="I425" s="4"/>
    </row>
    <row r="426" customFormat="false" ht="15" hidden="false" customHeight="false" outlineLevel="0" collapsed="false">
      <c r="A426" s="4" t="s">
        <v>2857</v>
      </c>
      <c r="B426" s="23" t="n">
        <v>423</v>
      </c>
      <c r="C426" s="6" t="n">
        <v>46236</v>
      </c>
      <c r="D426" s="4" t="s">
        <v>2859</v>
      </c>
      <c r="E426" s="4"/>
      <c r="F426" s="7" t="n">
        <v>28937.86</v>
      </c>
      <c r="G426" s="24" t="s">
        <v>5951</v>
      </c>
      <c r="H426" s="4" t="s">
        <v>2856</v>
      </c>
      <c r="I426" s="4"/>
    </row>
    <row r="427" customFormat="false" ht="15" hidden="false" customHeight="false" outlineLevel="0" collapsed="false">
      <c r="A427" s="4" t="s">
        <v>2862</v>
      </c>
      <c r="B427" s="23" t="n">
        <v>424</v>
      </c>
      <c r="C427" s="6" t="n">
        <v>46236</v>
      </c>
      <c r="D427" s="4" t="s">
        <v>2864</v>
      </c>
      <c r="E427" s="4"/>
      <c r="F427" s="7" t="n">
        <v>72265.48</v>
      </c>
      <c r="G427" s="24" t="s">
        <v>5951</v>
      </c>
      <c r="H427" s="4" t="s">
        <v>2861</v>
      </c>
      <c r="I427" s="4"/>
    </row>
    <row r="428" customFormat="false" ht="15" hidden="false" customHeight="false" outlineLevel="0" collapsed="false">
      <c r="A428" s="4" t="s">
        <v>2867</v>
      </c>
      <c r="B428" s="23" t="n">
        <v>425</v>
      </c>
      <c r="C428" s="6" t="n">
        <v>46236</v>
      </c>
      <c r="D428" s="4" t="s">
        <v>2869</v>
      </c>
      <c r="E428" s="4" t="s">
        <v>6275</v>
      </c>
      <c r="F428" s="7" t="n">
        <v>31355.47</v>
      </c>
      <c r="G428" s="24" t="s">
        <v>5951</v>
      </c>
      <c r="H428" s="4" t="s">
        <v>2866</v>
      </c>
      <c r="I428" s="4"/>
    </row>
    <row r="429" customFormat="false" ht="15" hidden="false" customHeight="false" outlineLevel="0" collapsed="false">
      <c r="A429" s="4" t="s">
        <v>1176</v>
      </c>
      <c r="B429" s="23" t="n">
        <v>426</v>
      </c>
      <c r="C429" s="6" t="n">
        <v>46236</v>
      </c>
      <c r="D429" s="4" t="s">
        <v>1178</v>
      </c>
      <c r="E429" s="4" t="s">
        <v>6276</v>
      </c>
      <c r="F429" s="7" t="n">
        <v>35282.56</v>
      </c>
      <c r="G429" s="24" t="s">
        <v>5951</v>
      </c>
      <c r="H429" s="4" t="s">
        <v>1175</v>
      </c>
      <c r="I429" s="4"/>
    </row>
    <row r="430" customFormat="false" ht="15" hidden="false" customHeight="false" outlineLevel="0" collapsed="false">
      <c r="A430" s="4" t="s">
        <v>2872</v>
      </c>
      <c r="B430" s="23" t="n">
        <v>427</v>
      </c>
      <c r="C430" s="6" t="n">
        <v>46236</v>
      </c>
      <c r="D430" s="4" t="s">
        <v>2874</v>
      </c>
      <c r="E430" s="4"/>
      <c r="F430" s="7" t="n">
        <v>67438.79</v>
      </c>
      <c r="G430" s="24" t="s">
        <v>5951</v>
      </c>
      <c r="H430" s="4" t="s">
        <v>2871</v>
      </c>
      <c r="I430" s="4"/>
    </row>
    <row r="431" customFormat="false" ht="15" hidden="false" customHeight="false" outlineLevel="0" collapsed="false">
      <c r="A431" s="4" t="s">
        <v>2877</v>
      </c>
      <c r="B431" s="23" t="n">
        <v>428</v>
      </c>
      <c r="C431" s="6" t="n">
        <v>46236</v>
      </c>
      <c r="D431" s="4" t="s">
        <v>2879</v>
      </c>
      <c r="E431" s="4" t="s">
        <v>6277</v>
      </c>
      <c r="F431" s="7" t="n">
        <v>88958.64</v>
      </c>
      <c r="G431" s="24" t="s">
        <v>5951</v>
      </c>
      <c r="H431" s="4" t="s">
        <v>2876</v>
      </c>
      <c r="I431" s="4"/>
    </row>
    <row r="432" customFormat="false" ht="15" hidden="false" customHeight="false" outlineLevel="0" collapsed="false">
      <c r="A432" s="4" t="s">
        <v>4108</v>
      </c>
      <c r="B432" s="23" t="n">
        <v>429</v>
      </c>
      <c r="C432" s="6" t="n">
        <v>46236</v>
      </c>
      <c r="D432" s="4" t="s">
        <v>4110</v>
      </c>
      <c r="E432" s="4" t="s">
        <v>6278</v>
      </c>
      <c r="F432" s="7" t="n">
        <v>-9063.67</v>
      </c>
      <c r="G432" s="24" t="s">
        <v>5951</v>
      </c>
      <c r="H432" s="4" t="s">
        <v>4107</v>
      </c>
      <c r="I432" s="4"/>
    </row>
    <row r="433" customFormat="false" ht="15" hidden="false" customHeight="false" outlineLevel="0" collapsed="false">
      <c r="A433" s="4" t="s">
        <v>5469</v>
      </c>
      <c r="B433" s="23" t="n">
        <v>430</v>
      </c>
      <c r="C433" s="6" t="n">
        <v>46236</v>
      </c>
      <c r="D433" s="4" t="s">
        <v>5471</v>
      </c>
      <c r="E433" s="4" t="s">
        <v>6279</v>
      </c>
      <c r="F433" s="7" t="n">
        <v>-22391.07</v>
      </c>
      <c r="G433" s="24" t="s">
        <v>5951</v>
      </c>
      <c r="H433" s="4" t="s">
        <v>5468</v>
      </c>
      <c r="I433" s="4"/>
    </row>
    <row r="434" customFormat="false" ht="15" hidden="false" customHeight="false" outlineLevel="0" collapsed="false">
      <c r="A434" s="4" t="s">
        <v>5474</v>
      </c>
      <c r="B434" s="23" t="n">
        <v>431</v>
      </c>
      <c r="C434" s="6" t="n">
        <v>46236</v>
      </c>
      <c r="D434" s="4" t="s">
        <v>5476</v>
      </c>
      <c r="E434" s="4" t="s">
        <v>6280</v>
      </c>
      <c r="F434" s="7" t="n">
        <v>-29024.38</v>
      </c>
      <c r="G434" s="24" t="s">
        <v>5951</v>
      </c>
      <c r="H434" s="4" t="s">
        <v>5473</v>
      </c>
      <c r="I434" s="4"/>
    </row>
    <row r="435" customFormat="false" ht="15" hidden="false" customHeight="false" outlineLevel="0" collapsed="false">
      <c r="A435" s="4" t="s">
        <v>5061</v>
      </c>
      <c r="B435" s="23" t="n">
        <v>432</v>
      </c>
      <c r="C435" s="6" t="n">
        <v>46236</v>
      </c>
      <c r="D435" s="4" t="s">
        <v>5063</v>
      </c>
      <c r="E435" s="4" t="s">
        <v>6281</v>
      </c>
      <c r="F435" s="7" t="n">
        <v>-33464.26</v>
      </c>
      <c r="G435" s="24" t="s">
        <v>5951</v>
      </c>
      <c r="H435" s="4" t="s">
        <v>5060</v>
      </c>
      <c r="I435" s="4"/>
    </row>
    <row r="436" customFormat="false" ht="15" hidden="false" customHeight="false" outlineLevel="0" collapsed="false">
      <c r="A436" s="4" t="s">
        <v>1181</v>
      </c>
      <c r="B436" s="23" t="n">
        <v>433</v>
      </c>
      <c r="C436" s="6" t="n">
        <v>46236</v>
      </c>
      <c r="D436" s="4" t="s">
        <v>1183</v>
      </c>
      <c r="E436" s="4" t="s">
        <v>6282</v>
      </c>
      <c r="F436" s="7" t="n">
        <v>-40990.92</v>
      </c>
      <c r="G436" s="24" t="s">
        <v>5951</v>
      </c>
      <c r="H436" s="4" t="s">
        <v>1180</v>
      </c>
      <c r="I436" s="4"/>
    </row>
    <row r="437" customFormat="false" ht="15" hidden="false" customHeight="false" outlineLevel="0" collapsed="false">
      <c r="A437" s="4" t="s">
        <v>2882</v>
      </c>
      <c r="B437" s="23" t="n">
        <v>434</v>
      </c>
      <c r="C437" s="6" t="n">
        <v>46236</v>
      </c>
      <c r="D437" s="4" t="s">
        <v>2884</v>
      </c>
      <c r="E437" s="4" t="s">
        <v>6283</v>
      </c>
      <c r="F437" s="7" t="n">
        <v>-30472.13</v>
      </c>
      <c r="G437" s="24" t="s">
        <v>5951</v>
      </c>
      <c r="H437" s="4" t="s">
        <v>2881</v>
      </c>
      <c r="I437" s="4"/>
    </row>
    <row r="438" customFormat="false" ht="15" hidden="false" customHeight="false" outlineLevel="0" collapsed="false">
      <c r="A438" s="4" t="s">
        <v>4676</v>
      </c>
      <c r="B438" s="23" t="n">
        <v>435</v>
      </c>
      <c r="C438" s="6" t="n">
        <v>46236</v>
      </c>
      <c r="D438" s="4" t="s">
        <v>4678</v>
      </c>
      <c r="E438" s="4" t="s">
        <v>6284</v>
      </c>
      <c r="F438" s="7" t="n">
        <v>-59376.75</v>
      </c>
      <c r="G438" s="24" t="s">
        <v>5951</v>
      </c>
      <c r="H438" s="4" t="s">
        <v>4675</v>
      </c>
      <c r="I438" s="4"/>
    </row>
    <row r="439" customFormat="false" ht="15" hidden="false" customHeight="false" outlineLevel="0" collapsed="false">
      <c r="A439" s="4" t="s">
        <v>1186</v>
      </c>
      <c r="B439" s="23" t="n">
        <v>436</v>
      </c>
      <c r="C439" s="6" t="n">
        <v>46236</v>
      </c>
      <c r="D439" s="4" t="s">
        <v>1188</v>
      </c>
      <c r="E439" s="4" t="s">
        <v>6285</v>
      </c>
      <c r="F439" s="7" t="n">
        <v>-48192.63</v>
      </c>
      <c r="G439" s="24" t="s">
        <v>5951</v>
      </c>
      <c r="H439" s="4" t="s">
        <v>1185</v>
      </c>
      <c r="I439" s="4"/>
    </row>
    <row r="440" customFormat="false" ht="15" hidden="false" customHeight="false" outlineLevel="0" collapsed="false">
      <c r="A440" s="4" t="s">
        <v>4113</v>
      </c>
      <c r="B440" s="23" t="n">
        <v>437</v>
      </c>
      <c r="C440" s="6" t="n">
        <v>46237</v>
      </c>
      <c r="D440" s="4" t="s">
        <v>4115</v>
      </c>
      <c r="E440" s="4" t="s">
        <v>6286</v>
      </c>
      <c r="F440" s="7" t="n">
        <v>49713.17</v>
      </c>
      <c r="G440" s="24" t="s">
        <v>5951</v>
      </c>
      <c r="H440" s="4" t="s">
        <v>4112</v>
      </c>
      <c r="I440" s="4"/>
    </row>
    <row r="441" customFormat="false" ht="15" hidden="false" customHeight="false" outlineLevel="0" collapsed="false">
      <c r="A441" s="4" t="s">
        <v>2887</v>
      </c>
      <c r="B441" s="23" t="n">
        <v>438</v>
      </c>
      <c r="C441" s="6" t="n">
        <v>46237</v>
      </c>
      <c r="D441" s="4" t="s">
        <v>2889</v>
      </c>
      <c r="E441" s="4"/>
      <c r="F441" s="7" t="n">
        <v>60541.24</v>
      </c>
      <c r="G441" s="24" t="s">
        <v>5951</v>
      </c>
      <c r="H441" s="4" t="s">
        <v>2886</v>
      </c>
      <c r="I441" s="4"/>
    </row>
    <row r="442" customFormat="false" ht="15" hidden="false" customHeight="false" outlineLevel="0" collapsed="false">
      <c r="A442" s="4" t="s">
        <v>1191</v>
      </c>
      <c r="B442" s="23" t="n">
        <v>439</v>
      </c>
      <c r="C442" s="6" t="n">
        <v>46237</v>
      </c>
      <c r="D442" s="4" t="s">
        <v>1193</v>
      </c>
      <c r="E442" s="4"/>
      <c r="F442" s="7" t="n">
        <v>3455.45</v>
      </c>
      <c r="G442" s="24" t="s">
        <v>5951</v>
      </c>
      <c r="H442" s="4" t="s">
        <v>1190</v>
      </c>
      <c r="I442" s="4"/>
    </row>
    <row r="443" customFormat="false" ht="15" hidden="false" customHeight="false" outlineLevel="0" collapsed="false">
      <c r="A443" s="4" t="s">
        <v>2892</v>
      </c>
      <c r="B443" s="23" t="n">
        <v>440</v>
      </c>
      <c r="C443" s="6" t="n">
        <v>46237</v>
      </c>
      <c r="D443" s="4" t="s">
        <v>2894</v>
      </c>
      <c r="E443" s="4" t="s">
        <v>6287</v>
      </c>
      <c r="F443" s="7" t="n">
        <v>16563.11</v>
      </c>
      <c r="G443" s="24" t="s">
        <v>5951</v>
      </c>
      <c r="H443" s="4" t="s">
        <v>2891</v>
      </c>
      <c r="I443" s="4"/>
    </row>
    <row r="444" customFormat="false" ht="15" hidden="false" customHeight="false" outlineLevel="0" collapsed="false">
      <c r="A444" s="4" t="s">
        <v>2897</v>
      </c>
      <c r="B444" s="23" t="n">
        <v>441</v>
      </c>
      <c r="C444" s="6" t="n">
        <v>46237</v>
      </c>
      <c r="D444" s="4" t="s">
        <v>2899</v>
      </c>
      <c r="E444" s="4" t="s">
        <v>6288</v>
      </c>
      <c r="F444" s="7" t="n">
        <v>38559.36</v>
      </c>
      <c r="G444" s="24" t="s">
        <v>5951</v>
      </c>
      <c r="H444" s="4" t="s">
        <v>2896</v>
      </c>
      <c r="I444" s="4"/>
    </row>
    <row r="445" customFormat="false" ht="15" hidden="false" customHeight="false" outlineLevel="0" collapsed="false">
      <c r="A445" s="4" t="s">
        <v>1196</v>
      </c>
      <c r="B445" s="23" t="n">
        <v>442</v>
      </c>
      <c r="C445" s="6" t="n">
        <v>46237</v>
      </c>
      <c r="D445" s="4" t="s">
        <v>1198</v>
      </c>
      <c r="E445" s="4" t="s">
        <v>6289</v>
      </c>
      <c r="F445" s="7" t="n">
        <v>26373.2</v>
      </c>
      <c r="G445" s="24" t="s">
        <v>5951</v>
      </c>
      <c r="H445" s="4" t="s">
        <v>1195</v>
      </c>
      <c r="I445" s="4"/>
    </row>
    <row r="446" customFormat="false" ht="15" hidden="false" customHeight="false" outlineLevel="0" collapsed="false">
      <c r="A446" s="4" t="s">
        <v>4118</v>
      </c>
      <c r="B446" s="23" t="n">
        <v>443</v>
      </c>
      <c r="C446" s="6" t="n">
        <v>46237</v>
      </c>
      <c r="D446" s="4" t="s">
        <v>4120</v>
      </c>
      <c r="E446" s="4" t="s">
        <v>6290</v>
      </c>
      <c r="F446" s="7" t="n">
        <v>26152.14</v>
      </c>
      <c r="G446" s="24" t="s">
        <v>5951</v>
      </c>
      <c r="H446" s="4" t="s">
        <v>4117</v>
      </c>
      <c r="I446" s="4"/>
    </row>
    <row r="447" customFormat="false" ht="15" hidden="false" customHeight="false" outlineLevel="0" collapsed="false">
      <c r="A447" s="4" t="s">
        <v>1201</v>
      </c>
      <c r="B447" s="23" t="n">
        <v>444</v>
      </c>
      <c r="C447" s="6" t="n">
        <v>46237</v>
      </c>
      <c r="D447" s="4" t="s">
        <v>1203</v>
      </c>
      <c r="E447" s="4" t="s">
        <v>6291</v>
      </c>
      <c r="F447" s="7" t="n">
        <v>88116.39</v>
      </c>
      <c r="G447" s="24" t="s">
        <v>5951</v>
      </c>
      <c r="H447" s="4" t="s">
        <v>1200</v>
      </c>
      <c r="I447" s="4"/>
    </row>
    <row r="448" customFormat="false" ht="15" hidden="false" customHeight="false" outlineLevel="0" collapsed="false">
      <c r="A448" s="4" t="s">
        <v>1206</v>
      </c>
      <c r="B448" s="23" t="n">
        <v>445</v>
      </c>
      <c r="C448" s="6" t="n">
        <v>46237</v>
      </c>
      <c r="D448" s="4" t="s">
        <v>1208</v>
      </c>
      <c r="E448" s="4" t="s">
        <v>6292</v>
      </c>
      <c r="F448" s="7" t="n">
        <v>4400.95</v>
      </c>
      <c r="G448" s="24" t="s">
        <v>5951</v>
      </c>
      <c r="H448" s="4" t="s">
        <v>1205</v>
      </c>
      <c r="I448" s="4"/>
    </row>
    <row r="449" customFormat="false" ht="15" hidden="false" customHeight="false" outlineLevel="0" collapsed="false">
      <c r="A449" s="4" t="s">
        <v>1211</v>
      </c>
      <c r="B449" s="23" t="n">
        <v>446</v>
      </c>
      <c r="C449" s="6" t="n">
        <v>46237</v>
      </c>
      <c r="D449" s="4" t="s">
        <v>1213</v>
      </c>
      <c r="E449" s="4" t="s">
        <v>6293</v>
      </c>
      <c r="F449" s="7" t="n">
        <v>33959.45</v>
      </c>
      <c r="G449" s="24" t="s">
        <v>5951</v>
      </c>
      <c r="H449" s="4" t="s">
        <v>1210</v>
      </c>
      <c r="I449" s="4"/>
    </row>
    <row r="450" customFormat="false" ht="15" hidden="false" customHeight="false" outlineLevel="0" collapsed="false">
      <c r="A450" s="4" t="s">
        <v>4681</v>
      </c>
      <c r="B450" s="23" t="n">
        <v>447</v>
      </c>
      <c r="C450" s="6" t="n">
        <v>46237</v>
      </c>
      <c r="D450" s="4" t="s">
        <v>4683</v>
      </c>
      <c r="E450" s="4" t="s">
        <v>6294</v>
      </c>
      <c r="F450" s="7" t="n">
        <v>-17373.42</v>
      </c>
      <c r="G450" s="24" t="s">
        <v>5951</v>
      </c>
      <c r="H450" s="4" t="s">
        <v>4680</v>
      </c>
      <c r="I450" s="4"/>
    </row>
    <row r="451" customFormat="false" ht="15" hidden="false" customHeight="false" outlineLevel="0" collapsed="false">
      <c r="A451" s="4" t="s">
        <v>5066</v>
      </c>
      <c r="B451" s="23" t="n">
        <v>448</v>
      </c>
      <c r="C451" s="6" t="n">
        <v>46237</v>
      </c>
      <c r="D451" s="4" t="s">
        <v>5068</v>
      </c>
      <c r="E451" s="4" t="s">
        <v>6295</v>
      </c>
      <c r="F451" s="7" t="n">
        <v>-34090.72</v>
      </c>
      <c r="G451" s="24" t="s">
        <v>5951</v>
      </c>
      <c r="H451" s="4" t="s">
        <v>5065</v>
      </c>
      <c r="I451" s="4"/>
    </row>
    <row r="452" customFormat="false" ht="15" hidden="false" customHeight="false" outlineLevel="0" collapsed="false">
      <c r="A452" s="4" t="s">
        <v>2902</v>
      </c>
      <c r="B452" s="23" t="n">
        <v>449</v>
      </c>
      <c r="C452" s="6" t="n">
        <v>46237</v>
      </c>
      <c r="D452" s="4" t="s">
        <v>2904</v>
      </c>
      <c r="E452" s="4" t="s">
        <v>6296</v>
      </c>
      <c r="F452" s="7" t="n">
        <v>-55222.9</v>
      </c>
      <c r="G452" s="24" t="s">
        <v>5951</v>
      </c>
      <c r="H452" s="4" t="s">
        <v>2901</v>
      </c>
      <c r="I452" s="4"/>
    </row>
    <row r="453" customFormat="false" ht="15" hidden="false" customHeight="false" outlineLevel="0" collapsed="false">
      <c r="A453" s="4" t="s">
        <v>5479</v>
      </c>
      <c r="B453" s="23" t="n">
        <v>450</v>
      </c>
      <c r="C453" s="6" t="n">
        <v>46237</v>
      </c>
      <c r="D453" s="4" t="s">
        <v>5481</v>
      </c>
      <c r="E453" s="4" t="s">
        <v>6297</v>
      </c>
      <c r="F453" s="7" t="n">
        <v>-50962.56</v>
      </c>
      <c r="G453" s="24" t="s">
        <v>5951</v>
      </c>
      <c r="H453" s="4" t="s">
        <v>5478</v>
      </c>
      <c r="I453" s="4"/>
    </row>
    <row r="454" customFormat="false" ht="15" hidden="false" customHeight="false" outlineLevel="0" collapsed="false">
      <c r="A454" s="4" t="s">
        <v>4123</v>
      </c>
      <c r="B454" s="23" t="n">
        <v>451</v>
      </c>
      <c r="C454" s="6" t="n">
        <v>46237</v>
      </c>
      <c r="D454" s="4" t="s">
        <v>4125</v>
      </c>
      <c r="E454" s="4" t="s">
        <v>6298</v>
      </c>
      <c r="F454" s="7" t="n">
        <v>-55558.74</v>
      </c>
      <c r="G454" s="24" t="s">
        <v>5951</v>
      </c>
      <c r="H454" s="4" t="s">
        <v>4122</v>
      </c>
      <c r="I454" s="4"/>
    </row>
    <row r="455" customFormat="false" ht="15" hidden="false" customHeight="false" outlineLevel="0" collapsed="false">
      <c r="A455" s="4" t="s">
        <v>5071</v>
      </c>
      <c r="B455" s="23" t="n">
        <v>452</v>
      </c>
      <c r="C455" s="6" t="n">
        <v>46237</v>
      </c>
      <c r="D455" s="4" t="s">
        <v>5073</v>
      </c>
      <c r="E455" s="4" t="s">
        <v>6299</v>
      </c>
      <c r="F455" s="7" t="n">
        <v>-30534.47</v>
      </c>
      <c r="G455" s="24" t="s">
        <v>5951</v>
      </c>
      <c r="H455" s="4" t="s">
        <v>5070</v>
      </c>
      <c r="I455" s="4"/>
    </row>
    <row r="456" customFormat="false" ht="15" hidden="false" customHeight="false" outlineLevel="0" collapsed="false">
      <c r="A456" s="4" t="s">
        <v>5484</v>
      </c>
      <c r="B456" s="23" t="n">
        <v>453</v>
      </c>
      <c r="C456" s="6" t="n">
        <v>46237</v>
      </c>
      <c r="D456" s="4" t="s">
        <v>5486</v>
      </c>
      <c r="E456" s="4" t="s">
        <v>6300</v>
      </c>
      <c r="F456" s="7" t="n">
        <v>-652.95</v>
      </c>
      <c r="G456" s="24" t="s">
        <v>5951</v>
      </c>
      <c r="H456" s="4" t="s">
        <v>5483</v>
      </c>
      <c r="I456" s="4"/>
    </row>
    <row r="457" customFormat="false" ht="15" hidden="false" customHeight="false" outlineLevel="0" collapsed="false">
      <c r="A457" s="4" t="s">
        <v>2907</v>
      </c>
      <c r="B457" s="23" t="n">
        <v>454</v>
      </c>
      <c r="C457" s="6" t="n">
        <v>46237</v>
      </c>
      <c r="D457" s="4" t="s">
        <v>2909</v>
      </c>
      <c r="E457" s="4" t="s">
        <v>6301</v>
      </c>
      <c r="F457" s="7" t="n">
        <v>-55057.04</v>
      </c>
      <c r="G457" s="24" t="s">
        <v>5951</v>
      </c>
      <c r="H457" s="4" t="s">
        <v>2906</v>
      </c>
      <c r="I457" s="4"/>
    </row>
    <row r="458" customFormat="false" ht="15" hidden="false" customHeight="false" outlineLevel="0" collapsed="false">
      <c r="A458" s="4" t="s">
        <v>252</v>
      </c>
      <c r="B458" s="23" t="n">
        <v>455</v>
      </c>
      <c r="C458" s="6" t="n">
        <v>46237</v>
      </c>
      <c r="D458" s="4" t="s">
        <v>253</v>
      </c>
      <c r="E458" s="4"/>
      <c r="F458" s="7" t="n">
        <v>-4632.37</v>
      </c>
      <c r="G458" s="26" t="s">
        <v>6043</v>
      </c>
      <c r="H458" s="4"/>
      <c r="I458" s="4" t="s">
        <v>251</v>
      </c>
    </row>
    <row r="459" customFormat="false" ht="15" hidden="false" customHeight="false" outlineLevel="0" collapsed="false">
      <c r="A459" s="4" t="s">
        <v>2912</v>
      </c>
      <c r="B459" s="23" t="n">
        <v>456</v>
      </c>
      <c r="C459" s="6" t="n">
        <v>46238</v>
      </c>
      <c r="D459" s="4" t="s">
        <v>2914</v>
      </c>
      <c r="E459" s="4"/>
      <c r="F459" s="7" t="n">
        <v>78419.51</v>
      </c>
      <c r="G459" s="24" t="s">
        <v>5951</v>
      </c>
      <c r="H459" s="4" t="s">
        <v>2911</v>
      </c>
      <c r="I459" s="4"/>
    </row>
    <row r="460" customFormat="false" ht="15" hidden="false" customHeight="false" outlineLevel="0" collapsed="false">
      <c r="A460" s="4" t="s">
        <v>2917</v>
      </c>
      <c r="B460" s="23" t="n">
        <v>457</v>
      </c>
      <c r="C460" s="6" t="n">
        <v>46238</v>
      </c>
      <c r="D460" s="4" t="s">
        <v>2919</v>
      </c>
      <c r="E460" s="4" t="s">
        <v>6302</v>
      </c>
      <c r="F460" s="7" t="n">
        <v>92819.25</v>
      </c>
      <c r="G460" s="24" t="s">
        <v>5951</v>
      </c>
      <c r="H460" s="4" t="s">
        <v>2916</v>
      </c>
      <c r="I460" s="4"/>
    </row>
    <row r="461" customFormat="false" ht="15" hidden="false" customHeight="false" outlineLevel="0" collapsed="false">
      <c r="A461" s="4" t="s">
        <v>2922</v>
      </c>
      <c r="B461" s="23" t="n">
        <v>458</v>
      </c>
      <c r="C461" s="6" t="n">
        <v>46238</v>
      </c>
      <c r="D461" s="4" t="s">
        <v>2924</v>
      </c>
      <c r="E461" s="4" t="s">
        <v>6303</v>
      </c>
      <c r="F461" s="7" t="n">
        <v>-14542.2</v>
      </c>
      <c r="G461" s="24" t="s">
        <v>5951</v>
      </c>
      <c r="H461" s="4" t="s">
        <v>2921</v>
      </c>
      <c r="I461" s="4"/>
    </row>
    <row r="462" customFormat="false" ht="15" hidden="false" customHeight="false" outlineLevel="0" collapsed="false">
      <c r="A462" s="4" t="s">
        <v>2927</v>
      </c>
      <c r="B462" s="23" t="n">
        <v>459</v>
      </c>
      <c r="C462" s="6" t="n">
        <v>46238</v>
      </c>
      <c r="D462" s="4" t="s">
        <v>2929</v>
      </c>
      <c r="E462" s="4" t="s">
        <v>6304</v>
      </c>
      <c r="F462" s="7" t="n">
        <v>-7069.82</v>
      </c>
      <c r="G462" s="24" t="s">
        <v>5951</v>
      </c>
      <c r="H462" s="4" t="s">
        <v>2926</v>
      </c>
      <c r="I462" s="4"/>
    </row>
    <row r="463" customFormat="false" ht="15" hidden="false" customHeight="false" outlineLevel="0" collapsed="false">
      <c r="A463" s="4" t="s">
        <v>1216</v>
      </c>
      <c r="B463" s="23" t="n">
        <v>460</v>
      </c>
      <c r="C463" s="6" t="n">
        <v>46238</v>
      </c>
      <c r="D463" s="4" t="s">
        <v>1218</v>
      </c>
      <c r="E463" s="4" t="s">
        <v>6305</v>
      </c>
      <c r="F463" s="7" t="n">
        <v>-16723.68</v>
      </c>
      <c r="G463" s="24" t="s">
        <v>5951</v>
      </c>
      <c r="H463" s="4" t="s">
        <v>1215</v>
      </c>
      <c r="I463" s="4"/>
    </row>
    <row r="464" customFormat="false" ht="15" hidden="false" customHeight="false" outlineLevel="0" collapsed="false">
      <c r="A464" s="4" t="s">
        <v>4686</v>
      </c>
      <c r="B464" s="23" t="n">
        <v>461</v>
      </c>
      <c r="C464" s="6" t="n">
        <v>46238</v>
      </c>
      <c r="D464" s="4" t="s">
        <v>4688</v>
      </c>
      <c r="E464" s="4" t="s">
        <v>6306</v>
      </c>
      <c r="F464" s="7" t="n">
        <v>-2228.06</v>
      </c>
      <c r="G464" s="24" t="s">
        <v>5951</v>
      </c>
      <c r="H464" s="4" t="s">
        <v>4685</v>
      </c>
      <c r="I464" s="4"/>
    </row>
    <row r="465" customFormat="false" ht="15" hidden="false" customHeight="false" outlineLevel="0" collapsed="false">
      <c r="A465" s="4" t="s">
        <v>1221</v>
      </c>
      <c r="B465" s="23" t="n">
        <v>462</v>
      </c>
      <c r="C465" s="6" t="n">
        <v>46238</v>
      </c>
      <c r="D465" s="4" t="s">
        <v>1223</v>
      </c>
      <c r="E465" s="4" t="s">
        <v>6307</v>
      </c>
      <c r="F465" s="7" t="n">
        <v>-57139.7</v>
      </c>
      <c r="G465" s="24" t="s">
        <v>5951</v>
      </c>
      <c r="H465" s="4" t="s">
        <v>1220</v>
      </c>
      <c r="I465" s="4"/>
    </row>
    <row r="466" customFormat="false" ht="15" hidden="false" customHeight="false" outlineLevel="0" collapsed="false">
      <c r="A466" s="4" t="s">
        <v>5817</v>
      </c>
      <c r="B466" s="23" t="n">
        <v>463</v>
      </c>
      <c r="C466" s="6" t="n">
        <v>46238</v>
      </c>
      <c r="D466" s="4" t="s">
        <v>5806</v>
      </c>
      <c r="E466" s="4"/>
      <c r="F466" s="7" t="n">
        <v>-2404.01</v>
      </c>
      <c r="G466" s="24" t="s">
        <v>5951</v>
      </c>
      <c r="H466" s="4" t="s">
        <v>5816</v>
      </c>
      <c r="I466" s="4"/>
    </row>
    <row r="467" customFormat="false" ht="15" hidden="false" customHeight="false" outlineLevel="0" collapsed="false">
      <c r="A467" s="4" t="s">
        <v>2932</v>
      </c>
      <c r="B467" s="23" t="n">
        <v>464</v>
      </c>
      <c r="C467" s="6" t="n">
        <v>46239</v>
      </c>
      <c r="D467" s="4" t="s">
        <v>2934</v>
      </c>
      <c r="E467" s="4" t="s">
        <v>6308</v>
      </c>
      <c r="F467" s="7" t="n">
        <v>11610.83</v>
      </c>
      <c r="G467" s="24" t="s">
        <v>5951</v>
      </c>
      <c r="H467" s="4" t="s">
        <v>2931</v>
      </c>
      <c r="I467" s="4"/>
    </row>
    <row r="468" customFormat="false" ht="15" hidden="false" customHeight="false" outlineLevel="0" collapsed="false">
      <c r="A468" s="4" t="s">
        <v>4128</v>
      </c>
      <c r="B468" s="23" t="n">
        <v>465</v>
      </c>
      <c r="C468" s="6" t="n">
        <v>46239</v>
      </c>
      <c r="D468" s="4" t="s">
        <v>4130</v>
      </c>
      <c r="E468" s="4" t="s">
        <v>6309</v>
      </c>
      <c r="F468" s="7" t="n">
        <v>89680.61</v>
      </c>
      <c r="G468" s="24" t="s">
        <v>5951</v>
      </c>
      <c r="H468" s="4" t="s">
        <v>4127</v>
      </c>
      <c r="I468" s="4"/>
    </row>
    <row r="469" customFormat="false" ht="15" hidden="false" customHeight="false" outlineLevel="0" collapsed="false">
      <c r="A469" s="4" t="s">
        <v>2937</v>
      </c>
      <c r="B469" s="23" t="n">
        <v>466</v>
      </c>
      <c r="C469" s="6" t="n">
        <v>46239</v>
      </c>
      <c r="D469" s="4" t="s">
        <v>2939</v>
      </c>
      <c r="E469" s="4"/>
      <c r="F469" s="7" t="n">
        <v>20052.39</v>
      </c>
      <c r="G469" s="24" t="s">
        <v>5951</v>
      </c>
      <c r="H469" s="4" t="s">
        <v>2936</v>
      </c>
      <c r="I469" s="4"/>
    </row>
    <row r="470" customFormat="false" ht="15" hidden="false" customHeight="false" outlineLevel="0" collapsed="false">
      <c r="A470" s="4" t="s">
        <v>1226</v>
      </c>
      <c r="B470" s="23" t="n">
        <v>467</v>
      </c>
      <c r="C470" s="6" t="n">
        <v>46239</v>
      </c>
      <c r="D470" s="4" t="s">
        <v>1228</v>
      </c>
      <c r="E470" s="4" t="s">
        <v>6310</v>
      </c>
      <c r="F470" s="7" t="n">
        <v>42380.85</v>
      </c>
      <c r="G470" s="24" t="s">
        <v>5951</v>
      </c>
      <c r="H470" s="4" t="s">
        <v>1225</v>
      </c>
      <c r="I470" s="4"/>
    </row>
    <row r="471" customFormat="false" ht="15" hidden="false" customHeight="false" outlineLevel="0" collapsed="false">
      <c r="A471" s="4" t="s">
        <v>2942</v>
      </c>
      <c r="B471" s="23" t="n">
        <v>468</v>
      </c>
      <c r="C471" s="6" t="n">
        <v>46239</v>
      </c>
      <c r="D471" s="4" t="s">
        <v>2944</v>
      </c>
      <c r="E471" s="4" t="s">
        <v>6311</v>
      </c>
      <c r="F471" s="7" t="n">
        <v>16700.12</v>
      </c>
      <c r="G471" s="24" t="s">
        <v>5951</v>
      </c>
      <c r="H471" s="4" t="s">
        <v>2941</v>
      </c>
      <c r="I471" s="4"/>
    </row>
    <row r="472" customFormat="false" ht="15" hidden="false" customHeight="false" outlineLevel="0" collapsed="false">
      <c r="A472" s="4" t="s">
        <v>4133</v>
      </c>
      <c r="B472" s="23" t="n">
        <v>469</v>
      </c>
      <c r="C472" s="6" t="n">
        <v>46239</v>
      </c>
      <c r="D472" s="4" t="s">
        <v>4135</v>
      </c>
      <c r="E472" s="4" t="s">
        <v>6312</v>
      </c>
      <c r="F472" s="7" t="n">
        <v>56322.32</v>
      </c>
      <c r="G472" s="24" t="s">
        <v>5951</v>
      </c>
      <c r="H472" s="4" t="s">
        <v>4132</v>
      </c>
      <c r="I472" s="4"/>
    </row>
    <row r="473" customFormat="false" ht="15" hidden="false" customHeight="false" outlineLevel="0" collapsed="false">
      <c r="A473" s="4" t="s">
        <v>4691</v>
      </c>
      <c r="B473" s="23" t="n">
        <v>470</v>
      </c>
      <c r="C473" s="6" t="n">
        <v>46239</v>
      </c>
      <c r="D473" s="4" t="s">
        <v>4693</v>
      </c>
      <c r="E473" s="4" t="s">
        <v>6313</v>
      </c>
      <c r="F473" s="7" t="n">
        <v>-25393.4</v>
      </c>
      <c r="G473" s="24" t="s">
        <v>5951</v>
      </c>
      <c r="H473" s="4" t="s">
        <v>4690</v>
      </c>
      <c r="I473" s="4"/>
    </row>
    <row r="474" customFormat="false" ht="15" hidden="false" customHeight="false" outlineLevel="0" collapsed="false">
      <c r="A474" s="4" t="s">
        <v>4138</v>
      </c>
      <c r="B474" s="23" t="n">
        <v>471</v>
      </c>
      <c r="C474" s="6" t="n">
        <v>46239</v>
      </c>
      <c r="D474" s="4" t="s">
        <v>4140</v>
      </c>
      <c r="E474" s="4" t="s">
        <v>6314</v>
      </c>
      <c r="F474" s="7" t="n">
        <v>-30250.1</v>
      </c>
      <c r="G474" s="24" t="s">
        <v>5951</v>
      </c>
      <c r="H474" s="4" t="s">
        <v>4137</v>
      </c>
      <c r="I474" s="4"/>
    </row>
    <row r="475" customFormat="false" ht="15" hidden="false" customHeight="false" outlineLevel="0" collapsed="false">
      <c r="A475" s="4" t="s">
        <v>2947</v>
      </c>
      <c r="B475" s="23" t="n">
        <v>472</v>
      </c>
      <c r="C475" s="6" t="n">
        <v>46239</v>
      </c>
      <c r="D475" s="4" t="s">
        <v>2949</v>
      </c>
      <c r="E475" s="4" t="s">
        <v>6315</v>
      </c>
      <c r="F475" s="7" t="n">
        <v>-28903.59</v>
      </c>
      <c r="G475" s="24" t="s">
        <v>5951</v>
      </c>
      <c r="H475" s="4" t="s">
        <v>2946</v>
      </c>
      <c r="I475" s="4"/>
    </row>
    <row r="476" customFormat="false" ht="15" hidden="false" customHeight="false" outlineLevel="0" collapsed="false">
      <c r="A476" s="4" t="s">
        <v>4143</v>
      </c>
      <c r="B476" s="23" t="n">
        <v>473</v>
      </c>
      <c r="C476" s="6" t="n">
        <v>46239</v>
      </c>
      <c r="D476" s="4" t="s">
        <v>4145</v>
      </c>
      <c r="E476" s="4" t="s">
        <v>6316</v>
      </c>
      <c r="F476" s="7" t="n">
        <v>-11044.57</v>
      </c>
      <c r="G476" s="24" t="s">
        <v>5951</v>
      </c>
      <c r="H476" s="4" t="s">
        <v>4142</v>
      </c>
      <c r="I476" s="4"/>
    </row>
    <row r="477" customFormat="false" ht="15" hidden="false" customHeight="false" outlineLevel="0" collapsed="false">
      <c r="A477" s="4" t="s">
        <v>5489</v>
      </c>
      <c r="B477" s="23" t="n">
        <v>474</v>
      </c>
      <c r="C477" s="6" t="n">
        <v>46239</v>
      </c>
      <c r="D477" s="4" t="s">
        <v>5491</v>
      </c>
      <c r="E477" s="4" t="s">
        <v>6317</v>
      </c>
      <c r="F477" s="7" t="n">
        <v>-59687.55</v>
      </c>
      <c r="G477" s="24" t="s">
        <v>5951</v>
      </c>
      <c r="H477" s="4" t="s">
        <v>5488</v>
      </c>
      <c r="I477" s="4"/>
    </row>
    <row r="478" customFormat="false" ht="15" hidden="false" customHeight="false" outlineLevel="0" collapsed="false">
      <c r="A478" s="4" t="s">
        <v>4147</v>
      </c>
      <c r="B478" s="23" t="n">
        <v>475</v>
      </c>
      <c r="C478" s="6" t="n">
        <v>46239</v>
      </c>
      <c r="D478" s="4" t="s">
        <v>4149</v>
      </c>
      <c r="E478" s="4" t="s">
        <v>6318</v>
      </c>
      <c r="F478" s="7" t="n">
        <v>-55474.88</v>
      </c>
      <c r="G478" s="24" t="s">
        <v>5951</v>
      </c>
      <c r="H478" s="4" t="s">
        <v>4146</v>
      </c>
      <c r="I478" s="4"/>
    </row>
    <row r="479" customFormat="false" ht="15" hidden="false" customHeight="false" outlineLevel="0" collapsed="false">
      <c r="A479" s="4" t="s">
        <v>5494</v>
      </c>
      <c r="B479" s="23" t="n">
        <v>476</v>
      </c>
      <c r="C479" s="6" t="n">
        <v>46239</v>
      </c>
      <c r="D479" s="4" t="s">
        <v>5496</v>
      </c>
      <c r="E479" s="4" t="s">
        <v>6319</v>
      </c>
      <c r="F479" s="7" t="n">
        <v>-48894.5</v>
      </c>
      <c r="G479" s="24" t="s">
        <v>5951</v>
      </c>
      <c r="H479" s="4" t="s">
        <v>5493</v>
      </c>
      <c r="I479" s="4"/>
    </row>
    <row r="480" customFormat="false" ht="15" hidden="false" customHeight="false" outlineLevel="0" collapsed="false">
      <c r="A480" s="4" t="s">
        <v>4152</v>
      </c>
      <c r="B480" s="23" t="n">
        <v>477</v>
      </c>
      <c r="C480" s="6" t="n">
        <v>46240</v>
      </c>
      <c r="D480" s="4" t="s">
        <v>4154</v>
      </c>
      <c r="E480" s="4"/>
      <c r="F480" s="7" t="n">
        <v>41433.95</v>
      </c>
      <c r="G480" s="24" t="s">
        <v>5951</v>
      </c>
      <c r="H480" s="4" t="s">
        <v>4151</v>
      </c>
      <c r="I480" s="4"/>
    </row>
    <row r="481" customFormat="false" ht="15" hidden="false" customHeight="false" outlineLevel="0" collapsed="false">
      <c r="A481" s="4" t="s">
        <v>2952</v>
      </c>
      <c r="B481" s="23" t="n">
        <v>478</v>
      </c>
      <c r="C481" s="6" t="n">
        <v>46240</v>
      </c>
      <c r="D481" s="4" t="s">
        <v>2954</v>
      </c>
      <c r="E481" s="4"/>
      <c r="F481" s="7" t="n">
        <v>77100.16</v>
      </c>
      <c r="G481" s="24" t="s">
        <v>5951</v>
      </c>
      <c r="H481" s="4" t="s">
        <v>2951</v>
      </c>
      <c r="I481" s="4"/>
    </row>
    <row r="482" customFormat="false" ht="15" hidden="false" customHeight="false" outlineLevel="0" collapsed="false">
      <c r="A482" s="4" t="s">
        <v>4157</v>
      </c>
      <c r="B482" s="23" t="n">
        <v>479</v>
      </c>
      <c r="C482" s="6" t="n">
        <v>46240</v>
      </c>
      <c r="D482" s="4" t="s">
        <v>4159</v>
      </c>
      <c r="E482" s="4" t="s">
        <v>6320</v>
      </c>
      <c r="F482" s="7" t="n">
        <v>75334.29</v>
      </c>
      <c r="G482" s="24" t="s">
        <v>5951</v>
      </c>
      <c r="H482" s="4" t="s">
        <v>4156</v>
      </c>
      <c r="I482" s="4"/>
    </row>
    <row r="483" customFormat="false" ht="15" hidden="false" customHeight="false" outlineLevel="0" collapsed="false">
      <c r="A483" s="4" t="s">
        <v>2957</v>
      </c>
      <c r="B483" s="23" t="n">
        <v>480</v>
      </c>
      <c r="C483" s="6" t="n">
        <v>46240</v>
      </c>
      <c r="D483" s="4" t="s">
        <v>2959</v>
      </c>
      <c r="E483" s="4"/>
      <c r="F483" s="7" t="n">
        <v>27066.92</v>
      </c>
      <c r="G483" s="24" t="s">
        <v>5951</v>
      </c>
      <c r="H483" s="4" t="s">
        <v>2956</v>
      </c>
      <c r="I483" s="4"/>
    </row>
    <row r="484" customFormat="false" ht="15" hidden="false" customHeight="false" outlineLevel="0" collapsed="false">
      <c r="A484" s="4" t="s">
        <v>1231</v>
      </c>
      <c r="B484" s="23" t="n">
        <v>481</v>
      </c>
      <c r="C484" s="6" t="n">
        <v>46240</v>
      </c>
      <c r="D484" s="4" t="s">
        <v>1233</v>
      </c>
      <c r="E484" s="4" t="s">
        <v>6321</v>
      </c>
      <c r="F484" s="7" t="n">
        <v>48209.48</v>
      </c>
      <c r="G484" s="24" t="s">
        <v>5951</v>
      </c>
      <c r="H484" s="4" t="s">
        <v>1230</v>
      </c>
      <c r="I484" s="4"/>
    </row>
    <row r="485" customFormat="false" ht="15" hidden="false" customHeight="false" outlineLevel="0" collapsed="false">
      <c r="A485" s="4" t="s">
        <v>5499</v>
      </c>
      <c r="B485" s="23" t="n">
        <v>482</v>
      </c>
      <c r="C485" s="6" t="n">
        <v>46240</v>
      </c>
      <c r="D485" s="4" t="s">
        <v>5501</v>
      </c>
      <c r="E485" s="4" t="s">
        <v>6322</v>
      </c>
      <c r="F485" s="7" t="n">
        <v>-41912.26</v>
      </c>
      <c r="G485" s="24" t="s">
        <v>5951</v>
      </c>
      <c r="H485" s="4" t="s">
        <v>5498</v>
      </c>
      <c r="I485" s="4"/>
    </row>
    <row r="486" customFormat="false" ht="15" hidden="false" customHeight="false" outlineLevel="0" collapsed="false">
      <c r="A486" s="4" t="s">
        <v>1236</v>
      </c>
      <c r="B486" s="23" t="n">
        <v>483</v>
      </c>
      <c r="C486" s="6" t="n">
        <v>46240</v>
      </c>
      <c r="D486" s="4" t="s">
        <v>1238</v>
      </c>
      <c r="E486" s="4" t="s">
        <v>6323</v>
      </c>
      <c r="F486" s="7" t="n">
        <v>-49458.37</v>
      </c>
      <c r="G486" s="24" t="s">
        <v>5951</v>
      </c>
      <c r="H486" s="4" t="s">
        <v>1235</v>
      </c>
      <c r="I486" s="4"/>
    </row>
    <row r="487" customFormat="false" ht="15" hidden="false" customHeight="false" outlineLevel="0" collapsed="false">
      <c r="A487" s="4" t="s">
        <v>2962</v>
      </c>
      <c r="B487" s="23" t="n">
        <v>484</v>
      </c>
      <c r="C487" s="6" t="n">
        <v>46241</v>
      </c>
      <c r="D487" s="4" t="s">
        <v>2964</v>
      </c>
      <c r="E487" s="4" t="s">
        <v>6324</v>
      </c>
      <c r="F487" s="7" t="n">
        <v>78617.08</v>
      </c>
      <c r="G487" s="24" t="s">
        <v>5951</v>
      </c>
      <c r="H487" s="4" t="s">
        <v>2961</v>
      </c>
      <c r="I487" s="4"/>
    </row>
    <row r="488" customFormat="false" ht="15" hidden="false" customHeight="false" outlineLevel="0" collapsed="false">
      <c r="A488" s="4" t="s">
        <v>2967</v>
      </c>
      <c r="B488" s="23" t="n">
        <v>485</v>
      </c>
      <c r="C488" s="6" t="n">
        <v>46241</v>
      </c>
      <c r="D488" s="4" t="s">
        <v>2969</v>
      </c>
      <c r="E488" s="4"/>
      <c r="F488" s="7" t="n">
        <v>15748.67</v>
      </c>
      <c r="G488" s="24" t="s">
        <v>5951</v>
      </c>
      <c r="H488" s="4" t="s">
        <v>2966</v>
      </c>
      <c r="I488" s="4"/>
    </row>
    <row r="489" customFormat="false" ht="15" hidden="false" customHeight="false" outlineLevel="0" collapsed="false">
      <c r="A489" s="4" t="s">
        <v>1241</v>
      </c>
      <c r="B489" s="23" t="n">
        <v>486</v>
      </c>
      <c r="C489" s="6" t="n">
        <v>46241</v>
      </c>
      <c r="D489" s="4" t="s">
        <v>1243</v>
      </c>
      <c r="E489" s="4" t="s">
        <v>6325</v>
      </c>
      <c r="F489" s="7" t="n">
        <v>27382.02</v>
      </c>
      <c r="G489" s="24" t="s">
        <v>5951</v>
      </c>
      <c r="H489" s="4" t="s">
        <v>1240</v>
      </c>
      <c r="I489" s="4"/>
    </row>
    <row r="490" customFormat="false" ht="15" hidden="false" customHeight="false" outlineLevel="0" collapsed="false">
      <c r="A490" s="4" t="s">
        <v>4162</v>
      </c>
      <c r="B490" s="23" t="n">
        <v>487</v>
      </c>
      <c r="C490" s="6" t="n">
        <v>46241</v>
      </c>
      <c r="D490" s="4" t="s">
        <v>4164</v>
      </c>
      <c r="E490" s="4" t="s">
        <v>6326</v>
      </c>
      <c r="F490" s="7" t="n">
        <v>30040.95</v>
      </c>
      <c r="G490" s="24" t="s">
        <v>5951</v>
      </c>
      <c r="H490" s="4" t="s">
        <v>4161</v>
      </c>
      <c r="I490" s="4"/>
    </row>
    <row r="491" customFormat="false" ht="15" hidden="false" customHeight="false" outlineLevel="0" collapsed="false">
      <c r="A491" s="4" t="s">
        <v>2972</v>
      </c>
      <c r="B491" s="23" t="n">
        <v>488</v>
      </c>
      <c r="C491" s="6" t="n">
        <v>46241</v>
      </c>
      <c r="D491" s="4" t="s">
        <v>2974</v>
      </c>
      <c r="E491" s="4" t="s">
        <v>6327</v>
      </c>
      <c r="F491" s="7" t="n">
        <v>40700.58</v>
      </c>
      <c r="G491" s="24" t="s">
        <v>5951</v>
      </c>
      <c r="H491" s="4" t="s">
        <v>2971</v>
      </c>
      <c r="I491" s="4"/>
    </row>
    <row r="492" customFormat="false" ht="15" hidden="false" customHeight="false" outlineLevel="0" collapsed="false">
      <c r="A492" s="4" t="s">
        <v>2977</v>
      </c>
      <c r="B492" s="23" t="n">
        <v>489</v>
      </c>
      <c r="C492" s="6" t="n">
        <v>46241</v>
      </c>
      <c r="D492" s="4" t="s">
        <v>2979</v>
      </c>
      <c r="E492" s="4"/>
      <c r="F492" s="7" t="n">
        <v>61101.36</v>
      </c>
      <c r="G492" s="24" t="s">
        <v>5951</v>
      </c>
      <c r="H492" s="4" t="s">
        <v>2976</v>
      </c>
      <c r="I492" s="4"/>
    </row>
    <row r="493" customFormat="false" ht="15" hidden="false" customHeight="false" outlineLevel="0" collapsed="false">
      <c r="A493" s="4" t="s">
        <v>1246</v>
      </c>
      <c r="B493" s="23" t="n">
        <v>490</v>
      </c>
      <c r="C493" s="6" t="n">
        <v>46241</v>
      </c>
      <c r="D493" s="4" t="s">
        <v>1248</v>
      </c>
      <c r="E493" s="4" t="s">
        <v>6328</v>
      </c>
      <c r="F493" s="7" t="n">
        <v>85619.91</v>
      </c>
      <c r="G493" s="24" t="s">
        <v>5951</v>
      </c>
      <c r="H493" s="4" t="s">
        <v>1245</v>
      </c>
      <c r="I493" s="4"/>
    </row>
    <row r="494" customFormat="false" ht="15" hidden="false" customHeight="false" outlineLevel="0" collapsed="false">
      <c r="A494" s="4" t="s">
        <v>5076</v>
      </c>
      <c r="B494" s="23" t="n">
        <v>491</v>
      </c>
      <c r="C494" s="6" t="n">
        <v>46241</v>
      </c>
      <c r="D494" s="4" t="s">
        <v>5078</v>
      </c>
      <c r="E494" s="4" t="s">
        <v>6329</v>
      </c>
      <c r="F494" s="7" t="n">
        <v>-8291.22</v>
      </c>
      <c r="G494" s="24" t="s">
        <v>5951</v>
      </c>
      <c r="H494" s="4" t="s">
        <v>5075</v>
      </c>
      <c r="I494" s="4"/>
    </row>
    <row r="495" customFormat="false" ht="15" hidden="false" customHeight="false" outlineLevel="0" collapsed="false">
      <c r="A495" s="4" t="s">
        <v>1251</v>
      </c>
      <c r="B495" s="23" t="n">
        <v>492</v>
      </c>
      <c r="C495" s="6" t="n">
        <v>46241</v>
      </c>
      <c r="D495" s="4" t="s">
        <v>1253</v>
      </c>
      <c r="E495" s="4" t="s">
        <v>6330</v>
      </c>
      <c r="F495" s="7" t="n">
        <v>-7311.46</v>
      </c>
      <c r="G495" s="24" t="s">
        <v>5951</v>
      </c>
      <c r="H495" s="4" t="s">
        <v>1250</v>
      </c>
      <c r="I495" s="4"/>
    </row>
    <row r="496" customFormat="false" ht="15" hidden="false" customHeight="false" outlineLevel="0" collapsed="false">
      <c r="A496" s="4" t="s">
        <v>4167</v>
      </c>
      <c r="B496" s="23" t="n">
        <v>493</v>
      </c>
      <c r="C496" s="6" t="n">
        <v>46241</v>
      </c>
      <c r="D496" s="4" t="s">
        <v>4169</v>
      </c>
      <c r="E496" s="4" t="s">
        <v>6331</v>
      </c>
      <c r="F496" s="7" t="n">
        <v>-4089.74</v>
      </c>
      <c r="G496" s="24" t="s">
        <v>5951</v>
      </c>
      <c r="H496" s="4" t="s">
        <v>4166</v>
      </c>
      <c r="I496" s="4"/>
    </row>
    <row r="497" customFormat="false" ht="15" hidden="false" customHeight="false" outlineLevel="0" collapsed="false">
      <c r="A497" s="4" t="s">
        <v>5504</v>
      </c>
      <c r="B497" s="23" t="n">
        <v>494</v>
      </c>
      <c r="C497" s="6" t="n">
        <v>46241</v>
      </c>
      <c r="D497" s="4" t="s">
        <v>5506</v>
      </c>
      <c r="E497" s="4" t="s">
        <v>6332</v>
      </c>
      <c r="F497" s="7" t="n">
        <v>-39329.93</v>
      </c>
      <c r="G497" s="24" t="s">
        <v>5951</v>
      </c>
      <c r="H497" s="4" t="s">
        <v>5503</v>
      </c>
      <c r="I497" s="4"/>
    </row>
    <row r="498" customFormat="false" ht="15" hidden="false" customHeight="false" outlineLevel="0" collapsed="false">
      <c r="A498" s="4" t="s">
        <v>1256</v>
      </c>
      <c r="B498" s="23" t="n">
        <v>495</v>
      </c>
      <c r="C498" s="6" t="n">
        <v>46241</v>
      </c>
      <c r="D498" s="4" t="s">
        <v>1258</v>
      </c>
      <c r="E498" s="4" t="s">
        <v>6333</v>
      </c>
      <c r="F498" s="7" t="n">
        <v>-10285.65</v>
      </c>
      <c r="G498" s="24" t="s">
        <v>5951</v>
      </c>
      <c r="H498" s="4" t="s">
        <v>1255</v>
      </c>
      <c r="I498" s="4"/>
    </row>
    <row r="499" customFormat="false" ht="15" hidden="false" customHeight="false" outlineLevel="0" collapsed="false">
      <c r="A499" s="4" t="s">
        <v>4696</v>
      </c>
      <c r="B499" s="23" t="n">
        <v>496</v>
      </c>
      <c r="C499" s="6" t="n">
        <v>46241</v>
      </c>
      <c r="D499" s="4" t="s">
        <v>4698</v>
      </c>
      <c r="E499" s="4" t="s">
        <v>6334</v>
      </c>
      <c r="F499" s="7" t="n">
        <v>-45805.9</v>
      </c>
      <c r="G499" s="24" t="s">
        <v>5951</v>
      </c>
      <c r="H499" s="4" t="s">
        <v>4695</v>
      </c>
      <c r="I499" s="4"/>
    </row>
    <row r="500" customFormat="false" ht="15" hidden="false" customHeight="false" outlineLevel="0" collapsed="false">
      <c r="A500" s="4" t="s">
        <v>5509</v>
      </c>
      <c r="B500" s="23" t="n">
        <v>497</v>
      </c>
      <c r="C500" s="6" t="n">
        <v>46241</v>
      </c>
      <c r="D500" s="4" t="s">
        <v>5511</v>
      </c>
      <c r="E500" s="4" t="s">
        <v>6335</v>
      </c>
      <c r="F500" s="7" t="n">
        <v>-55613.87</v>
      </c>
      <c r="G500" s="24" t="s">
        <v>5951</v>
      </c>
      <c r="H500" s="4" t="s">
        <v>5508</v>
      </c>
      <c r="I500" s="4"/>
    </row>
    <row r="501" customFormat="false" ht="15" hidden="false" customHeight="false" outlineLevel="0" collapsed="false">
      <c r="A501" s="4" t="s">
        <v>5780</v>
      </c>
      <c r="B501" s="23" t="n">
        <v>498</v>
      </c>
      <c r="C501" s="6" t="n">
        <v>46241</v>
      </c>
      <c r="D501" s="4" t="s">
        <v>5782</v>
      </c>
      <c r="E501" s="4"/>
      <c r="F501" s="7" t="n">
        <v>-8006.87</v>
      </c>
      <c r="G501" s="24" t="s">
        <v>5951</v>
      </c>
      <c r="H501" s="4" t="s">
        <v>5779</v>
      </c>
      <c r="I501" s="4"/>
    </row>
    <row r="502" customFormat="false" ht="15" hidden="false" customHeight="false" outlineLevel="0" collapsed="false">
      <c r="A502" s="4" t="s">
        <v>2982</v>
      </c>
      <c r="B502" s="23" t="n">
        <v>499</v>
      </c>
      <c r="C502" s="6" t="n">
        <v>46242</v>
      </c>
      <c r="D502" s="4" t="s">
        <v>2984</v>
      </c>
      <c r="E502" s="4" t="s">
        <v>6336</v>
      </c>
      <c r="F502" s="7" t="n">
        <v>85944.12</v>
      </c>
      <c r="G502" s="24" t="s">
        <v>5951</v>
      </c>
      <c r="H502" s="4" t="s">
        <v>2981</v>
      </c>
      <c r="I502" s="4"/>
    </row>
    <row r="503" customFormat="false" ht="15" hidden="false" customHeight="false" outlineLevel="0" collapsed="false">
      <c r="A503" s="4" t="s">
        <v>1261</v>
      </c>
      <c r="B503" s="23" t="n">
        <v>500</v>
      </c>
      <c r="C503" s="6" t="n">
        <v>46242</v>
      </c>
      <c r="D503" s="4" t="s">
        <v>1263</v>
      </c>
      <c r="E503" s="4" t="s">
        <v>6337</v>
      </c>
      <c r="F503" s="7" t="n">
        <v>88657.17</v>
      </c>
      <c r="G503" s="24" t="s">
        <v>5951</v>
      </c>
      <c r="H503" s="4" t="s">
        <v>1260</v>
      </c>
      <c r="I503" s="4"/>
    </row>
    <row r="504" customFormat="false" ht="15" hidden="false" customHeight="false" outlineLevel="0" collapsed="false">
      <c r="A504" s="4" t="s">
        <v>1266</v>
      </c>
      <c r="B504" s="23" t="n">
        <v>501</v>
      </c>
      <c r="C504" s="6" t="n">
        <v>46242</v>
      </c>
      <c r="D504" s="4" t="s">
        <v>1268</v>
      </c>
      <c r="E504" s="4" t="s">
        <v>6338</v>
      </c>
      <c r="F504" s="7" t="n">
        <v>55175.15</v>
      </c>
      <c r="G504" s="24" t="s">
        <v>5951</v>
      </c>
      <c r="H504" s="4" t="s">
        <v>1265</v>
      </c>
      <c r="I504" s="4"/>
    </row>
    <row r="505" customFormat="false" ht="15" hidden="false" customHeight="false" outlineLevel="0" collapsed="false">
      <c r="A505" s="4" t="s">
        <v>2987</v>
      </c>
      <c r="B505" s="23" t="n">
        <v>502</v>
      </c>
      <c r="C505" s="6" t="n">
        <v>46242</v>
      </c>
      <c r="D505" s="4" t="s">
        <v>2989</v>
      </c>
      <c r="E505" s="4" t="s">
        <v>6339</v>
      </c>
      <c r="F505" s="7" t="n">
        <v>11481.33</v>
      </c>
      <c r="G505" s="24" t="s">
        <v>5951</v>
      </c>
      <c r="H505" s="4" t="s">
        <v>2986</v>
      </c>
      <c r="I505" s="4"/>
    </row>
    <row r="506" customFormat="false" ht="15" hidden="false" customHeight="false" outlineLevel="0" collapsed="false">
      <c r="A506" s="4" t="s">
        <v>2992</v>
      </c>
      <c r="B506" s="23" t="n">
        <v>503</v>
      </c>
      <c r="C506" s="6" t="n">
        <v>46242</v>
      </c>
      <c r="D506" s="4" t="s">
        <v>2994</v>
      </c>
      <c r="E506" s="4" t="s">
        <v>6340</v>
      </c>
      <c r="F506" s="7" t="n">
        <v>15085.98</v>
      </c>
      <c r="G506" s="24" t="s">
        <v>5951</v>
      </c>
      <c r="H506" s="4" t="s">
        <v>2991</v>
      </c>
      <c r="I506" s="4"/>
    </row>
    <row r="507" customFormat="false" ht="15" hidden="false" customHeight="false" outlineLevel="0" collapsed="false">
      <c r="A507" s="4" t="s">
        <v>1271</v>
      </c>
      <c r="B507" s="23" t="n">
        <v>504</v>
      </c>
      <c r="C507" s="6" t="n">
        <v>46242</v>
      </c>
      <c r="D507" s="4" t="s">
        <v>1273</v>
      </c>
      <c r="E507" s="4" t="s">
        <v>6341</v>
      </c>
      <c r="F507" s="7" t="n">
        <v>19947.47</v>
      </c>
      <c r="G507" s="24" t="s">
        <v>5951</v>
      </c>
      <c r="H507" s="4" t="s">
        <v>1270</v>
      </c>
      <c r="I507" s="4"/>
    </row>
    <row r="508" customFormat="false" ht="15" hidden="false" customHeight="false" outlineLevel="0" collapsed="false">
      <c r="A508" s="4" t="s">
        <v>5081</v>
      </c>
      <c r="B508" s="23" t="n">
        <v>505</v>
      </c>
      <c r="C508" s="6" t="n">
        <v>46242</v>
      </c>
      <c r="D508" s="4" t="s">
        <v>5083</v>
      </c>
      <c r="E508" s="4" t="s">
        <v>6342</v>
      </c>
      <c r="F508" s="7" t="n">
        <v>-17842.85</v>
      </c>
      <c r="G508" s="24" t="s">
        <v>5951</v>
      </c>
      <c r="H508" s="4" t="s">
        <v>5080</v>
      </c>
      <c r="I508" s="4"/>
    </row>
    <row r="509" customFormat="false" ht="15" hidden="false" customHeight="false" outlineLevel="0" collapsed="false">
      <c r="A509" s="4" t="s">
        <v>493</v>
      </c>
      <c r="B509" s="23" t="n">
        <v>506</v>
      </c>
      <c r="C509" s="6" t="n">
        <v>46242</v>
      </c>
      <c r="D509" s="4" t="s">
        <v>5848</v>
      </c>
      <c r="E509" s="4" t="s">
        <v>495</v>
      </c>
      <c r="F509" s="7" t="n">
        <v>23572.15</v>
      </c>
      <c r="G509" s="25" t="s">
        <v>5987</v>
      </c>
      <c r="H509" s="4" t="s">
        <v>5847</v>
      </c>
      <c r="I509" s="4" t="s">
        <v>492</v>
      </c>
    </row>
    <row r="510" customFormat="false" ht="15" hidden="false" customHeight="false" outlineLevel="0" collapsed="false">
      <c r="A510" s="4" t="s">
        <v>1276</v>
      </c>
      <c r="B510" s="23" t="n">
        <v>507</v>
      </c>
      <c r="C510" s="6" t="n">
        <v>46243</v>
      </c>
      <c r="D510" s="4" t="s">
        <v>1278</v>
      </c>
      <c r="E510" s="4" t="s">
        <v>6343</v>
      </c>
      <c r="F510" s="7" t="n">
        <v>91841.34</v>
      </c>
      <c r="G510" s="24" t="s">
        <v>5951</v>
      </c>
      <c r="H510" s="4" t="s">
        <v>1275</v>
      </c>
      <c r="I510" s="4"/>
    </row>
    <row r="511" customFormat="false" ht="15" hidden="false" customHeight="false" outlineLevel="0" collapsed="false">
      <c r="A511" s="4" t="s">
        <v>2997</v>
      </c>
      <c r="B511" s="23" t="n">
        <v>508</v>
      </c>
      <c r="C511" s="6" t="n">
        <v>46243</v>
      </c>
      <c r="D511" s="4" t="s">
        <v>2999</v>
      </c>
      <c r="E511" s="4" t="s">
        <v>6344</v>
      </c>
      <c r="F511" s="7" t="n">
        <v>34616.98</v>
      </c>
      <c r="G511" s="24" t="s">
        <v>5951</v>
      </c>
      <c r="H511" s="4" t="s">
        <v>2996</v>
      </c>
      <c r="I511" s="4"/>
    </row>
    <row r="512" customFormat="false" ht="15" hidden="false" customHeight="false" outlineLevel="0" collapsed="false">
      <c r="A512" s="4" t="s">
        <v>1281</v>
      </c>
      <c r="B512" s="23" t="n">
        <v>509</v>
      </c>
      <c r="C512" s="6" t="n">
        <v>46243</v>
      </c>
      <c r="D512" s="4" t="s">
        <v>1283</v>
      </c>
      <c r="E512" s="4"/>
      <c r="F512" s="7" t="n">
        <v>67828.14</v>
      </c>
      <c r="G512" s="24" t="s">
        <v>5951</v>
      </c>
      <c r="H512" s="4" t="s">
        <v>1280</v>
      </c>
      <c r="I512" s="4"/>
    </row>
    <row r="513" customFormat="false" ht="15" hidden="false" customHeight="false" outlineLevel="0" collapsed="false">
      <c r="A513" s="4" t="s">
        <v>3002</v>
      </c>
      <c r="B513" s="23" t="n">
        <v>510</v>
      </c>
      <c r="C513" s="6" t="n">
        <v>46243</v>
      </c>
      <c r="D513" s="4" t="s">
        <v>3004</v>
      </c>
      <c r="E513" s="4" t="s">
        <v>6345</v>
      </c>
      <c r="F513" s="7" t="n">
        <v>76129.68</v>
      </c>
      <c r="G513" s="24" t="s">
        <v>5951</v>
      </c>
      <c r="H513" s="4" t="s">
        <v>3001</v>
      </c>
      <c r="I513" s="4"/>
    </row>
    <row r="514" customFormat="false" ht="15" hidden="false" customHeight="false" outlineLevel="0" collapsed="false">
      <c r="A514" s="4" t="s">
        <v>3007</v>
      </c>
      <c r="B514" s="23" t="n">
        <v>511</v>
      </c>
      <c r="C514" s="6" t="n">
        <v>46243</v>
      </c>
      <c r="D514" s="4" t="s">
        <v>3009</v>
      </c>
      <c r="E514" s="4" t="s">
        <v>6346</v>
      </c>
      <c r="F514" s="7" t="n">
        <v>13051.78</v>
      </c>
      <c r="G514" s="24" t="s">
        <v>5951</v>
      </c>
      <c r="H514" s="4" t="s">
        <v>3006</v>
      </c>
      <c r="I514" s="4"/>
    </row>
    <row r="515" customFormat="false" ht="15" hidden="false" customHeight="false" outlineLevel="0" collapsed="false">
      <c r="A515" s="4" t="s">
        <v>3012</v>
      </c>
      <c r="B515" s="23" t="n">
        <v>512</v>
      </c>
      <c r="C515" s="6" t="n">
        <v>46243</v>
      </c>
      <c r="D515" s="4" t="s">
        <v>3014</v>
      </c>
      <c r="E515" s="4" t="s">
        <v>6347</v>
      </c>
      <c r="F515" s="7" t="n">
        <v>-12286.22</v>
      </c>
      <c r="G515" s="24" t="s">
        <v>5951</v>
      </c>
      <c r="H515" s="4" t="s">
        <v>3011</v>
      </c>
      <c r="I515" s="4"/>
    </row>
    <row r="516" customFormat="false" ht="15" hidden="false" customHeight="false" outlineLevel="0" collapsed="false">
      <c r="A516" s="4" t="s">
        <v>5514</v>
      </c>
      <c r="B516" s="23" t="n">
        <v>513</v>
      </c>
      <c r="C516" s="6" t="n">
        <v>46243</v>
      </c>
      <c r="D516" s="4" t="s">
        <v>5516</v>
      </c>
      <c r="E516" s="4" t="s">
        <v>6348</v>
      </c>
      <c r="F516" s="7" t="n">
        <v>-44018.2</v>
      </c>
      <c r="G516" s="24" t="s">
        <v>5951</v>
      </c>
      <c r="H516" s="4" t="s">
        <v>5513</v>
      </c>
      <c r="I516" s="4"/>
    </row>
    <row r="517" customFormat="false" ht="15" hidden="false" customHeight="false" outlineLevel="0" collapsed="false">
      <c r="A517" s="4" t="s">
        <v>5086</v>
      </c>
      <c r="B517" s="23" t="n">
        <v>514</v>
      </c>
      <c r="C517" s="6" t="n">
        <v>46243</v>
      </c>
      <c r="D517" s="4" t="s">
        <v>5088</v>
      </c>
      <c r="E517" s="4" t="s">
        <v>6349</v>
      </c>
      <c r="F517" s="7" t="n">
        <v>-59326.5</v>
      </c>
      <c r="G517" s="24" t="s">
        <v>5951</v>
      </c>
      <c r="H517" s="4" t="s">
        <v>5085</v>
      </c>
      <c r="I517" s="4"/>
    </row>
    <row r="518" customFormat="false" ht="15" hidden="false" customHeight="false" outlineLevel="0" collapsed="false">
      <c r="A518" s="4" t="s">
        <v>3017</v>
      </c>
      <c r="B518" s="23" t="n">
        <v>515</v>
      </c>
      <c r="C518" s="6" t="n">
        <v>46243</v>
      </c>
      <c r="D518" s="4" t="s">
        <v>3019</v>
      </c>
      <c r="E518" s="4" t="s">
        <v>6350</v>
      </c>
      <c r="F518" s="7" t="n">
        <v>-3543.37</v>
      </c>
      <c r="G518" s="24" t="s">
        <v>5951</v>
      </c>
      <c r="H518" s="4" t="s">
        <v>3016</v>
      </c>
      <c r="I518" s="4"/>
    </row>
    <row r="519" customFormat="false" ht="15" hidden="false" customHeight="false" outlineLevel="0" collapsed="false">
      <c r="A519" s="4" t="s">
        <v>320</v>
      </c>
      <c r="B519" s="23" t="n">
        <v>516</v>
      </c>
      <c r="C519" s="6" t="n">
        <v>46243</v>
      </c>
      <c r="D519" s="4" t="s">
        <v>5890</v>
      </c>
      <c r="E519" s="4" t="s">
        <v>322</v>
      </c>
      <c r="F519" s="7" t="n">
        <v>32797.84</v>
      </c>
      <c r="G519" s="25" t="s">
        <v>5987</v>
      </c>
      <c r="H519" s="4" t="s">
        <v>5889</v>
      </c>
      <c r="I519" s="4" t="s">
        <v>318</v>
      </c>
    </row>
    <row r="520" customFormat="false" ht="15" hidden="false" customHeight="false" outlineLevel="0" collapsed="false">
      <c r="A520" s="4" t="s">
        <v>1286</v>
      </c>
      <c r="B520" s="23" t="n">
        <v>517</v>
      </c>
      <c r="C520" s="6" t="n">
        <v>46244</v>
      </c>
      <c r="D520" s="4" t="s">
        <v>1288</v>
      </c>
      <c r="E520" s="4" t="s">
        <v>6351</v>
      </c>
      <c r="F520" s="7" t="n">
        <v>39097.52</v>
      </c>
      <c r="G520" s="24" t="s">
        <v>5951</v>
      </c>
      <c r="H520" s="4" t="s">
        <v>1285</v>
      </c>
      <c r="I520" s="4"/>
    </row>
    <row r="521" customFormat="false" ht="15" hidden="false" customHeight="false" outlineLevel="0" collapsed="false">
      <c r="A521" s="4" t="s">
        <v>1291</v>
      </c>
      <c r="B521" s="23" t="n">
        <v>518</v>
      </c>
      <c r="C521" s="6" t="n">
        <v>46244</v>
      </c>
      <c r="D521" s="4" t="s">
        <v>1293</v>
      </c>
      <c r="E521" s="4" t="s">
        <v>6352</v>
      </c>
      <c r="F521" s="7" t="n">
        <v>45383.54</v>
      </c>
      <c r="G521" s="24" t="s">
        <v>5951</v>
      </c>
      <c r="H521" s="4" t="s">
        <v>1290</v>
      </c>
      <c r="I521" s="4"/>
    </row>
    <row r="522" customFormat="false" ht="15" hidden="false" customHeight="false" outlineLevel="0" collapsed="false">
      <c r="A522" s="4" t="s">
        <v>1296</v>
      </c>
      <c r="B522" s="23" t="n">
        <v>519</v>
      </c>
      <c r="C522" s="6" t="n">
        <v>46244</v>
      </c>
      <c r="D522" s="4" t="s">
        <v>1298</v>
      </c>
      <c r="E522" s="4" t="s">
        <v>6353</v>
      </c>
      <c r="F522" s="7" t="n">
        <v>44367.06</v>
      </c>
      <c r="G522" s="24" t="s">
        <v>5951</v>
      </c>
      <c r="H522" s="4" t="s">
        <v>1295</v>
      </c>
      <c r="I522" s="4"/>
    </row>
    <row r="523" customFormat="false" ht="15" hidden="false" customHeight="false" outlineLevel="0" collapsed="false">
      <c r="A523" s="4" t="s">
        <v>4701</v>
      </c>
      <c r="B523" s="23" t="n">
        <v>520</v>
      </c>
      <c r="C523" s="6" t="n">
        <v>46244</v>
      </c>
      <c r="D523" s="4" t="s">
        <v>4703</v>
      </c>
      <c r="E523" s="4" t="s">
        <v>6354</v>
      </c>
      <c r="F523" s="7" t="n">
        <v>-11599.89</v>
      </c>
      <c r="G523" s="24" t="s">
        <v>5951</v>
      </c>
      <c r="H523" s="4" t="s">
        <v>4700</v>
      </c>
      <c r="I523" s="4"/>
    </row>
    <row r="524" customFormat="false" ht="15" hidden="false" customHeight="false" outlineLevel="0" collapsed="false">
      <c r="A524" s="4" t="s">
        <v>4172</v>
      </c>
      <c r="B524" s="23" t="n">
        <v>521</v>
      </c>
      <c r="C524" s="6" t="n">
        <v>46244</v>
      </c>
      <c r="D524" s="4" t="s">
        <v>4174</v>
      </c>
      <c r="E524" s="4" t="s">
        <v>6355</v>
      </c>
      <c r="F524" s="7" t="n">
        <v>-39017.79</v>
      </c>
      <c r="G524" s="24" t="s">
        <v>5951</v>
      </c>
      <c r="H524" s="4" t="s">
        <v>4171</v>
      </c>
      <c r="I524" s="4"/>
    </row>
    <row r="525" customFormat="false" ht="15" hidden="false" customHeight="false" outlineLevel="0" collapsed="false">
      <c r="A525" s="4" t="s">
        <v>5091</v>
      </c>
      <c r="B525" s="23" t="n">
        <v>522</v>
      </c>
      <c r="C525" s="6" t="n">
        <v>46244</v>
      </c>
      <c r="D525" s="4" t="s">
        <v>5093</v>
      </c>
      <c r="E525" s="4" t="s">
        <v>6356</v>
      </c>
      <c r="F525" s="7" t="n">
        <v>-53623.92</v>
      </c>
      <c r="G525" s="24" t="s">
        <v>5951</v>
      </c>
      <c r="H525" s="4" t="s">
        <v>5090</v>
      </c>
      <c r="I525" s="4"/>
    </row>
    <row r="526" customFormat="false" ht="15" hidden="false" customHeight="false" outlineLevel="0" collapsed="false">
      <c r="A526" s="4" t="s">
        <v>1301</v>
      </c>
      <c r="B526" s="23" t="n">
        <v>523</v>
      </c>
      <c r="C526" s="6" t="n">
        <v>46244</v>
      </c>
      <c r="D526" s="4" t="s">
        <v>1303</v>
      </c>
      <c r="E526" s="4" t="s">
        <v>6357</v>
      </c>
      <c r="F526" s="7" t="n">
        <v>-1686.14</v>
      </c>
      <c r="G526" s="24" t="s">
        <v>5951</v>
      </c>
      <c r="H526" s="4" t="s">
        <v>1300</v>
      </c>
      <c r="I526" s="4"/>
    </row>
    <row r="527" customFormat="false" ht="15" hidden="false" customHeight="false" outlineLevel="0" collapsed="false">
      <c r="A527" s="4" t="s">
        <v>5096</v>
      </c>
      <c r="B527" s="23" t="n">
        <v>524</v>
      </c>
      <c r="C527" s="6" t="n">
        <v>46244</v>
      </c>
      <c r="D527" s="4" t="s">
        <v>5098</v>
      </c>
      <c r="E527" s="4" t="s">
        <v>6358</v>
      </c>
      <c r="F527" s="7" t="n">
        <v>-27497.54</v>
      </c>
      <c r="G527" s="24" t="s">
        <v>5951</v>
      </c>
      <c r="H527" s="4" t="s">
        <v>5095</v>
      </c>
      <c r="I527" s="4"/>
    </row>
    <row r="528" customFormat="false" ht="15" hidden="false" customHeight="false" outlineLevel="0" collapsed="false">
      <c r="A528" s="4" t="s">
        <v>4706</v>
      </c>
      <c r="B528" s="23" t="n">
        <v>525</v>
      </c>
      <c r="C528" s="6" t="n">
        <v>46244</v>
      </c>
      <c r="D528" s="4" t="s">
        <v>4708</v>
      </c>
      <c r="E528" s="4" t="s">
        <v>6359</v>
      </c>
      <c r="F528" s="7" t="n">
        <v>-16863.31</v>
      </c>
      <c r="G528" s="24" t="s">
        <v>5951</v>
      </c>
      <c r="H528" s="4" t="s">
        <v>4705</v>
      </c>
      <c r="I528" s="4"/>
    </row>
    <row r="529" customFormat="false" ht="15" hidden="false" customHeight="false" outlineLevel="0" collapsed="false">
      <c r="A529" s="4" t="s">
        <v>4711</v>
      </c>
      <c r="B529" s="23" t="n">
        <v>526</v>
      </c>
      <c r="C529" s="6" t="n">
        <v>46244</v>
      </c>
      <c r="D529" s="4" t="s">
        <v>4713</v>
      </c>
      <c r="E529" s="4" t="s">
        <v>6360</v>
      </c>
      <c r="F529" s="7" t="n">
        <v>-2984.27</v>
      </c>
      <c r="G529" s="24" t="s">
        <v>5951</v>
      </c>
      <c r="H529" s="4" t="s">
        <v>4710</v>
      </c>
      <c r="I529" s="4"/>
    </row>
    <row r="530" customFormat="false" ht="15" hidden="false" customHeight="false" outlineLevel="0" collapsed="false">
      <c r="A530" s="4" t="s">
        <v>1306</v>
      </c>
      <c r="B530" s="23" t="n">
        <v>527</v>
      </c>
      <c r="C530" s="6" t="n">
        <v>46244</v>
      </c>
      <c r="D530" s="4" t="s">
        <v>1308</v>
      </c>
      <c r="E530" s="4" t="s">
        <v>6361</v>
      </c>
      <c r="F530" s="7" t="n">
        <v>-3544.04</v>
      </c>
      <c r="G530" s="24" t="s">
        <v>5951</v>
      </c>
      <c r="H530" s="4" t="s">
        <v>1305</v>
      </c>
      <c r="I530" s="4"/>
    </row>
    <row r="531" customFormat="false" ht="15" hidden="false" customHeight="false" outlineLevel="0" collapsed="false">
      <c r="A531" s="4" t="s">
        <v>3022</v>
      </c>
      <c r="B531" s="23" t="n">
        <v>528</v>
      </c>
      <c r="C531" s="6" t="n">
        <v>46245</v>
      </c>
      <c r="D531" s="4" t="s">
        <v>3024</v>
      </c>
      <c r="E531" s="4" t="s">
        <v>6362</v>
      </c>
      <c r="F531" s="7" t="n">
        <v>83543.96</v>
      </c>
      <c r="G531" s="24" t="s">
        <v>5951</v>
      </c>
      <c r="H531" s="4" t="s">
        <v>3021</v>
      </c>
      <c r="I531" s="4"/>
    </row>
    <row r="532" customFormat="false" ht="15" hidden="false" customHeight="false" outlineLevel="0" collapsed="false">
      <c r="A532" s="4" t="s">
        <v>4177</v>
      </c>
      <c r="B532" s="23" t="n">
        <v>529</v>
      </c>
      <c r="C532" s="6" t="n">
        <v>46245</v>
      </c>
      <c r="D532" s="4" t="s">
        <v>4179</v>
      </c>
      <c r="E532" s="4" t="s">
        <v>6363</v>
      </c>
      <c r="F532" s="7" t="n">
        <v>70266.66</v>
      </c>
      <c r="G532" s="24" t="s">
        <v>5951</v>
      </c>
      <c r="H532" s="4" t="s">
        <v>4176</v>
      </c>
      <c r="I532" s="4"/>
    </row>
    <row r="533" customFormat="false" ht="15" hidden="false" customHeight="false" outlineLevel="0" collapsed="false">
      <c r="A533" s="4" t="s">
        <v>3027</v>
      </c>
      <c r="B533" s="23" t="n">
        <v>530</v>
      </c>
      <c r="C533" s="6" t="n">
        <v>46245</v>
      </c>
      <c r="D533" s="4" t="s">
        <v>3029</v>
      </c>
      <c r="E533" s="4" t="s">
        <v>6364</v>
      </c>
      <c r="F533" s="7" t="n">
        <v>68930.49</v>
      </c>
      <c r="G533" s="24" t="s">
        <v>5951</v>
      </c>
      <c r="H533" s="4" t="s">
        <v>3026</v>
      </c>
      <c r="I533" s="4"/>
    </row>
    <row r="534" customFormat="false" ht="15" hidden="false" customHeight="false" outlineLevel="0" collapsed="false">
      <c r="A534" s="4" t="s">
        <v>3032</v>
      </c>
      <c r="B534" s="23" t="n">
        <v>531</v>
      </c>
      <c r="C534" s="6" t="n">
        <v>46245</v>
      </c>
      <c r="D534" s="4" t="s">
        <v>3034</v>
      </c>
      <c r="E534" s="4" t="s">
        <v>6365</v>
      </c>
      <c r="F534" s="7" t="n">
        <v>33157.58</v>
      </c>
      <c r="G534" s="24" t="s">
        <v>5951</v>
      </c>
      <c r="H534" s="4" t="s">
        <v>3031</v>
      </c>
      <c r="I534" s="4"/>
    </row>
    <row r="535" customFormat="false" ht="15" hidden="false" customHeight="false" outlineLevel="0" collapsed="false">
      <c r="A535" s="4" t="s">
        <v>1311</v>
      </c>
      <c r="B535" s="23" t="n">
        <v>532</v>
      </c>
      <c r="C535" s="6" t="n">
        <v>46245</v>
      </c>
      <c r="D535" s="4" t="s">
        <v>1313</v>
      </c>
      <c r="E535" s="4" t="s">
        <v>6366</v>
      </c>
      <c r="F535" s="7" t="n">
        <v>17805.04</v>
      </c>
      <c r="G535" s="24" t="s">
        <v>5951</v>
      </c>
      <c r="H535" s="4" t="s">
        <v>1310</v>
      </c>
      <c r="I535" s="4"/>
    </row>
    <row r="536" customFormat="false" ht="15" hidden="false" customHeight="false" outlineLevel="0" collapsed="false">
      <c r="A536" s="4" t="s">
        <v>1316</v>
      </c>
      <c r="B536" s="23" t="n">
        <v>533</v>
      </c>
      <c r="C536" s="6" t="n">
        <v>46245</v>
      </c>
      <c r="D536" s="4" t="s">
        <v>1318</v>
      </c>
      <c r="E536" s="4" t="s">
        <v>6367</v>
      </c>
      <c r="F536" s="7" t="n">
        <v>54942.22</v>
      </c>
      <c r="G536" s="24" t="s">
        <v>5951</v>
      </c>
      <c r="H536" s="4" t="s">
        <v>1315</v>
      </c>
      <c r="I536" s="4"/>
    </row>
    <row r="537" customFormat="false" ht="15" hidden="false" customHeight="false" outlineLevel="0" collapsed="false">
      <c r="A537" s="4" t="s">
        <v>4182</v>
      </c>
      <c r="B537" s="23" t="n">
        <v>534</v>
      </c>
      <c r="C537" s="6" t="n">
        <v>46245</v>
      </c>
      <c r="D537" s="4" t="s">
        <v>4184</v>
      </c>
      <c r="E537" s="4" t="s">
        <v>6368</v>
      </c>
      <c r="F537" s="7" t="n">
        <v>78680.18</v>
      </c>
      <c r="G537" s="24" t="s">
        <v>5951</v>
      </c>
      <c r="H537" s="4" t="s">
        <v>4181</v>
      </c>
      <c r="I537" s="4"/>
    </row>
    <row r="538" customFormat="false" ht="15" hidden="false" customHeight="false" outlineLevel="0" collapsed="false">
      <c r="A538" s="4" t="s">
        <v>1321</v>
      </c>
      <c r="B538" s="23" t="n">
        <v>535</v>
      </c>
      <c r="C538" s="6" t="n">
        <v>46245</v>
      </c>
      <c r="D538" s="4" t="s">
        <v>1323</v>
      </c>
      <c r="E538" s="4" t="s">
        <v>6369</v>
      </c>
      <c r="F538" s="7" t="n">
        <v>38374.08</v>
      </c>
      <c r="G538" s="24" t="s">
        <v>5951</v>
      </c>
      <c r="H538" s="4" t="s">
        <v>1320</v>
      </c>
      <c r="I538" s="4"/>
    </row>
    <row r="539" customFormat="false" ht="15" hidden="false" customHeight="false" outlineLevel="0" collapsed="false">
      <c r="A539" s="4" t="s">
        <v>3037</v>
      </c>
      <c r="B539" s="23" t="n">
        <v>536</v>
      </c>
      <c r="C539" s="6" t="n">
        <v>46245</v>
      </c>
      <c r="D539" s="4" t="s">
        <v>3039</v>
      </c>
      <c r="E539" s="4" t="s">
        <v>6370</v>
      </c>
      <c r="F539" s="7" t="n">
        <v>-7115.65</v>
      </c>
      <c r="G539" s="24" t="s">
        <v>5951</v>
      </c>
      <c r="H539" s="4" t="s">
        <v>3036</v>
      </c>
      <c r="I539" s="4"/>
    </row>
    <row r="540" customFormat="false" ht="15" hidden="false" customHeight="false" outlineLevel="0" collapsed="false">
      <c r="A540" s="4" t="s">
        <v>1326</v>
      </c>
      <c r="B540" s="23" t="n">
        <v>537</v>
      </c>
      <c r="C540" s="6" t="n">
        <v>46245</v>
      </c>
      <c r="D540" s="4" t="s">
        <v>1328</v>
      </c>
      <c r="E540" s="4" t="s">
        <v>6371</v>
      </c>
      <c r="F540" s="7" t="n">
        <v>-27875.89</v>
      </c>
      <c r="G540" s="24" t="s">
        <v>5951</v>
      </c>
      <c r="H540" s="4" t="s">
        <v>1325</v>
      </c>
      <c r="I540" s="4"/>
    </row>
    <row r="541" customFormat="false" ht="15" hidden="false" customHeight="false" outlineLevel="0" collapsed="false">
      <c r="A541" s="4" t="s">
        <v>4716</v>
      </c>
      <c r="B541" s="23" t="n">
        <v>538</v>
      </c>
      <c r="C541" s="6" t="n">
        <v>46245</v>
      </c>
      <c r="D541" s="4" t="s">
        <v>4718</v>
      </c>
      <c r="E541" s="4" t="s">
        <v>6372</v>
      </c>
      <c r="F541" s="7" t="n">
        <v>-38741.23</v>
      </c>
      <c r="G541" s="24" t="s">
        <v>5951</v>
      </c>
      <c r="H541" s="4" t="s">
        <v>4715</v>
      </c>
      <c r="I541" s="4"/>
    </row>
    <row r="542" customFormat="false" ht="15" hidden="false" customHeight="false" outlineLevel="0" collapsed="false">
      <c r="A542" s="4" t="s">
        <v>5100</v>
      </c>
      <c r="B542" s="23" t="n">
        <v>539</v>
      </c>
      <c r="C542" s="6" t="n">
        <v>46245</v>
      </c>
      <c r="D542" s="4" t="s">
        <v>5102</v>
      </c>
      <c r="E542" s="4" t="s">
        <v>6373</v>
      </c>
      <c r="F542" s="7" t="n">
        <v>-32729.09</v>
      </c>
      <c r="G542" s="24" t="s">
        <v>5951</v>
      </c>
      <c r="H542" s="4" t="s">
        <v>5099</v>
      </c>
      <c r="I542" s="4"/>
    </row>
    <row r="543" customFormat="false" ht="15" hidden="false" customHeight="false" outlineLevel="0" collapsed="false">
      <c r="A543" s="4" t="s">
        <v>5785</v>
      </c>
      <c r="B543" s="23" t="n">
        <v>540</v>
      </c>
      <c r="C543" s="6" t="n">
        <v>46245</v>
      </c>
      <c r="D543" s="4" t="s">
        <v>5787</v>
      </c>
      <c r="E543" s="4"/>
      <c r="F543" s="7" t="n">
        <v>-2342.74</v>
      </c>
      <c r="G543" s="24" t="s">
        <v>5951</v>
      </c>
      <c r="H543" s="4" t="s">
        <v>5784</v>
      </c>
      <c r="I543" s="4"/>
    </row>
    <row r="544" customFormat="false" ht="15" hidden="false" customHeight="false" outlineLevel="0" collapsed="false">
      <c r="A544" s="4" t="s">
        <v>1331</v>
      </c>
      <c r="B544" s="23" t="n">
        <v>541</v>
      </c>
      <c r="C544" s="6" t="n">
        <v>46246</v>
      </c>
      <c r="D544" s="4" t="s">
        <v>1333</v>
      </c>
      <c r="E544" s="4" t="s">
        <v>6374</v>
      </c>
      <c r="F544" s="7" t="n">
        <v>74673.05</v>
      </c>
      <c r="G544" s="24" t="s">
        <v>5951</v>
      </c>
      <c r="H544" s="4" t="s">
        <v>1330</v>
      </c>
      <c r="I544" s="4"/>
    </row>
    <row r="545" customFormat="false" ht="15" hidden="false" customHeight="false" outlineLevel="0" collapsed="false">
      <c r="A545" s="4" t="s">
        <v>1336</v>
      </c>
      <c r="B545" s="23" t="n">
        <v>542</v>
      </c>
      <c r="C545" s="6" t="n">
        <v>46246</v>
      </c>
      <c r="D545" s="4" t="s">
        <v>1338</v>
      </c>
      <c r="E545" s="4" t="s">
        <v>6375</v>
      </c>
      <c r="F545" s="7" t="n">
        <v>75600.46</v>
      </c>
      <c r="G545" s="24" t="s">
        <v>5951</v>
      </c>
      <c r="H545" s="4" t="s">
        <v>1335</v>
      </c>
      <c r="I545" s="4"/>
    </row>
    <row r="546" customFormat="false" ht="15" hidden="false" customHeight="false" outlineLevel="0" collapsed="false">
      <c r="A546" s="4" t="s">
        <v>1341</v>
      </c>
      <c r="B546" s="23" t="n">
        <v>543</v>
      </c>
      <c r="C546" s="6" t="n">
        <v>46246</v>
      </c>
      <c r="D546" s="4" t="s">
        <v>1343</v>
      </c>
      <c r="E546" s="4"/>
      <c r="F546" s="7" t="n">
        <v>88706.79</v>
      </c>
      <c r="G546" s="24" t="s">
        <v>5951</v>
      </c>
      <c r="H546" s="4" t="s">
        <v>1340</v>
      </c>
      <c r="I546" s="4"/>
    </row>
    <row r="547" customFormat="false" ht="15" hidden="false" customHeight="false" outlineLevel="0" collapsed="false">
      <c r="A547" s="4" t="s">
        <v>3042</v>
      </c>
      <c r="B547" s="23" t="n">
        <v>544</v>
      </c>
      <c r="C547" s="6" t="n">
        <v>46246</v>
      </c>
      <c r="D547" s="4" t="s">
        <v>3044</v>
      </c>
      <c r="E547" s="4"/>
      <c r="F547" s="7" t="n">
        <v>28594.23</v>
      </c>
      <c r="G547" s="24" t="s">
        <v>5951</v>
      </c>
      <c r="H547" s="4" t="s">
        <v>3041</v>
      </c>
      <c r="I547" s="4"/>
    </row>
    <row r="548" customFormat="false" ht="15" hidden="false" customHeight="false" outlineLevel="0" collapsed="false">
      <c r="A548" s="4" t="s">
        <v>1346</v>
      </c>
      <c r="B548" s="23" t="n">
        <v>545</v>
      </c>
      <c r="C548" s="6" t="n">
        <v>46246</v>
      </c>
      <c r="D548" s="4" t="s">
        <v>1348</v>
      </c>
      <c r="E548" s="4" t="s">
        <v>6376</v>
      </c>
      <c r="F548" s="7" t="n">
        <v>65798.1</v>
      </c>
      <c r="G548" s="24" t="s">
        <v>5951</v>
      </c>
      <c r="H548" s="4" t="s">
        <v>1345</v>
      </c>
      <c r="I548" s="4"/>
    </row>
    <row r="549" customFormat="false" ht="15" hidden="false" customHeight="false" outlineLevel="0" collapsed="false">
      <c r="A549" s="4" t="s">
        <v>3047</v>
      </c>
      <c r="B549" s="23" t="n">
        <v>546</v>
      </c>
      <c r="C549" s="6" t="n">
        <v>46246</v>
      </c>
      <c r="D549" s="4" t="s">
        <v>3049</v>
      </c>
      <c r="E549" s="4" t="s">
        <v>6377</v>
      </c>
      <c r="F549" s="7" t="n">
        <v>12698.63</v>
      </c>
      <c r="G549" s="24" t="s">
        <v>5951</v>
      </c>
      <c r="H549" s="4" t="s">
        <v>3046</v>
      </c>
      <c r="I549" s="4"/>
    </row>
    <row r="550" customFormat="false" ht="15" hidden="false" customHeight="false" outlineLevel="0" collapsed="false">
      <c r="A550" s="4" t="s">
        <v>1351</v>
      </c>
      <c r="B550" s="23" t="n">
        <v>547</v>
      </c>
      <c r="C550" s="6" t="n">
        <v>46246</v>
      </c>
      <c r="D550" s="4" t="s">
        <v>1353</v>
      </c>
      <c r="E550" s="4" t="s">
        <v>6378</v>
      </c>
      <c r="F550" s="7" t="n">
        <v>36674.95</v>
      </c>
      <c r="G550" s="24" t="s">
        <v>5951</v>
      </c>
      <c r="H550" s="4" t="s">
        <v>1350</v>
      </c>
      <c r="I550" s="4"/>
    </row>
    <row r="551" customFormat="false" ht="15" hidden="false" customHeight="false" outlineLevel="0" collapsed="false">
      <c r="A551" s="4" t="s">
        <v>3052</v>
      </c>
      <c r="B551" s="23" t="n">
        <v>548</v>
      </c>
      <c r="C551" s="6" t="n">
        <v>46246</v>
      </c>
      <c r="D551" s="4" t="s">
        <v>3054</v>
      </c>
      <c r="E551" s="4" t="s">
        <v>6379</v>
      </c>
      <c r="F551" s="7" t="n">
        <v>25514.8</v>
      </c>
      <c r="G551" s="24" t="s">
        <v>5951</v>
      </c>
      <c r="H551" s="4" t="s">
        <v>3051</v>
      </c>
      <c r="I551" s="4"/>
    </row>
    <row r="552" customFormat="false" ht="15" hidden="false" customHeight="false" outlineLevel="0" collapsed="false">
      <c r="A552" s="4" t="s">
        <v>3057</v>
      </c>
      <c r="B552" s="23" t="n">
        <v>549</v>
      </c>
      <c r="C552" s="6" t="n">
        <v>46246</v>
      </c>
      <c r="D552" s="4" t="s">
        <v>3059</v>
      </c>
      <c r="E552" s="4" t="s">
        <v>6380</v>
      </c>
      <c r="F552" s="7" t="n">
        <v>54927.06</v>
      </c>
      <c r="G552" s="24" t="s">
        <v>5951</v>
      </c>
      <c r="H552" s="4" t="s">
        <v>3056</v>
      </c>
      <c r="I552" s="4"/>
    </row>
    <row r="553" customFormat="false" ht="15" hidden="false" customHeight="false" outlineLevel="0" collapsed="false">
      <c r="A553" s="4" t="s">
        <v>1356</v>
      </c>
      <c r="B553" s="23" t="n">
        <v>550</v>
      </c>
      <c r="C553" s="6" t="n">
        <v>46246</v>
      </c>
      <c r="D553" s="4" t="s">
        <v>1358</v>
      </c>
      <c r="E553" s="4"/>
      <c r="F553" s="7" t="n">
        <v>5848.54</v>
      </c>
      <c r="G553" s="24" t="s">
        <v>5951</v>
      </c>
      <c r="H553" s="4" t="s">
        <v>1355</v>
      </c>
      <c r="I553" s="4"/>
    </row>
    <row r="554" customFormat="false" ht="15" hidden="false" customHeight="false" outlineLevel="0" collapsed="false">
      <c r="A554" s="4" t="s">
        <v>5519</v>
      </c>
      <c r="B554" s="23" t="n">
        <v>551</v>
      </c>
      <c r="C554" s="6" t="n">
        <v>46246</v>
      </c>
      <c r="D554" s="4" t="s">
        <v>5521</v>
      </c>
      <c r="E554" s="4" t="s">
        <v>6381</v>
      </c>
      <c r="F554" s="7" t="n">
        <v>-7075.45</v>
      </c>
      <c r="G554" s="24" t="s">
        <v>5951</v>
      </c>
      <c r="H554" s="4" t="s">
        <v>5518</v>
      </c>
      <c r="I554" s="4"/>
    </row>
    <row r="555" customFormat="false" ht="15" hidden="false" customHeight="false" outlineLevel="0" collapsed="false">
      <c r="A555" s="4" t="s">
        <v>4721</v>
      </c>
      <c r="B555" s="23" t="n">
        <v>552</v>
      </c>
      <c r="C555" s="6" t="n">
        <v>46246</v>
      </c>
      <c r="D555" s="4" t="s">
        <v>4723</v>
      </c>
      <c r="E555" s="4" t="s">
        <v>6382</v>
      </c>
      <c r="F555" s="7" t="n">
        <v>-12228.23</v>
      </c>
      <c r="G555" s="24" t="s">
        <v>5951</v>
      </c>
      <c r="H555" s="4" t="s">
        <v>4720</v>
      </c>
      <c r="I555" s="4"/>
    </row>
    <row r="556" customFormat="false" ht="15" hidden="false" customHeight="false" outlineLevel="0" collapsed="false">
      <c r="A556" s="4" t="s">
        <v>5524</v>
      </c>
      <c r="B556" s="23" t="n">
        <v>553</v>
      </c>
      <c r="C556" s="6" t="n">
        <v>46246</v>
      </c>
      <c r="D556" s="4" t="s">
        <v>5526</v>
      </c>
      <c r="E556" s="4" t="s">
        <v>6383</v>
      </c>
      <c r="F556" s="7" t="n">
        <v>-9439.57</v>
      </c>
      <c r="G556" s="24" t="s">
        <v>5951</v>
      </c>
      <c r="H556" s="4" t="s">
        <v>5523</v>
      </c>
      <c r="I556" s="4"/>
    </row>
    <row r="557" customFormat="false" ht="15" hidden="false" customHeight="false" outlineLevel="0" collapsed="false">
      <c r="A557" s="4" t="s">
        <v>5105</v>
      </c>
      <c r="B557" s="23" t="n">
        <v>554</v>
      </c>
      <c r="C557" s="6" t="n">
        <v>46246</v>
      </c>
      <c r="D557" s="4" t="s">
        <v>5107</v>
      </c>
      <c r="E557" s="4" t="s">
        <v>6384</v>
      </c>
      <c r="F557" s="7" t="n">
        <v>-35302.92</v>
      </c>
      <c r="G557" s="24" t="s">
        <v>5951</v>
      </c>
      <c r="H557" s="4" t="s">
        <v>5104</v>
      </c>
      <c r="I557" s="4"/>
    </row>
    <row r="558" customFormat="false" ht="15" hidden="false" customHeight="false" outlineLevel="0" collapsed="false">
      <c r="A558" s="4" t="s">
        <v>1361</v>
      </c>
      <c r="B558" s="23" t="n">
        <v>555</v>
      </c>
      <c r="C558" s="6" t="n">
        <v>46246</v>
      </c>
      <c r="D558" s="4" t="s">
        <v>1363</v>
      </c>
      <c r="E558" s="4" t="s">
        <v>6385</v>
      </c>
      <c r="F558" s="7" t="n">
        <v>-43123.22</v>
      </c>
      <c r="G558" s="24" t="s">
        <v>5951</v>
      </c>
      <c r="H558" s="4" t="s">
        <v>1360</v>
      </c>
      <c r="I558" s="4"/>
    </row>
    <row r="559" customFormat="false" ht="15" hidden="false" customHeight="false" outlineLevel="0" collapsed="false">
      <c r="A559" s="4" t="s">
        <v>5110</v>
      </c>
      <c r="B559" s="23" t="n">
        <v>556</v>
      </c>
      <c r="C559" s="6" t="n">
        <v>46246</v>
      </c>
      <c r="D559" s="4" t="s">
        <v>5112</v>
      </c>
      <c r="E559" s="4" t="s">
        <v>6386</v>
      </c>
      <c r="F559" s="7" t="n">
        <v>-15673.92</v>
      </c>
      <c r="G559" s="24" t="s">
        <v>5951</v>
      </c>
      <c r="H559" s="4" t="s">
        <v>5109</v>
      </c>
      <c r="I559" s="4"/>
    </row>
    <row r="560" customFormat="false" ht="15" hidden="false" customHeight="false" outlineLevel="0" collapsed="false">
      <c r="A560" s="4" t="s">
        <v>1366</v>
      </c>
      <c r="B560" s="23" t="n">
        <v>557</v>
      </c>
      <c r="C560" s="6" t="n">
        <v>46247</v>
      </c>
      <c r="D560" s="4" t="s">
        <v>1368</v>
      </c>
      <c r="E560" s="4" t="s">
        <v>6387</v>
      </c>
      <c r="F560" s="7" t="n">
        <v>93384.53</v>
      </c>
      <c r="G560" s="24" t="s">
        <v>5951</v>
      </c>
      <c r="H560" s="4" t="s">
        <v>1365</v>
      </c>
      <c r="I560" s="4"/>
    </row>
    <row r="561" customFormat="false" ht="15" hidden="false" customHeight="false" outlineLevel="0" collapsed="false">
      <c r="A561" s="4" t="s">
        <v>4187</v>
      </c>
      <c r="B561" s="23" t="n">
        <v>558</v>
      </c>
      <c r="C561" s="6" t="n">
        <v>46247</v>
      </c>
      <c r="D561" s="4" t="s">
        <v>4189</v>
      </c>
      <c r="E561" s="4"/>
      <c r="F561" s="7" t="n">
        <v>35060.66</v>
      </c>
      <c r="G561" s="24" t="s">
        <v>5951</v>
      </c>
      <c r="H561" s="4" t="s">
        <v>4186</v>
      </c>
      <c r="I561" s="4"/>
    </row>
    <row r="562" customFormat="false" ht="15" hidden="false" customHeight="false" outlineLevel="0" collapsed="false">
      <c r="A562" s="4" t="s">
        <v>4192</v>
      </c>
      <c r="B562" s="23" t="n">
        <v>559</v>
      </c>
      <c r="C562" s="6" t="n">
        <v>46247</v>
      </c>
      <c r="D562" s="4" t="s">
        <v>4194</v>
      </c>
      <c r="E562" s="4" t="s">
        <v>6388</v>
      </c>
      <c r="F562" s="7" t="n">
        <v>92678.59</v>
      </c>
      <c r="G562" s="24" t="s">
        <v>5951</v>
      </c>
      <c r="H562" s="4" t="s">
        <v>4191</v>
      </c>
      <c r="I562" s="4"/>
    </row>
    <row r="563" customFormat="false" ht="15" hidden="false" customHeight="false" outlineLevel="0" collapsed="false">
      <c r="A563" s="4" t="s">
        <v>3062</v>
      </c>
      <c r="B563" s="23" t="n">
        <v>560</v>
      </c>
      <c r="C563" s="6" t="n">
        <v>46247</v>
      </c>
      <c r="D563" s="4" t="s">
        <v>3064</v>
      </c>
      <c r="E563" s="4" t="s">
        <v>6389</v>
      </c>
      <c r="F563" s="7" t="n">
        <v>25114.69</v>
      </c>
      <c r="G563" s="24" t="s">
        <v>5951</v>
      </c>
      <c r="H563" s="4" t="s">
        <v>3061</v>
      </c>
      <c r="I563" s="4"/>
    </row>
    <row r="564" customFormat="false" ht="15" hidden="false" customHeight="false" outlineLevel="0" collapsed="false">
      <c r="A564" s="4" t="s">
        <v>5529</v>
      </c>
      <c r="B564" s="23" t="n">
        <v>561</v>
      </c>
      <c r="C564" s="6" t="n">
        <v>46247</v>
      </c>
      <c r="D564" s="4" t="s">
        <v>5531</v>
      </c>
      <c r="E564" s="4" t="s">
        <v>6390</v>
      </c>
      <c r="F564" s="7" t="n">
        <v>-4446.35</v>
      </c>
      <c r="G564" s="24" t="s">
        <v>5951</v>
      </c>
      <c r="H564" s="4" t="s">
        <v>5528</v>
      </c>
      <c r="I564" s="4"/>
    </row>
    <row r="565" customFormat="false" ht="15" hidden="false" customHeight="false" outlineLevel="0" collapsed="false">
      <c r="A565" s="4" t="s">
        <v>1371</v>
      </c>
      <c r="B565" s="23" t="n">
        <v>562</v>
      </c>
      <c r="C565" s="6" t="n">
        <v>46247</v>
      </c>
      <c r="D565" s="4" t="s">
        <v>1373</v>
      </c>
      <c r="E565" s="4" t="s">
        <v>6391</v>
      </c>
      <c r="F565" s="7" t="n">
        <v>-39702.15</v>
      </c>
      <c r="G565" s="24" t="s">
        <v>5951</v>
      </c>
      <c r="H565" s="4" t="s">
        <v>1370</v>
      </c>
      <c r="I565" s="4"/>
    </row>
    <row r="566" customFormat="false" ht="15" hidden="false" customHeight="false" outlineLevel="0" collapsed="false">
      <c r="A566" s="4" t="s">
        <v>3067</v>
      </c>
      <c r="B566" s="23" t="n">
        <v>563</v>
      </c>
      <c r="C566" s="6" t="n">
        <v>46247</v>
      </c>
      <c r="D566" s="4" t="s">
        <v>3069</v>
      </c>
      <c r="E566" s="4" t="s">
        <v>6392</v>
      </c>
      <c r="F566" s="7" t="n">
        <v>-37031.07</v>
      </c>
      <c r="G566" s="24" t="s">
        <v>5951</v>
      </c>
      <c r="H566" s="4" t="s">
        <v>3066</v>
      </c>
      <c r="I566" s="4"/>
    </row>
    <row r="567" customFormat="false" ht="15" hidden="false" customHeight="false" outlineLevel="0" collapsed="false">
      <c r="A567" s="4" t="s">
        <v>3072</v>
      </c>
      <c r="B567" s="23" t="n">
        <v>564</v>
      </c>
      <c r="C567" s="6" t="n">
        <v>46247</v>
      </c>
      <c r="D567" s="4" t="s">
        <v>3074</v>
      </c>
      <c r="E567" s="4" t="s">
        <v>6393</v>
      </c>
      <c r="F567" s="7" t="n">
        <v>-9158.71</v>
      </c>
      <c r="G567" s="24" t="s">
        <v>5951</v>
      </c>
      <c r="H567" s="4" t="s">
        <v>3071</v>
      </c>
      <c r="I567" s="4"/>
    </row>
    <row r="568" customFormat="false" ht="15" hidden="false" customHeight="false" outlineLevel="0" collapsed="false">
      <c r="A568" s="4" t="s">
        <v>4726</v>
      </c>
      <c r="B568" s="23" t="n">
        <v>565</v>
      </c>
      <c r="C568" s="6" t="n">
        <v>46247</v>
      </c>
      <c r="D568" s="4" t="s">
        <v>4728</v>
      </c>
      <c r="E568" s="4" t="s">
        <v>6394</v>
      </c>
      <c r="F568" s="7" t="n">
        <v>-16109.42</v>
      </c>
      <c r="G568" s="24" t="s">
        <v>5951</v>
      </c>
      <c r="H568" s="4" t="s">
        <v>4725</v>
      </c>
      <c r="I568" s="4"/>
    </row>
    <row r="569" customFormat="false" ht="15" hidden="false" customHeight="false" outlineLevel="0" collapsed="false">
      <c r="A569" s="4" t="s">
        <v>3077</v>
      </c>
      <c r="B569" s="23" t="n">
        <v>566</v>
      </c>
      <c r="C569" s="6" t="n">
        <v>46248</v>
      </c>
      <c r="D569" s="4" t="s">
        <v>3079</v>
      </c>
      <c r="E569" s="4" t="s">
        <v>6395</v>
      </c>
      <c r="F569" s="7" t="n">
        <v>51318.08</v>
      </c>
      <c r="G569" s="24" t="s">
        <v>5951</v>
      </c>
      <c r="H569" s="4" t="s">
        <v>3076</v>
      </c>
      <c r="I569" s="4"/>
    </row>
    <row r="570" customFormat="false" ht="15" hidden="false" customHeight="false" outlineLevel="0" collapsed="false">
      <c r="A570" s="4" t="s">
        <v>3082</v>
      </c>
      <c r="B570" s="23" t="n">
        <v>567</v>
      </c>
      <c r="C570" s="6" t="n">
        <v>46248</v>
      </c>
      <c r="D570" s="4" t="s">
        <v>3084</v>
      </c>
      <c r="E570" s="4" t="s">
        <v>6396</v>
      </c>
      <c r="F570" s="7" t="n">
        <v>6136.96</v>
      </c>
      <c r="G570" s="24" t="s">
        <v>5951</v>
      </c>
      <c r="H570" s="4" t="s">
        <v>3081</v>
      </c>
      <c r="I570" s="4"/>
    </row>
    <row r="571" customFormat="false" ht="15" hidden="false" customHeight="false" outlineLevel="0" collapsed="false">
      <c r="A571" s="4" t="s">
        <v>3087</v>
      </c>
      <c r="B571" s="23" t="n">
        <v>568</v>
      </c>
      <c r="C571" s="6" t="n">
        <v>46248</v>
      </c>
      <c r="D571" s="4" t="s">
        <v>3089</v>
      </c>
      <c r="E571" s="4" t="s">
        <v>6397</v>
      </c>
      <c r="F571" s="7" t="n">
        <v>63630.17</v>
      </c>
      <c r="G571" s="24" t="s">
        <v>5951</v>
      </c>
      <c r="H571" s="4" t="s">
        <v>3086</v>
      </c>
      <c r="I571" s="4"/>
    </row>
    <row r="572" customFormat="false" ht="15" hidden="false" customHeight="false" outlineLevel="0" collapsed="false">
      <c r="A572" s="4" t="s">
        <v>5534</v>
      </c>
      <c r="B572" s="23" t="n">
        <v>569</v>
      </c>
      <c r="C572" s="6" t="n">
        <v>46248</v>
      </c>
      <c r="D572" s="4" t="s">
        <v>5536</v>
      </c>
      <c r="E572" s="4" t="s">
        <v>6398</v>
      </c>
      <c r="F572" s="7" t="n">
        <v>-47184.71</v>
      </c>
      <c r="G572" s="24" t="s">
        <v>5951</v>
      </c>
      <c r="H572" s="4" t="s">
        <v>5533</v>
      </c>
      <c r="I572" s="4"/>
    </row>
    <row r="573" customFormat="false" ht="15" hidden="false" customHeight="false" outlineLevel="0" collapsed="false">
      <c r="A573" s="4" t="s">
        <v>3092</v>
      </c>
      <c r="B573" s="23" t="n">
        <v>570</v>
      </c>
      <c r="C573" s="6" t="n">
        <v>46248</v>
      </c>
      <c r="D573" s="4" t="s">
        <v>3094</v>
      </c>
      <c r="E573" s="4" t="s">
        <v>6399</v>
      </c>
      <c r="F573" s="7" t="n">
        <v>-1321.14</v>
      </c>
      <c r="G573" s="24" t="s">
        <v>5951</v>
      </c>
      <c r="H573" s="4" t="s">
        <v>3091</v>
      </c>
      <c r="I573" s="4"/>
    </row>
    <row r="574" customFormat="false" ht="15" hidden="false" customHeight="false" outlineLevel="0" collapsed="false">
      <c r="A574" s="4" t="s">
        <v>4731</v>
      </c>
      <c r="B574" s="23" t="n">
        <v>571</v>
      </c>
      <c r="C574" s="6" t="n">
        <v>46248</v>
      </c>
      <c r="D574" s="4" t="s">
        <v>4733</v>
      </c>
      <c r="E574" s="4" t="s">
        <v>6400</v>
      </c>
      <c r="F574" s="7" t="n">
        <v>-20564.37</v>
      </c>
      <c r="G574" s="24" t="s">
        <v>5951</v>
      </c>
      <c r="H574" s="4" t="s">
        <v>4730</v>
      </c>
      <c r="I574" s="4"/>
    </row>
    <row r="575" customFormat="false" ht="15" hidden="false" customHeight="false" outlineLevel="0" collapsed="false">
      <c r="A575" s="4" t="s">
        <v>5539</v>
      </c>
      <c r="B575" s="23" t="n">
        <v>572</v>
      </c>
      <c r="C575" s="6" t="n">
        <v>46248</v>
      </c>
      <c r="D575" s="4" t="s">
        <v>5541</v>
      </c>
      <c r="E575" s="4" t="s">
        <v>6401</v>
      </c>
      <c r="F575" s="7" t="n">
        <v>-46671.51</v>
      </c>
      <c r="G575" s="24" t="s">
        <v>5951</v>
      </c>
      <c r="H575" s="4" t="s">
        <v>5538</v>
      </c>
      <c r="I575" s="4"/>
    </row>
    <row r="576" customFormat="false" ht="15" hidden="false" customHeight="false" outlineLevel="0" collapsed="false">
      <c r="A576" s="4" t="s">
        <v>4736</v>
      </c>
      <c r="B576" s="23" t="n">
        <v>573</v>
      </c>
      <c r="C576" s="6" t="n">
        <v>46248</v>
      </c>
      <c r="D576" s="4" t="s">
        <v>4738</v>
      </c>
      <c r="E576" s="4" t="s">
        <v>6402</v>
      </c>
      <c r="F576" s="7" t="n">
        <v>-21581.1</v>
      </c>
      <c r="G576" s="24" t="s">
        <v>5951</v>
      </c>
      <c r="H576" s="4" t="s">
        <v>4735</v>
      </c>
      <c r="I576" s="4"/>
    </row>
    <row r="577" customFormat="false" ht="15" hidden="false" customHeight="false" outlineLevel="0" collapsed="false">
      <c r="A577" s="4" t="s">
        <v>3097</v>
      </c>
      <c r="B577" s="23" t="n">
        <v>574</v>
      </c>
      <c r="C577" s="6" t="n">
        <v>46248</v>
      </c>
      <c r="D577" s="4" t="s">
        <v>3099</v>
      </c>
      <c r="E577" s="4" t="s">
        <v>6403</v>
      </c>
      <c r="F577" s="7" t="n">
        <v>-22260.83</v>
      </c>
      <c r="G577" s="24" t="s">
        <v>5951</v>
      </c>
      <c r="H577" s="4" t="s">
        <v>3096</v>
      </c>
      <c r="I577" s="4"/>
    </row>
    <row r="578" customFormat="false" ht="15" hidden="false" customHeight="false" outlineLevel="0" collapsed="false">
      <c r="A578" s="4" t="s">
        <v>1376</v>
      </c>
      <c r="B578" s="23" t="n">
        <v>575</v>
      </c>
      <c r="C578" s="6" t="n">
        <v>46249</v>
      </c>
      <c r="D578" s="4" t="s">
        <v>1378</v>
      </c>
      <c r="E578" s="4" t="s">
        <v>6404</v>
      </c>
      <c r="F578" s="7" t="n">
        <v>86559.79</v>
      </c>
      <c r="G578" s="24" t="s">
        <v>5951</v>
      </c>
      <c r="H578" s="4" t="s">
        <v>1375</v>
      </c>
      <c r="I578" s="4"/>
    </row>
    <row r="579" customFormat="false" ht="15" hidden="false" customHeight="false" outlineLevel="0" collapsed="false">
      <c r="A579" s="4" t="s">
        <v>3102</v>
      </c>
      <c r="B579" s="23" t="n">
        <v>576</v>
      </c>
      <c r="C579" s="6" t="n">
        <v>46249</v>
      </c>
      <c r="D579" s="4" t="s">
        <v>3104</v>
      </c>
      <c r="E579" s="4"/>
      <c r="F579" s="7" t="n">
        <v>44144.95</v>
      </c>
      <c r="G579" s="24" t="s">
        <v>5951</v>
      </c>
      <c r="H579" s="4" t="s">
        <v>3101</v>
      </c>
      <c r="I579" s="4"/>
    </row>
    <row r="580" customFormat="false" ht="15" hidden="false" customHeight="false" outlineLevel="0" collapsed="false">
      <c r="A580" s="4" t="s">
        <v>3107</v>
      </c>
      <c r="B580" s="23" t="n">
        <v>577</v>
      </c>
      <c r="C580" s="6" t="n">
        <v>46249</v>
      </c>
      <c r="D580" s="4" t="s">
        <v>3109</v>
      </c>
      <c r="E580" s="4" t="s">
        <v>6405</v>
      </c>
      <c r="F580" s="7" t="n">
        <v>15945.06</v>
      </c>
      <c r="G580" s="24" t="s">
        <v>5951</v>
      </c>
      <c r="H580" s="4" t="s">
        <v>3106</v>
      </c>
      <c r="I580" s="4"/>
    </row>
    <row r="581" customFormat="false" ht="15" hidden="false" customHeight="false" outlineLevel="0" collapsed="false">
      <c r="A581" s="4" t="s">
        <v>1381</v>
      </c>
      <c r="B581" s="23" t="n">
        <v>578</v>
      </c>
      <c r="C581" s="6" t="n">
        <v>46249</v>
      </c>
      <c r="D581" s="4" t="s">
        <v>1383</v>
      </c>
      <c r="E581" s="4"/>
      <c r="F581" s="7" t="n">
        <v>11068.49</v>
      </c>
      <c r="G581" s="24" t="s">
        <v>5951</v>
      </c>
      <c r="H581" s="4" t="s">
        <v>1380</v>
      </c>
      <c r="I581" s="4"/>
    </row>
    <row r="582" customFormat="false" ht="15" hidden="false" customHeight="false" outlineLevel="0" collapsed="false">
      <c r="A582" s="4" t="s">
        <v>3112</v>
      </c>
      <c r="B582" s="23" t="n">
        <v>579</v>
      </c>
      <c r="C582" s="6" t="n">
        <v>46249</v>
      </c>
      <c r="D582" s="4" t="s">
        <v>3114</v>
      </c>
      <c r="E582" s="4" t="s">
        <v>6406</v>
      </c>
      <c r="F582" s="7" t="n">
        <v>57943.54</v>
      </c>
      <c r="G582" s="24" t="s">
        <v>5951</v>
      </c>
      <c r="H582" s="4" t="s">
        <v>3111</v>
      </c>
      <c r="I582" s="4"/>
    </row>
    <row r="583" customFormat="false" ht="15" hidden="false" customHeight="false" outlineLevel="0" collapsed="false">
      <c r="A583" s="4" t="s">
        <v>1386</v>
      </c>
      <c r="B583" s="23" t="n">
        <v>580</v>
      </c>
      <c r="C583" s="6" t="n">
        <v>46249</v>
      </c>
      <c r="D583" s="4" t="s">
        <v>1388</v>
      </c>
      <c r="E583" s="4" t="s">
        <v>6407</v>
      </c>
      <c r="F583" s="7" t="n">
        <v>26539.32</v>
      </c>
      <c r="G583" s="24" t="s">
        <v>5951</v>
      </c>
      <c r="H583" s="4" t="s">
        <v>1385</v>
      </c>
      <c r="I583" s="4"/>
    </row>
    <row r="584" customFormat="false" ht="15" hidden="false" customHeight="false" outlineLevel="0" collapsed="false">
      <c r="A584" s="4" t="s">
        <v>1391</v>
      </c>
      <c r="B584" s="23" t="n">
        <v>581</v>
      </c>
      <c r="C584" s="6" t="n">
        <v>46249</v>
      </c>
      <c r="D584" s="4" t="s">
        <v>1393</v>
      </c>
      <c r="E584" s="4" t="s">
        <v>6408</v>
      </c>
      <c r="F584" s="7" t="n">
        <v>79758.36</v>
      </c>
      <c r="G584" s="24" t="s">
        <v>5951</v>
      </c>
      <c r="H584" s="4" t="s">
        <v>1390</v>
      </c>
      <c r="I584" s="4"/>
    </row>
    <row r="585" customFormat="false" ht="15" hidden="false" customHeight="false" outlineLevel="0" collapsed="false">
      <c r="A585" s="4" t="s">
        <v>5115</v>
      </c>
      <c r="B585" s="23" t="n">
        <v>582</v>
      </c>
      <c r="C585" s="6" t="n">
        <v>46249</v>
      </c>
      <c r="D585" s="4" t="s">
        <v>5117</v>
      </c>
      <c r="E585" s="4" t="s">
        <v>6409</v>
      </c>
      <c r="F585" s="7" t="n">
        <v>-5559.99</v>
      </c>
      <c r="G585" s="24" t="s">
        <v>5951</v>
      </c>
      <c r="H585" s="4" t="s">
        <v>5114</v>
      </c>
      <c r="I585" s="4"/>
    </row>
    <row r="586" customFormat="false" ht="15" hidden="false" customHeight="false" outlineLevel="0" collapsed="false">
      <c r="A586" s="4" t="s">
        <v>4741</v>
      </c>
      <c r="B586" s="23" t="n">
        <v>583</v>
      </c>
      <c r="C586" s="6" t="n">
        <v>46249</v>
      </c>
      <c r="D586" s="4" t="s">
        <v>4743</v>
      </c>
      <c r="E586" s="4" t="s">
        <v>6410</v>
      </c>
      <c r="F586" s="7" t="n">
        <v>-37765.52</v>
      </c>
      <c r="G586" s="24" t="s">
        <v>5951</v>
      </c>
      <c r="H586" s="4" t="s">
        <v>4740</v>
      </c>
      <c r="I586" s="4"/>
    </row>
    <row r="587" customFormat="false" ht="15" hidden="false" customHeight="false" outlineLevel="0" collapsed="false">
      <c r="A587" s="4" t="s">
        <v>479</v>
      </c>
      <c r="B587" s="23" t="n">
        <v>584</v>
      </c>
      <c r="C587" s="6" t="n">
        <v>46249</v>
      </c>
      <c r="D587" s="4" t="s">
        <v>5851</v>
      </c>
      <c r="E587" s="4" t="s">
        <v>481</v>
      </c>
      <c r="F587" s="7" t="n">
        <v>13548.95</v>
      </c>
      <c r="G587" s="25" t="s">
        <v>5987</v>
      </c>
      <c r="H587" s="4" t="s">
        <v>5850</v>
      </c>
      <c r="I587" s="4" t="s">
        <v>478</v>
      </c>
    </row>
    <row r="588" customFormat="false" ht="15" hidden="false" customHeight="false" outlineLevel="0" collapsed="false">
      <c r="A588" s="4" t="s">
        <v>425</v>
      </c>
      <c r="B588" s="23" t="n">
        <v>585</v>
      </c>
      <c r="C588" s="6" t="n">
        <v>46249</v>
      </c>
      <c r="D588" s="4" t="s">
        <v>419</v>
      </c>
      <c r="E588" s="4"/>
      <c r="F588" s="7" t="n">
        <v>-331.89</v>
      </c>
      <c r="G588" s="26" t="s">
        <v>6043</v>
      </c>
      <c r="H588" s="4"/>
      <c r="I588" s="4" t="s">
        <v>424</v>
      </c>
    </row>
    <row r="589" customFormat="false" ht="15" hidden="false" customHeight="false" outlineLevel="0" collapsed="false">
      <c r="A589" s="4" t="s">
        <v>4197</v>
      </c>
      <c r="B589" s="23" t="n">
        <v>586</v>
      </c>
      <c r="C589" s="6" t="n">
        <v>46250</v>
      </c>
      <c r="D589" s="4" t="s">
        <v>4199</v>
      </c>
      <c r="E589" s="4" t="s">
        <v>6411</v>
      </c>
      <c r="F589" s="7" t="n">
        <v>61365.68</v>
      </c>
      <c r="G589" s="24" t="s">
        <v>5951</v>
      </c>
      <c r="H589" s="4" t="s">
        <v>4196</v>
      </c>
      <c r="I589" s="4"/>
    </row>
    <row r="590" customFormat="false" ht="15" hidden="false" customHeight="false" outlineLevel="0" collapsed="false">
      <c r="A590" s="4" t="s">
        <v>1396</v>
      </c>
      <c r="B590" s="23" t="n">
        <v>587</v>
      </c>
      <c r="C590" s="6" t="n">
        <v>46250</v>
      </c>
      <c r="D590" s="4" t="s">
        <v>1398</v>
      </c>
      <c r="E590" s="4" t="s">
        <v>6412</v>
      </c>
      <c r="F590" s="7" t="n">
        <v>11481.85</v>
      </c>
      <c r="G590" s="24" t="s">
        <v>5951</v>
      </c>
      <c r="H590" s="4" t="s">
        <v>1395</v>
      </c>
      <c r="I590" s="4"/>
    </row>
    <row r="591" customFormat="false" ht="15" hidden="false" customHeight="false" outlineLevel="0" collapsed="false">
      <c r="A591" s="4" t="s">
        <v>1401</v>
      </c>
      <c r="B591" s="23" t="n">
        <v>588</v>
      </c>
      <c r="C591" s="6" t="n">
        <v>46250</v>
      </c>
      <c r="D591" s="4" t="s">
        <v>1403</v>
      </c>
      <c r="E591" s="4" t="s">
        <v>6413</v>
      </c>
      <c r="F591" s="7" t="n">
        <v>13366.34</v>
      </c>
      <c r="G591" s="24" t="s">
        <v>5951</v>
      </c>
      <c r="H591" s="4" t="s">
        <v>1400</v>
      </c>
      <c r="I591" s="4"/>
    </row>
    <row r="592" customFormat="false" ht="15" hidden="false" customHeight="false" outlineLevel="0" collapsed="false">
      <c r="A592" s="4" t="s">
        <v>3117</v>
      </c>
      <c r="B592" s="23" t="n">
        <v>589</v>
      </c>
      <c r="C592" s="6" t="n">
        <v>46250</v>
      </c>
      <c r="D592" s="4" t="s">
        <v>3119</v>
      </c>
      <c r="E592" s="4" t="s">
        <v>6414</v>
      </c>
      <c r="F592" s="7" t="n">
        <v>22081.02</v>
      </c>
      <c r="G592" s="24" t="s">
        <v>5951</v>
      </c>
      <c r="H592" s="4" t="s">
        <v>3116</v>
      </c>
      <c r="I592" s="4"/>
    </row>
    <row r="593" customFormat="false" ht="15" hidden="false" customHeight="false" outlineLevel="0" collapsed="false">
      <c r="A593" s="4" t="s">
        <v>1406</v>
      </c>
      <c r="B593" s="23" t="n">
        <v>590</v>
      </c>
      <c r="C593" s="6" t="n">
        <v>46250</v>
      </c>
      <c r="D593" s="4" t="s">
        <v>1408</v>
      </c>
      <c r="E593" s="4" t="s">
        <v>6415</v>
      </c>
      <c r="F593" s="7" t="n">
        <v>4675.61</v>
      </c>
      <c r="G593" s="24" t="s">
        <v>5951</v>
      </c>
      <c r="H593" s="4" t="s">
        <v>1405</v>
      </c>
      <c r="I593" s="4"/>
    </row>
    <row r="594" customFormat="false" ht="15" hidden="false" customHeight="false" outlineLevel="0" collapsed="false">
      <c r="A594" s="4" t="s">
        <v>1411</v>
      </c>
      <c r="B594" s="23" t="n">
        <v>591</v>
      </c>
      <c r="C594" s="6" t="n">
        <v>46250</v>
      </c>
      <c r="D594" s="4" t="s">
        <v>1413</v>
      </c>
      <c r="E594" s="4" t="s">
        <v>6416</v>
      </c>
      <c r="F594" s="7" t="n">
        <v>-22081.65</v>
      </c>
      <c r="G594" s="24" t="s">
        <v>5951</v>
      </c>
      <c r="H594" s="4" t="s">
        <v>1410</v>
      </c>
      <c r="I594" s="4"/>
    </row>
    <row r="595" customFormat="false" ht="15" hidden="false" customHeight="false" outlineLevel="0" collapsed="false">
      <c r="A595" s="4" t="s">
        <v>3122</v>
      </c>
      <c r="B595" s="23" t="n">
        <v>592</v>
      </c>
      <c r="C595" s="6" t="n">
        <v>46250</v>
      </c>
      <c r="D595" s="4" t="s">
        <v>3124</v>
      </c>
      <c r="E595" s="4" t="s">
        <v>6417</v>
      </c>
      <c r="F595" s="7" t="n">
        <v>-7325.3</v>
      </c>
      <c r="G595" s="24" t="s">
        <v>5951</v>
      </c>
      <c r="H595" s="4" t="s">
        <v>3121</v>
      </c>
      <c r="I595" s="4"/>
    </row>
    <row r="596" customFormat="false" ht="15" hidden="false" customHeight="false" outlineLevel="0" collapsed="false">
      <c r="A596" s="4" t="s">
        <v>5120</v>
      </c>
      <c r="B596" s="23" t="n">
        <v>593</v>
      </c>
      <c r="C596" s="6" t="n">
        <v>46250</v>
      </c>
      <c r="D596" s="4" t="s">
        <v>5122</v>
      </c>
      <c r="E596" s="4" t="s">
        <v>6418</v>
      </c>
      <c r="F596" s="7" t="n">
        <v>-5015.07</v>
      </c>
      <c r="G596" s="24" t="s">
        <v>5951</v>
      </c>
      <c r="H596" s="4" t="s">
        <v>5119</v>
      </c>
      <c r="I596" s="4"/>
    </row>
    <row r="597" customFormat="false" ht="15" hidden="false" customHeight="false" outlineLevel="0" collapsed="false">
      <c r="A597" s="4" t="s">
        <v>5125</v>
      </c>
      <c r="B597" s="23" t="n">
        <v>594</v>
      </c>
      <c r="C597" s="6" t="n">
        <v>46250</v>
      </c>
      <c r="D597" s="4" t="s">
        <v>5127</v>
      </c>
      <c r="E597" s="4" t="s">
        <v>6419</v>
      </c>
      <c r="F597" s="7" t="n">
        <v>-19204.41</v>
      </c>
      <c r="G597" s="24" t="s">
        <v>5951</v>
      </c>
      <c r="H597" s="4" t="s">
        <v>5124</v>
      </c>
      <c r="I597" s="4"/>
    </row>
    <row r="598" customFormat="false" ht="15" hidden="false" customHeight="false" outlineLevel="0" collapsed="false">
      <c r="A598" s="4" t="s">
        <v>5544</v>
      </c>
      <c r="B598" s="23" t="n">
        <v>595</v>
      </c>
      <c r="C598" s="6" t="n">
        <v>46250</v>
      </c>
      <c r="D598" s="4" t="s">
        <v>5546</v>
      </c>
      <c r="E598" s="4" t="s">
        <v>6420</v>
      </c>
      <c r="F598" s="7" t="n">
        <v>-41804.27</v>
      </c>
      <c r="G598" s="24" t="s">
        <v>5951</v>
      </c>
      <c r="H598" s="4" t="s">
        <v>5543</v>
      </c>
      <c r="I598" s="4"/>
    </row>
    <row r="599" customFormat="false" ht="15" hidden="false" customHeight="false" outlineLevel="0" collapsed="false">
      <c r="A599" s="4" t="s">
        <v>5820</v>
      </c>
      <c r="B599" s="23" t="n">
        <v>596</v>
      </c>
      <c r="C599" s="6" t="n">
        <v>46250</v>
      </c>
      <c r="D599" s="4" t="s">
        <v>5798</v>
      </c>
      <c r="E599" s="4"/>
      <c r="F599" s="7" t="n">
        <v>-7700.07</v>
      </c>
      <c r="G599" s="24" t="s">
        <v>5951</v>
      </c>
      <c r="H599" s="4" t="s">
        <v>5819</v>
      </c>
      <c r="I599" s="4"/>
    </row>
    <row r="600" customFormat="false" ht="15" hidden="false" customHeight="false" outlineLevel="0" collapsed="false">
      <c r="A600" s="4" t="s">
        <v>486</v>
      </c>
      <c r="B600" s="23" t="n">
        <v>597</v>
      </c>
      <c r="C600" s="6" t="n">
        <v>46250</v>
      </c>
      <c r="D600" s="4" t="s">
        <v>5893</v>
      </c>
      <c r="E600" s="4" t="s">
        <v>488</v>
      </c>
      <c r="F600" s="7" t="n">
        <v>38725.93</v>
      </c>
      <c r="G600" s="25" t="s">
        <v>5987</v>
      </c>
      <c r="H600" s="4" t="s">
        <v>5892</v>
      </c>
      <c r="I600" s="4" t="s">
        <v>484</v>
      </c>
    </row>
    <row r="601" customFormat="false" ht="15" hidden="false" customHeight="false" outlineLevel="0" collapsed="false">
      <c r="A601" s="4" t="s">
        <v>358</v>
      </c>
      <c r="B601" s="23" t="n">
        <v>598</v>
      </c>
      <c r="C601" s="6" t="n">
        <v>46250</v>
      </c>
      <c r="D601" s="4" t="s">
        <v>5921</v>
      </c>
      <c r="E601" s="4"/>
      <c r="F601" s="7" t="n">
        <v>-2708.5</v>
      </c>
      <c r="G601" s="25" t="s">
        <v>5987</v>
      </c>
      <c r="H601" s="4" t="s">
        <v>5920</v>
      </c>
      <c r="I601" s="4" t="s">
        <v>356</v>
      </c>
    </row>
    <row r="602" customFormat="false" ht="15" hidden="false" customHeight="false" outlineLevel="0" collapsed="false">
      <c r="A602" s="4" t="s">
        <v>4202</v>
      </c>
      <c r="B602" s="23" t="n">
        <v>599</v>
      </c>
      <c r="C602" s="6" t="n">
        <v>46251</v>
      </c>
      <c r="D602" s="4" t="s">
        <v>4204</v>
      </c>
      <c r="E602" s="4" t="s">
        <v>6421</v>
      </c>
      <c r="F602" s="7" t="n">
        <v>81942.73</v>
      </c>
      <c r="G602" s="24" t="s">
        <v>5951</v>
      </c>
      <c r="H602" s="4" t="s">
        <v>4201</v>
      </c>
      <c r="I602" s="4"/>
    </row>
    <row r="603" customFormat="false" ht="15" hidden="false" customHeight="false" outlineLevel="0" collapsed="false">
      <c r="A603" s="4" t="s">
        <v>3127</v>
      </c>
      <c r="B603" s="23" t="n">
        <v>600</v>
      </c>
      <c r="C603" s="6" t="n">
        <v>46251</v>
      </c>
      <c r="D603" s="4" t="s">
        <v>3129</v>
      </c>
      <c r="E603" s="4" t="s">
        <v>6422</v>
      </c>
      <c r="F603" s="7" t="n">
        <v>21509.65</v>
      </c>
      <c r="G603" s="24" t="s">
        <v>5951</v>
      </c>
      <c r="H603" s="4" t="s">
        <v>3126</v>
      </c>
      <c r="I603" s="4"/>
    </row>
    <row r="604" customFormat="false" ht="15" hidden="false" customHeight="false" outlineLevel="0" collapsed="false">
      <c r="A604" s="4" t="s">
        <v>4746</v>
      </c>
      <c r="B604" s="23" t="n">
        <v>601</v>
      </c>
      <c r="C604" s="6" t="n">
        <v>46251</v>
      </c>
      <c r="D604" s="4" t="s">
        <v>4748</v>
      </c>
      <c r="E604" s="4" t="s">
        <v>6423</v>
      </c>
      <c r="F604" s="7" t="n">
        <v>-48063.77</v>
      </c>
      <c r="G604" s="24" t="s">
        <v>5951</v>
      </c>
      <c r="H604" s="4" t="s">
        <v>4745</v>
      </c>
      <c r="I604" s="4"/>
    </row>
    <row r="605" customFormat="false" ht="15" hidden="false" customHeight="false" outlineLevel="0" collapsed="false">
      <c r="A605" s="4" t="s">
        <v>5549</v>
      </c>
      <c r="B605" s="23" t="n">
        <v>602</v>
      </c>
      <c r="C605" s="6" t="n">
        <v>46251</v>
      </c>
      <c r="D605" s="4" t="s">
        <v>5551</v>
      </c>
      <c r="E605" s="4" t="s">
        <v>6424</v>
      </c>
      <c r="F605" s="7" t="n">
        <v>-34014.48</v>
      </c>
      <c r="G605" s="24" t="s">
        <v>5951</v>
      </c>
      <c r="H605" s="4" t="s">
        <v>5548</v>
      </c>
      <c r="I605" s="4"/>
    </row>
    <row r="606" customFormat="false" ht="15" hidden="false" customHeight="false" outlineLevel="0" collapsed="false">
      <c r="A606" s="4" t="s">
        <v>5554</v>
      </c>
      <c r="B606" s="23" t="n">
        <v>603</v>
      </c>
      <c r="C606" s="6" t="n">
        <v>46251</v>
      </c>
      <c r="D606" s="4" t="s">
        <v>5556</v>
      </c>
      <c r="E606" s="4" t="s">
        <v>6425</v>
      </c>
      <c r="F606" s="7" t="n">
        <v>-5496.32</v>
      </c>
      <c r="G606" s="24" t="s">
        <v>5951</v>
      </c>
      <c r="H606" s="4" t="s">
        <v>5553</v>
      </c>
      <c r="I606" s="4"/>
    </row>
    <row r="607" customFormat="false" ht="15" hidden="false" customHeight="false" outlineLevel="0" collapsed="false">
      <c r="A607" s="4" t="s">
        <v>4207</v>
      </c>
      <c r="B607" s="23" t="n">
        <v>604</v>
      </c>
      <c r="C607" s="6" t="n">
        <v>46251</v>
      </c>
      <c r="D607" s="4" t="s">
        <v>4209</v>
      </c>
      <c r="E607" s="4" t="s">
        <v>6426</v>
      </c>
      <c r="F607" s="7" t="n">
        <v>-39014.65</v>
      </c>
      <c r="G607" s="24" t="s">
        <v>5951</v>
      </c>
      <c r="H607" s="4" t="s">
        <v>4206</v>
      </c>
      <c r="I607" s="4"/>
    </row>
    <row r="608" customFormat="false" ht="15" hidden="false" customHeight="false" outlineLevel="0" collapsed="false">
      <c r="A608" s="4" t="s">
        <v>3132</v>
      </c>
      <c r="B608" s="23" t="n">
        <v>605</v>
      </c>
      <c r="C608" s="6" t="n">
        <v>46251</v>
      </c>
      <c r="D608" s="4" t="s">
        <v>3134</v>
      </c>
      <c r="E608" s="4" t="s">
        <v>6427</v>
      </c>
      <c r="F608" s="7" t="n">
        <v>-39493.98</v>
      </c>
      <c r="G608" s="24" t="s">
        <v>5951</v>
      </c>
      <c r="H608" s="4" t="s">
        <v>3131</v>
      </c>
      <c r="I608" s="4"/>
    </row>
    <row r="609" customFormat="false" ht="15" hidden="false" customHeight="false" outlineLevel="0" collapsed="false">
      <c r="A609" s="4" t="s">
        <v>4751</v>
      </c>
      <c r="B609" s="23" t="n">
        <v>606</v>
      </c>
      <c r="C609" s="6" t="n">
        <v>46251</v>
      </c>
      <c r="D609" s="4" t="s">
        <v>4753</v>
      </c>
      <c r="E609" s="4" t="s">
        <v>6428</v>
      </c>
      <c r="F609" s="7" t="n">
        <v>-38349.47</v>
      </c>
      <c r="G609" s="24" t="s">
        <v>5951</v>
      </c>
      <c r="H609" s="4" t="s">
        <v>4750</v>
      </c>
      <c r="I609" s="4"/>
    </row>
    <row r="610" customFormat="false" ht="15" hidden="false" customHeight="false" outlineLevel="0" collapsed="false">
      <c r="A610" s="4" t="s">
        <v>1416</v>
      </c>
      <c r="B610" s="23" t="n">
        <v>607</v>
      </c>
      <c r="C610" s="6" t="n">
        <v>46251</v>
      </c>
      <c r="D610" s="4" t="s">
        <v>1418</v>
      </c>
      <c r="E610" s="4" t="s">
        <v>6429</v>
      </c>
      <c r="F610" s="7" t="n">
        <v>-37262.76</v>
      </c>
      <c r="G610" s="24" t="s">
        <v>5951</v>
      </c>
      <c r="H610" s="4" t="s">
        <v>1415</v>
      </c>
      <c r="I610" s="4"/>
    </row>
    <row r="611" customFormat="false" ht="15" hidden="false" customHeight="false" outlineLevel="0" collapsed="false">
      <c r="A611" s="4" t="s">
        <v>505</v>
      </c>
      <c r="B611" s="23" t="n">
        <v>608</v>
      </c>
      <c r="C611" s="6" t="n">
        <v>46251</v>
      </c>
      <c r="D611" s="4" t="s">
        <v>5875</v>
      </c>
      <c r="E611" s="4" t="s">
        <v>507</v>
      </c>
      <c r="F611" s="7" t="n">
        <v>10648.31</v>
      </c>
      <c r="G611" s="25" t="s">
        <v>5987</v>
      </c>
      <c r="H611" s="4" t="s">
        <v>5874</v>
      </c>
      <c r="I611" s="4" t="s">
        <v>504</v>
      </c>
    </row>
    <row r="612" customFormat="false" ht="15" hidden="false" customHeight="false" outlineLevel="0" collapsed="false">
      <c r="A612" s="4" t="s">
        <v>1421</v>
      </c>
      <c r="B612" s="23" t="n">
        <v>609</v>
      </c>
      <c r="C612" s="6" t="n">
        <v>46252</v>
      </c>
      <c r="D612" s="4" t="s">
        <v>1423</v>
      </c>
      <c r="E612" s="4" t="s">
        <v>6430</v>
      </c>
      <c r="F612" s="7" t="n">
        <v>3098.34</v>
      </c>
      <c r="G612" s="24" t="s">
        <v>5951</v>
      </c>
      <c r="H612" s="4" t="s">
        <v>1420</v>
      </c>
      <c r="I612" s="4"/>
    </row>
    <row r="613" customFormat="false" ht="15" hidden="false" customHeight="false" outlineLevel="0" collapsed="false">
      <c r="A613" s="4" t="s">
        <v>3137</v>
      </c>
      <c r="B613" s="23" t="n">
        <v>610</v>
      </c>
      <c r="C613" s="6" t="n">
        <v>46252</v>
      </c>
      <c r="D613" s="4" t="s">
        <v>3139</v>
      </c>
      <c r="E613" s="4" t="s">
        <v>6431</v>
      </c>
      <c r="F613" s="7" t="n">
        <v>20466.11</v>
      </c>
      <c r="G613" s="24" t="s">
        <v>5951</v>
      </c>
      <c r="H613" s="4" t="s">
        <v>3136</v>
      </c>
      <c r="I613" s="4"/>
    </row>
    <row r="614" customFormat="false" ht="15" hidden="false" customHeight="false" outlineLevel="0" collapsed="false">
      <c r="A614" s="4" t="s">
        <v>3142</v>
      </c>
      <c r="B614" s="23" t="n">
        <v>611</v>
      </c>
      <c r="C614" s="6" t="n">
        <v>46252</v>
      </c>
      <c r="D614" s="4" t="s">
        <v>3144</v>
      </c>
      <c r="E614" s="4" t="s">
        <v>6432</v>
      </c>
      <c r="F614" s="7" t="n">
        <v>69734.71</v>
      </c>
      <c r="G614" s="24" t="s">
        <v>5951</v>
      </c>
      <c r="H614" s="4" t="s">
        <v>3141</v>
      </c>
      <c r="I614" s="4"/>
    </row>
    <row r="615" customFormat="false" ht="15" hidden="false" customHeight="false" outlineLevel="0" collapsed="false">
      <c r="A615" s="4" t="s">
        <v>1426</v>
      </c>
      <c r="B615" s="23" t="n">
        <v>612</v>
      </c>
      <c r="C615" s="6" t="n">
        <v>46252</v>
      </c>
      <c r="D615" s="4" t="s">
        <v>1428</v>
      </c>
      <c r="E615" s="4"/>
      <c r="F615" s="7" t="n">
        <v>49361.01</v>
      </c>
      <c r="G615" s="24" t="s">
        <v>5951</v>
      </c>
      <c r="H615" s="4" t="s">
        <v>1425</v>
      </c>
      <c r="I615" s="4"/>
    </row>
    <row r="616" customFormat="false" ht="15" hidden="false" customHeight="false" outlineLevel="0" collapsed="false">
      <c r="A616" s="4" t="s">
        <v>4212</v>
      </c>
      <c r="B616" s="23" t="n">
        <v>613</v>
      </c>
      <c r="C616" s="6" t="n">
        <v>46252</v>
      </c>
      <c r="D616" s="4" t="s">
        <v>4214</v>
      </c>
      <c r="E616" s="4" t="s">
        <v>6433</v>
      </c>
      <c r="F616" s="7" t="n">
        <v>15302.86</v>
      </c>
      <c r="G616" s="24" t="s">
        <v>5951</v>
      </c>
      <c r="H616" s="4" t="s">
        <v>4211</v>
      </c>
      <c r="I616" s="4"/>
    </row>
    <row r="617" customFormat="false" ht="15" hidden="false" customHeight="false" outlineLevel="0" collapsed="false">
      <c r="A617" s="4" t="s">
        <v>3147</v>
      </c>
      <c r="B617" s="23" t="n">
        <v>614</v>
      </c>
      <c r="C617" s="6" t="n">
        <v>46252</v>
      </c>
      <c r="D617" s="4" t="s">
        <v>3149</v>
      </c>
      <c r="E617" s="4" t="s">
        <v>6434</v>
      </c>
      <c r="F617" s="7" t="n">
        <v>80332.06</v>
      </c>
      <c r="G617" s="24" t="s">
        <v>5951</v>
      </c>
      <c r="H617" s="4" t="s">
        <v>3146</v>
      </c>
      <c r="I617" s="4"/>
    </row>
    <row r="618" customFormat="false" ht="15" hidden="false" customHeight="false" outlineLevel="0" collapsed="false">
      <c r="A618" s="4" t="s">
        <v>4756</v>
      </c>
      <c r="B618" s="23" t="n">
        <v>615</v>
      </c>
      <c r="C618" s="6" t="n">
        <v>46252</v>
      </c>
      <c r="D618" s="4" t="s">
        <v>4758</v>
      </c>
      <c r="E618" s="4" t="s">
        <v>6435</v>
      </c>
      <c r="F618" s="7" t="n">
        <v>-10821.32</v>
      </c>
      <c r="G618" s="24" t="s">
        <v>5951</v>
      </c>
      <c r="H618" s="4" t="s">
        <v>4755</v>
      </c>
      <c r="I618" s="4"/>
    </row>
    <row r="619" customFormat="false" ht="15" hidden="false" customHeight="false" outlineLevel="0" collapsed="false">
      <c r="A619" s="4" t="s">
        <v>5130</v>
      </c>
      <c r="B619" s="23" t="n">
        <v>616</v>
      </c>
      <c r="C619" s="6" t="n">
        <v>46252</v>
      </c>
      <c r="D619" s="4" t="s">
        <v>5132</v>
      </c>
      <c r="E619" s="4" t="s">
        <v>6436</v>
      </c>
      <c r="F619" s="7" t="n">
        <v>-25625.48</v>
      </c>
      <c r="G619" s="24" t="s">
        <v>5951</v>
      </c>
      <c r="H619" s="4" t="s">
        <v>5129</v>
      </c>
      <c r="I619" s="4"/>
    </row>
    <row r="620" customFormat="false" ht="15" hidden="false" customHeight="false" outlineLevel="0" collapsed="false">
      <c r="A620" s="4" t="s">
        <v>5559</v>
      </c>
      <c r="B620" s="23" t="n">
        <v>617</v>
      </c>
      <c r="C620" s="6" t="n">
        <v>46252</v>
      </c>
      <c r="D620" s="4" t="s">
        <v>5561</v>
      </c>
      <c r="E620" s="4" t="s">
        <v>6437</v>
      </c>
      <c r="F620" s="7" t="n">
        <v>-22335.45</v>
      </c>
      <c r="G620" s="24" t="s">
        <v>5951</v>
      </c>
      <c r="H620" s="4" t="s">
        <v>5558</v>
      </c>
      <c r="I620" s="4"/>
    </row>
    <row r="621" customFormat="false" ht="15" hidden="false" customHeight="false" outlineLevel="0" collapsed="false">
      <c r="A621" s="4" t="s">
        <v>4217</v>
      </c>
      <c r="B621" s="23" t="n">
        <v>618</v>
      </c>
      <c r="C621" s="6" t="n">
        <v>46252</v>
      </c>
      <c r="D621" s="4" t="s">
        <v>4219</v>
      </c>
      <c r="E621" s="4" t="s">
        <v>6438</v>
      </c>
      <c r="F621" s="7" t="n">
        <v>-38260.09</v>
      </c>
      <c r="G621" s="24" t="s">
        <v>5951</v>
      </c>
      <c r="H621" s="4" t="s">
        <v>4216</v>
      </c>
      <c r="I621" s="4"/>
    </row>
    <row r="622" customFormat="false" ht="15" hidden="false" customHeight="false" outlineLevel="0" collapsed="false">
      <c r="A622" s="4" t="s">
        <v>5564</v>
      </c>
      <c r="B622" s="23" t="n">
        <v>619</v>
      </c>
      <c r="C622" s="6" t="n">
        <v>46252</v>
      </c>
      <c r="D622" s="4" t="s">
        <v>5566</v>
      </c>
      <c r="E622" s="4" t="s">
        <v>6439</v>
      </c>
      <c r="F622" s="7" t="n">
        <v>-4785.82</v>
      </c>
      <c r="G622" s="24" t="s">
        <v>5951</v>
      </c>
      <c r="H622" s="4" t="s">
        <v>5563</v>
      </c>
      <c r="I622" s="4"/>
    </row>
    <row r="623" customFormat="false" ht="15" hidden="false" customHeight="false" outlineLevel="0" collapsed="false">
      <c r="A623" s="4" t="s">
        <v>1431</v>
      </c>
      <c r="B623" s="23" t="n">
        <v>620</v>
      </c>
      <c r="C623" s="6" t="n">
        <v>46253</v>
      </c>
      <c r="D623" s="4" t="s">
        <v>1433</v>
      </c>
      <c r="E623" s="4" t="s">
        <v>6440</v>
      </c>
      <c r="F623" s="7" t="n">
        <v>14031.13</v>
      </c>
      <c r="G623" s="24" t="s">
        <v>5951</v>
      </c>
      <c r="H623" s="4" t="s">
        <v>1430</v>
      </c>
      <c r="I623" s="4"/>
    </row>
    <row r="624" customFormat="false" ht="15" hidden="false" customHeight="false" outlineLevel="0" collapsed="false">
      <c r="A624" s="4" t="s">
        <v>4222</v>
      </c>
      <c r="B624" s="23" t="n">
        <v>621</v>
      </c>
      <c r="C624" s="6" t="n">
        <v>46253</v>
      </c>
      <c r="D624" s="4" t="s">
        <v>157</v>
      </c>
      <c r="E624" s="4"/>
      <c r="F624" s="7" t="n">
        <v>60241.9</v>
      </c>
      <c r="G624" s="24" t="s">
        <v>5951</v>
      </c>
      <c r="H624" s="4" t="s">
        <v>4221</v>
      </c>
      <c r="I624" s="4"/>
    </row>
    <row r="625" customFormat="false" ht="15" hidden="false" customHeight="false" outlineLevel="0" collapsed="false">
      <c r="A625" s="4" t="s">
        <v>1436</v>
      </c>
      <c r="B625" s="23" t="n">
        <v>622</v>
      </c>
      <c r="C625" s="6" t="n">
        <v>46253</v>
      </c>
      <c r="D625" s="4" t="s">
        <v>1438</v>
      </c>
      <c r="E625" s="4" t="s">
        <v>6441</v>
      </c>
      <c r="F625" s="7" t="n">
        <v>88207.44</v>
      </c>
      <c r="G625" s="24" t="s">
        <v>5951</v>
      </c>
      <c r="H625" s="4" t="s">
        <v>1435</v>
      </c>
      <c r="I625" s="4"/>
    </row>
    <row r="626" customFormat="false" ht="15" hidden="false" customHeight="false" outlineLevel="0" collapsed="false">
      <c r="A626" s="4" t="s">
        <v>1441</v>
      </c>
      <c r="B626" s="23" t="n">
        <v>623</v>
      </c>
      <c r="C626" s="6" t="n">
        <v>46253</v>
      </c>
      <c r="D626" s="4" t="s">
        <v>1443</v>
      </c>
      <c r="E626" s="4"/>
      <c r="F626" s="7" t="n">
        <v>72531.08</v>
      </c>
      <c r="G626" s="24" t="s">
        <v>5951</v>
      </c>
      <c r="H626" s="4" t="s">
        <v>1440</v>
      </c>
      <c r="I626" s="4"/>
    </row>
    <row r="627" customFormat="false" ht="15" hidden="false" customHeight="false" outlineLevel="0" collapsed="false">
      <c r="A627" s="4" t="s">
        <v>1446</v>
      </c>
      <c r="B627" s="23" t="n">
        <v>624</v>
      </c>
      <c r="C627" s="6" t="n">
        <v>46253</v>
      </c>
      <c r="D627" s="4" t="s">
        <v>1448</v>
      </c>
      <c r="E627" s="4" t="s">
        <v>6442</v>
      </c>
      <c r="F627" s="7" t="n">
        <v>12350.7</v>
      </c>
      <c r="G627" s="24" t="s">
        <v>5951</v>
      </c>
      <c r="H627" s="4" t="s">
        <v>1445</v>
      </c>
      <c r="I627" s="4"/>
    </row>
    <row r="628" customFormat="false" ht="15" hidden="false" customHeight="false" outlineLevel="0" collapsed="false">
      <c r="A628" s="4" t="s">
        <v>1451</v>
      </c>
      <c r="B628" s="23" t="n">
        <v>625</v>
      </c>
      <c r="C628" s="6" t="n">
        <v>46253</v>
      </c>
      <c r="D628" s="4" t="s">
        <v>1453</v>
      </c>
      <c r="E628" s="4"/>
      <c r="F628" s="7" t="n">
        <v>30891.52</v>
      </c>
      <c r="G628" s="24" t="s">
        <v>5951</v>
      </c>
      <c r="H628" s="4" t="s">
        <v>1450</v>
      </c>
      <c r="I628" s="4"/>
    </row>
    <row r="629" customFormat="false" ht="15" hidden="false" customHeight="false" outlineLevel="0" collapsed="false">
      <c r="A629" s="4" t="s">
        <v>1456</v>
      </c>
      <c r="B629" s="23" t="n">
        <v>626</v>
      </c>
      <c r="C629" s="6" t="n">
        <v>46253</v>
      </c>
      <c r="D629" s="4" t="s">
        <v>1458</v>
      </c>
      <c r="E629" s="4" t="s">
        <v>6443</v>
      </c>
      <c r="F629" s="7" t="n">
        <v>-51185.53</v>
      </c>
      <c r="G629" s="24" t="s">
        <v>5951</v>
      </c>
      <c r="H629" s="4" t="s">
        <v>1455</v>
      </c>
      <c r="I629" s="4"/>
    </row>
    <row r="630" customFormat="false" ht="15" hidden="false" customHeight="false" outlineLevel="0" collapsed="false">
      <c r="A630" s="4" t="s">
        <v>5569</v>
      </c>
      <c r="B630" s="23" t="n">
        <v>627</v>
      </c>
      <c r="C630" s="6" t="n">
        <v>46253</v>
      </c>
      <c r="D630" s="4" t="s">
        <v>5571</v>
      </c>
      <c r="E630" s="4" t="s">
        <v>6444</v>
      </c>
      <c r="F630" s="7" t="n">
        <v>-46738.68</v>
      </c>
      <c r="G630" s="24" t="s">
        <v>5951</v>
      </c>
      <c r="H630" s="4" t="s">
        <v>5568</v>
      </c>
      <c r="I630" s="4"/>
    </row>
    <row r="631" customFormat="false" ht="15" hidden="false" customHeight="false" outlineLevel="0" collapsed="false">
      <c r="A631" s="4" t="s">
        <v>5574</v>
      </c>
      <c r="B631" s="23" t="n">
        <v>628</v>
      </c>
      <c r="C631" s="6" t="n">
        <v>46253</v>
      </c>
      <c r="D631" s="4" t="s">
        <v>5576</v>
      </c>
      <c r="E631" s="4" t="s">
        <v>6445</v>
      </c>
      <c r="F631" s="7" t="n">
        <v>-56182.69</v>
      </c>
      <c r="G631" s="24" t="s">
        <v>5951</v>
      </c>
      <c r="H631" s="4" t="s">
        <v>5573</v>
      </c>
      <c r="I631" s="4"/>
    </row>
    <row r="632" customFormat="false" ht="15" hidden="false" customHeight="false" outlineLevel="0" collapsed="false">
      <c r="A632" s="4" t="s">
        <v>3152</v>
      </c>
      <c r="B632" s="23" t="n">
        <v>629</v>
      </c>
      <c r="C632" s="6" t="n">
        <v>46253</v>
      </c>
      <c r="D632" s="4" t="s">
        <v>3154</v>
      </c>
      <c r="E632" s="4" t="s">
        <v>6446</v>
      </c>
      <c r="F632" s="7" t="n">
        <v>-37199.31</v>
      </c>
      <c r="G632" s="24" t="s">
        <v>5951</v>
      </c>
      <c r="H632" s="4" t="s">
        <v>3151</v>
      </c>
      <c r="I632" s="4"/>
    </row>
    <row r="633" customFormat="false" ht="15" hidden="false" customHeight="false" outlineLevel="0" collapsed="false">
      <c r="A633" s="4" t="s">
        <v>3157</v>
      </c>
      <c r="B633" s="23" t="n">
        <v>630</v>
      </c>
      <c r="C633" s="6" t="n">
        <v>46253</v>
      </c>
      <c r="D633" s="4" t="s">
        <v>3159</v>
      </c>
      <c r="E633" s="4" t="s">
        <v>6447</v>
      </c>
      <c r="F633" s="7" t="n">
        <v>-36849.01</v>
      </c>
      <c r="G633" s="24" t="s">
        <v>5951</v>
      </c>
      <c r="H633" s="4" t="s">
        <v>3156</v>
      </c>
      <c r="I633" s="4"/>
    </row>
    <row r="634" customFormat="false" ht="15" hidden="false" customHeight="false" outlineLevel="0" collapsed="false">
      <c r="A634" s="4" t="s">
        <v>4761</v>
      </c>
      <c r="B634" s="23" t="n">
        <v>631</v>
      </c>
      <c r="C634" s="6" t="n">
        <v>46253</v>
      </c>
      <c r="D634" s="4" t="s">
        <v>4763</v>
      </c>
      <c r="E634" s="4" t="s">
        <v>6448</v>
      </c>
      <c r="F634" s="7" t="n">
        <v>-19656.8</v>
      </c>
      <c r="G634" s="24" t="s">
        <v>5951</v>
      </c>
      <c r="H634" s="4" t="s">
        <v>4760</v>
      </c>
      <c r="I634" s="4"/>
    </row>
    <row r="635" customFormat="false" ht="15" hidden="false" customHeight="false" outlineLevel="0" collapsed="false">
      <c r="A635" s="4" t="s">
        <v>155</v>
      </c>
      <c r="B635" s="23" t="n">
        <v>632</v>
      </c>
      <c r="C635" s="6" t="n">
        <v>46253</v>
      </c>
      <c r="D635" s="4" t="s">
        <v>157</v>
      </c>
      <c r="E635" s="4"/>
      <c r="F635" s="7" t="n">
        <v>60241.9</v>
      </c>
      <c r="G635" s="26" t="s">
        <v>6043</v>
      </c>
      <c r="H635" s="4"/>
      <c r="I635" s="4" t="s">
        <v>154</v>
      </c>
    </row>
    <row r="636" customFormat="false" ht="15" hidden="false" customHeight="false" outlineLevel="0" collapsed="false">
      <c r="A636" s="4" t="s">
        <v>396</v>
      </c>
      <c r="B636" s="23" t="n">
        <v>633</v>
      </c>
      <c r="C636" s="6" t="n">
        <v>46253</v>
      </c>
      <c r="D636" s="4" t="s">
        <v>5940</v>
      </c>
      <c r="E636" s="4"/>
      <c r="F636" s="7" t="n">
        <v>16045.15</v>
      </c>
      <c r="G636" s="25" t="s">
        <v>5987</v>
      </c>
      <c r="H636" s="4" t="s">
        <v>5939</v>
      </c>
      <c r="I636" s="4" t="s">
        <v>395</v>
      </c>
    </row>
    <row r="637" customFormat="false" ht="15" hidden="false" customHeight="false" outlineLevel="0" collapsed="false">
      <c r="A637" s="4" t="s">
        <v>401</v>
      </c>
      <c r="B637" s="23" t="n">
        <v>634</v>
      </c>
      <c r="C637" s="6" t="n">
        <v>46253</v>
      </c>
      <c r="D637" s="4" t="s">
        <v>5943</v>
      </c>
      <c r="E637" s="4"/>
      <c r="F637" s="7" t="n">
        <v>11448.33</v>
      </c>
      <c r="G637" s="25" t="s">
        <v>5987</v>
      </c>
      <c r="H637" s="4" t="s">
        <v>5942</v>
      </c>
      <c r="I637" s="4" t="s">
        <v>400</v>
      </c>
    </row>
    <row r="638" customFormat="false" ht="15" hidden="false" customHeight="false" outlineLevel="0" collapsed="false">
      <c r="A638" s="4" t="s">
        <v>4226</v>
      </c>
      <c r="B638" s="23" t="n">
        <v>635</v>
      </c>
      <c r="C638" s="6" t="n">
        <v>46254</v>
      </c>
      <c r="D638" s="4" t="s">
        <v>4228</v>
      </c>
      <c r="E638" s="4" t="s">
        <v>6449</v>
      </c>
      <c r="F638" s="7" t="n">
        <v>10772.61</v>
      </c>
      <c r="G638" s="24" t="s">
        <v>5951</v>
      </c>
      <c r="H638" s="4" t="s">
        <v>4225</v>
      </c>
      <c r="I638" s="4"/>
    </row>
    <row r="639" customFormat="false" ht="15" hidden="false" customHeight="false" outlineLevel="0" collapsed="false">
      <c r="A639" s="4" t="s">
        <v>1461</v>
      </c>
      <c r="B639" s="23" t="n">
        <v>636</v>
      </c>
      <c r="C639" s="6" t="n">
        <v>46254</v>
      </c>
      <c r="D639" s="4" t="s">
        <v>1463</v>
      </c>
      <c r="E639" s="4" t="s">
        <v>6450</v>
      </c>
      <c r="F639" s="7" t="n">
        <v>56985.67</v>
      </c>
      <c r="G639" s="24" t="s">
        <v>5951</v>
      </c>
      <c r="H639" s="4" t="s">
        <v>1460</v>
      </c>
      <c r="I639" s="4"/>
    </row>
    <row r="640" customFormat="false" ht="15" hidden="false" customHeight="false" outlineLevel="0" collapsed="false">
      <c r="A640" s="4" t="s">
        <v>1466</v>
      </c>
      <c r="B640" s="23" t="n">
        <v>637</v>
      </c>
      <c r="C640" s="6" t="n">
        <v>46254</v>
      </c>
      <c r="D640" s="4" t="s">
        <v>1468</v>
      </c>
      <c r="E640" s="4"/>
      <c r="F640" s="7" t="n">
        <v>83605.36</v>
      </c>
      <c r="G640" s="24" t="s">
        <v>5951</v>
      </c>
      <c r="H640" s="4" t="s">
        <v>1465</v>
      </c>
      <c r="I640" s="4"/>
    </row>
    <row r="641" customFormat="false" ht="15" hidden="false" customHeight="false" outlineLevel="0" collapsed="false">
      <c r="A641" s="4" t="s">
        <v>3162</v>
      </c>
      <c r="B641" s="23" t="n">
        <v>638</v>
      </c>
      <c r="C641" s="6" t="n">
        <v>46254</v>
      </c>
      <c r="D641" s="4" t="s">
        <v>3164</v>
      </c>
      <c r="E641" s="4"/>
      <c r="F641" s="7" t="n">
        <v>56625.97</v>
      </c>
      <c r="G641" s="24" t="s">
        <v>5951</v>
      </c>
      <c r="H641" s="4" t="s">
        <v>3161</v>
      </c>
      <c r="I641" s="4"/>
    </row>
    <row r="642" customFormat="false" ht="15" hidden="false" customHeight="false" outlineLevel="0" collapsed="false">
      <c r="A642" s="4" t="s">
        <v>3167</v>
      </c>
      <c r="B642" s="23" t="n">
        <v>639</v>
      </c>
      <c r="C642" s="6" t="n">
        <v>46254</v>
      </c>
      <c r="D642" s="4" t="s">
        <v>3169</v>
      </c>
      <c r="E642" s="4" t="s">
        <v>6451</v>
      </c>
      <c r="F642" s="7" t="n">
        <v>9172.9</v>
      </c>
      <c r="G642" s="24" t="s">
        <v>5951</v>
      </c>
      <c r="H642" s="4" t="s">
        <v>3166</v>
      </c>
      <c r="I642" s="4"/>
    </row>
    <row r="643" customFormat="false" ht="15" hidden="false" customHeight="false" outlineLevel="0" collapsed="false">
      <c r="A643" s="4" t="s">
        <v>1471</v>
      </c>
      <c r="B643" s="23" t="n">
        <v>640</v>
      </c>
      <c r="C643" s="6" t="n">
        <v>46254</v>
      </c>
      <c r="D643" s="4" t="s">
        <v>1473</v>
      </c>
      <c r="E643" s="4" t="s">
        <v>6452</v>
      </c>
      <c r="F643" s="7" t="n">
        <v>-55063.41</v>
      </c>
      <c r="G643" s="24" t="s">
        <v>5951</v>
      </c>
      <c r="H643" s="4" t="s">
        <v>1470</v>
      </c>
      <c r="I643" s="4"/>
    </row>
    <row r="644" customFormat="false" ht="15" hidden="false" customHeight="false" outlineLevel="0" collapsed="false">
      <c r="A644" s="4" t="s">
        <v>5135</v>
      </c>
      <c r="B644" s="23" t="n">
        <v>641</v>
      </c>
      <c r="C644" s="6" t="n">
        <v>46254</v>
      </c>
      <c r="D644" s="4" t="s">
        <v>5137</v>
      </c>
      <c r="E644" s="4" t="s">
        <v>6453</v>
      </c>
      <c r="F644" s="7" t="n">
        <v>-4550.81</v>
      </c>
      <c r="G644" s="24" t="s">
        <v>5951</v>
      </c>
      <c r="H644" s="4" t="s">
        <v>5134</v>
      </c>
      <c r="I644" s="4"/>
    </row>
    <row r="645" customFormat="false" ht="15" hidden="false" customHeight="false" outlineLevel="0" collapsed="false">
      <c r="A645" s="4" t="s">
        <v>5579</v>
      </c>
      <c r="B645" s="23" t="n">
        <v>642</v>
      </c>
      <c r="C645" s="6" t="n">
        <v>46254</v>
      </c>
      <c r="D645" s="4" t="s">
        <v>5581</v>
      </c>
      <c r="E645" s="4" t="s">
        <v>6454</v>
      </c>
      <c r="F645" s="7" t="n">
        <v>-31720.17</v>
      </c>
      <c r="G645" s="24" t="s">
        <v>5951</v>
      </c>
      <c r="H645" s="4" t="s">
        <v>5578</v>
      </c>
      <c r="I645" s="4"/>
    </row>
    <row r="646" customFormat="false" ht="15" hidden="false" customHeight="false" outlineLevel="0" collapsed="false">
      <c r="A646" s="4" t="s">
        <v>1476</v>
      </c>
      <c r="B646" s="23" t="n">
        <v>643</v>
      </c>
      <c r="C646" s="6" t="n">
        <v>46254</v>
      </c>
      <c r="D646" s="4" t="s">
        <v>1478</v>
      </c>
      <c r="E646" s="4" t="s">
        <v>6455</v>
      </c>
      <c r="F646" s="7" t="n">
        <v>-28136.51</v>
      </c>
      <c r="G646" s="24" t="s">
        <v>5951</v>
      </c>
      <c r="H646" s="4" t="s">
        <v>1475</v>
      </c>
      <c r="I646" s="4"/>
    </row>
    <row r="647" customFormat="false" ht="15" hidden="false" customHeight="false" outlineLevel="0" collapsed="false">
      <c r="A647" s="4" t="s">
        <v>4231</v>
      </c>
      <c r="B647" s="23" t="n">
        <v>644</v>
      </c>
      <c r="C647" s="6" t="n">
        <v>46254</v>
      </c>
      <c r="D647" s="4" t="s">
        <v>4233</v>
      </c>
      <c r="E647" s="4" t="s">
        <v>6456</v>
      </c>
      <c r="F647" s="7" t="n">
        <v>-47586.53</v>
      </c>
      <c r="G647" s="24" t="s">
        <v>5951</v>
      </c>
      <c r="H647" s="4" t="s">
        <v>4230</v>
      </c>
      <c r="I647" s="4"/>
    </row>
    <row r="648" customFormat="false" ht="15" hidden="false" customHeight="false" outlineLevel="0" collapsed="false">
      <c r="A648" s="4" t="s">
        <v>4236</v>
      </c>
      <c r="B648" s="23" t="n">
        <v>645</v>
      </c>
      <c r="C648" s="6" t="n">
        <v>46254</v>
      </c>
      <c r="D648" s="4" t="s">
        <v>4238</v>
      </c>
      <c r="E648" s="4" t="s">
        <v>6457</v>
      </c>
      <c r="F648" s="7" t="n">
        <v>-43185.55</v>
      </c>
      <c r="G648" s="24" t="s">
        <v>5951</v>
      </c>
      <c r="H648" s="4" t="s">
        <v>4235</v>
      </c>
      <c r="I648" s="4"/>
    </row>
    <row r="649" customFormat="false" ht="15" hidden="false" customHeight="false" outlineLevel="0" collapsed="false">
      <c r="A649" s="4" t="s">
        <v>3172</v>
      </c>
      <c r="B649" s="23" t="n">
        <v>646</v>
      </c>
      <c r="C649" s="6" t="n">
        <v>46255</v>
      </c>
      <c r="D649" s="4" t="s">
        <v>3174</v>
      </c>
      <c r="E649" s="4" t="s">
        <v>6458</v>
      </c>
      <c r="F649" s="7" t="n">
        <v>92392.47</v>
      </c>
      <c r="G649" s="24" t="s">
        <v>5951</v>
      </c>
      <c r="H649" s="4" t="s">
        <v>3171</v>
      </c>
      <c r="I649" s="4"/>
    </row>
    <row r="650" customFormat="false" ht="15" hidden="false" customHeight="false" outlineLevel="0" collapsed="false">
      <c r="A650" s="4" t="s">
        <v>1481</v>
      </c>
      <c r="B650" s="23" t="n">
        <v>647</v>
      </c>
      <c r="C650" s="6" t="n">
        <v>46255</v>
      </c>
      <c r="D650" s="4" t="s">
        <v>1483</v>
      </c>
      <c r="E650" s="4" t="s">
        <v>6459</v>
      </c>
      <c r="F650" s="7" t="n">
        <v>21302.68</v>
      </c>
      <c r="G650" s="24" t="s">
        <v>5951</v>
      </c>
      <c r="H650" s="4" t="s">
        <v>1480</v>
      </c>
      <c r="I650" s="4"/>
    </row>
    <row r="651" customFormat="false" ht="15" hidden="false" customHeight="false" outlineLevel="0" collapsed="false">
      <c r="A651" s="4" t="s">
        <v>3177</v>
      </c>
      <c r="B651" s="23" t="n">
        <v>648</v>
      </c>
      <c r="C651" s="6" t="n">
        <v>46255</v>
      </c>
      <c r="D651" s="4" t="s">
        <v>3179</v>
      </c>
      <c r="E651" s="4" t="s">
        <v>6460</v>
      </c>
      <c r="F651" s="7" t="n">
        <v>60939.41</v>
      </c>
      <c r="G651" s="24" t="s">
        <v>5951</v>
      </c>
      <c r="H651" s="4" t="s">
        <v>3176</v>
      </c>
      <c r="I651" s="4"/>
    </row>
    <row r="652" customFormat="false" ht="15" hidden="false" customHeight="false" outlineLevel="0" collapsed="false">
      <c r="A652" s="4" t="s">
        <v>1486</v>
      </c>
      <c r="B652" s="23" t="n">
        <v>649</v>
      </c>
      <c r="C652" s="6" t="n">
        <v>46255</v>
      </c>
      <c r="D652" s="4" t="s">
        <v>1488</v>
      </c>
      <c r="E652" s="4" t="s">
        <v>6461</v>
      </c>
      <c r="F652" s="7" t="n">
        <v>25300.44</v>
      </c>
      <c r="G652" s="24" t="s">
        <v>5951</v>
      </c>
      <c r="H652" s="4" t="s">
        <v>1485</v>
      </c>
      <c r="I652" s="4"/>
    </row>
    <row r="653" customFormat="false" ht="15" hidden="false" customHeight="false" outlineLevel="0" collapsed="false">
      <c r="A653" s="4" t="s">
        <v>5140</v>
      </c>
      <c r="B653" s="23" t="n">
        <v>650</v>
      </c>
      <c r="C653" s="6" t="n">
        <v>46255</v>
      </c>
      <c r="D653" s="4" t="s">
        <v>5142</v>
      </c>
      <c r="E653" s="4" t="s">
        <v>6462</v>
      </c>
      <c r="F653" s="7" t="n">
        <v>-6388.49</v>
      </c>
      <c r="G653" s="24" t="s">
        <v>5951</v>
      </c>
      <c r="H653" s="4" t="s">
        <v>5139</v>
      </c>
      <c r="I653" s="4"/>
    </row>
    <row r="654" customFormat="false" ht="15" hidden="false" customHeight="false" outlineLevel="0" collapsed="false">
      <c r="A654" s="4" t="s">
        <v>4241</v>
      </c>
      <c r="B654" s="23" t="n">
        <v>651</v>
      </c>
      <c r="C654" s="6" t="n">
        <v>46255</v>
      </c>
      <c r="D654" s="4" t="s">
        <v>4243</v>
      </c>
      <c r="E654" s="4" t="s">
        <v>6463</v>
      </c>
      <c r="F654" s="7" t="n">
        <v>-32258.15</v>
      </c>
      <c r="G654" s="24" t="s">
        <v>5951</v>
      </c>
      <c r="H654" s="4" t="s">
        <v>4240</v>
      </c>
      <c r="I654" s="4"/>
    </row>
    <row r="655" customFormat="false" ht="15" hidden="false" customHeight="false" outlineLevel="0" collapsed="false">
      <c r="A655" s="4" t="s">
        <v>5584</v>
      </c>
      <c r="B655" s="23" t="n">
        <v>652</v>
      </c>
      <c r="C655" s="6" t="n">
        <v>46255</v>
      </c>
      <c r="D655" s="4" t="s">
        <v>5586</v>
      </c>
      <c r="E655" s="4" t="s">
        <v>6464</v>
      </c>
      <c r="F655" s="7" t="n">
        <v>-10995.41</v>
      </c>
      <c r="G655" s="24" t="s">
        <v>5951</v>
      </c>
      <c r="H655" s="4" t="s">
        <v>5583</v>
      </c>
      <c r="I655" s="4"/>
    </row>
    <row r="656" customFormat="false" ht="15" hidden="false" customHeight="false" outlineLevel="0" collapsed="false">
      <c r="A656" s="4" t="s">
        <v>3182</v>
      </c>
      <c r="B656" s="23" t="n">
        <v>653</v>
      </c>
      <c r="C656" s="6" t="n">
        <v>46255</v>
      </c>
      <c r="D656" s="4" t="s">
        <v>3184</v>
      </c>
      <c r="E656" s="4" t="s">
        <v>6465</v>
      </c>
      <c r="F656" s="7" t="n">
        <v>-2146.28</v>
      </c>
      <c r="G656" s="24" t="s">
        <v>5951</v>
      </c>
      <c r="H656" s="4" t="s">
        <v>3181</v>
      </c>
      <c r="I656" s="4"/>
    </row>
    <row r="657" customFormat="false" ht="15" hidden="false" customHeight="false" outlineLevel="0" collapsed="false">
      <c r="A657" s="4" t="s">
        <v>1491</v>
      </c>
      <c r="B657" s="23" t="n">
        <v>654</v>
      </c>
      <c r="C657" s="6" t="n">
        <v>46255</v>
      </c>
      <c r="D657" s="4" t="s">
        <v>1493</v>
      </c>
      <c r="E657" s="4" t="s">
        <v>6466</v>
      </c>
      <c r="F657" s="7" t="n">
        <v>-48265.69</v>
      </c>
      <c r="G657" s="24" t="s">
        <v>5951</v>
      </c>
      <c r="H657" s="4" t="s">
        <v>1490</v>
      </c>
      <c r="I657" s="4"/>
    </row>
    <row r="658" customFormat="false" ht="15" hidden="false" customHeight="false" outlineLevel="0" collapsed="false">
      <c r="A658" s="4" t="s">
        <v>5145</v>
      </c>
      <c r="B658" s="23" t="n">
        <v>655</v>
      </c>
      <c r="C658" s="6" t="n">
        <v>46255</v>
      </c>
      <c r="D658" s="4" t="s">
        <v>5147</v>
      </c>
      <c r="E658" s="4" t="s">
        <v>6467</v>
      </c>
      <c r="F658" s="7" t="n">
        <v>-39798.69</v>
      </c>
      <c r="G658" s="24" t="s">
        <v>5951</v>
      </c>
      <c r="H658" s="4" t="s">
        <v>5144</v>
      </c>
      <c r="I658" s="4"/>
    </row>
    <row r="659" customFormat="false" ht="15" hidden="false" customHeight="false" outlineLevel="0" collapsed="false">
      <c r="A659" s="4" t="s">
        <v>4246</v>
      </c>
      <c r="B659" s="23" t="n">
        <v>656</v>
      </c>
      <c r="C659" s="6" t="n">
        <v>46255</v>
      </c>
      <c r="D659" s="4" t="s">
        <v>4248</v>
      </c>
      <c r="E659" s="4" t="s">
        <v>6468</v>
      </c>
      <c r="F659" s="7" t="n">
        <v>-34834.03</v>
      </c>
      <c r="G659" s="24" t="s">
        <v>5951</v>
      </c>
      <c r="H659" s="4" t="s">
        <v>4245</v>
      </c>
      <c r="I659" s="4"/>
    </row>
    <row r="660" customFormat="false" ht="15" hidden="false" customHeight="false" outlineLevel="0" collapsed="false">
      <c r="A660" s="4" t="s">
        <v>5829</v>
      </c>
      <c r="B660" s="23" t="n">
        <v>657</v>
      </c>
      <c r="C660" s="6" t="n">
        <v>46255</v>
      </c>
      <c r="D660" s="4" t="s">
        <v>5814</v>
      </c>
      <c r="E660" s="4"/>
      <c r="F660" s="7" t="n">
        <v>-3261.16</v>
      </c>
      <c r="G660" s="24" t="s">
        <v>5951</v>
      </c>
      <c r="H660" s="4" t="s">
        <v>5828</v>
      </c>
      <c r="I660" s="4"/>
    </row>
    <row r="661" customFormat="false" ht="15" hidden="false" customHeight="false" outlineLevel="0" collapsed="false">
      <c r="A661" s="4" t="s">
        <v>327</v>
      </c>
      <c r="B661" s="23" t="n">
        <v>658</v>
      </c>
      <c r="C661" s="6" t="n">
        <v>46255</v>
      </c>
      <c r="D661" s="4" t="s">
        <v>5878</v>
      </c>
      <c r="E661" s="4" t="s">
        <v>329</v>
      </c>
      <c r="F661" s="7" t="n">
        <v>83808.32</v>
      </c>
      <c r="G661" s="25" t="s">
        <v>5987</v>
      </c>
      <c r="H661" s="4" t="s">
        <v>5877</v>
      </c>
      <c r="I661" s="4" t="s">
        <v>326</v>
      </c>
    </row>
    <row r="662" customFormat="false" ht="15" hidden="false" customHeight="false" outlineLevel="0" collapsed="false">
      <c r="A662" s="4" t="s">
        <v>3187</v>
      </c>
      <c r="B662" s="23" t="n">
        <v>659</v>
      </c>
      <c r="C662" s="6" t="n">
        <v>46256</v>
      </c>
      <c r="D662" s="4" t="s">
        <v>3189</v>
      </c>
      <c r="E662" s="4" t="s">
        <v>6469</v>
      </c>
      <c r="F662" s="7" t="n">
        <v>25857.74</v>
      </c>
      <c r="G662" s="24" t="s">
        <v>5951</v>
      </c>
      <c r="H662" s="4" t="s">
        <v>3186</v>
      </c>
      <c r="I662" s="4"/>
    </row>
    <row r="663" customFormat="false" ht="15" hidden="false" customHeight="false" outlineLevel="0" collapsed="false">
      <c r="A663" s="4" t="s">
        <v>3192</v>
      </c>
      <c r="B663" s="23" t="n">
        <v>660</v>
      </c>
      <c r="C663" s="6" t="n">
        <v>46256</v>
      </c>
      <c r="D663" s="4" t="s">
        <v>3194</v>
      </c>
      <c r="E663" s="4" t="s">
        <v>6470</v>
      </c>
      <c r="F663" s="7" t="n">
        <v>74958.36</v>
      </c>
      <c r="G663" s="24" t="s">
        <v>5951</v>
      </c>
      <c r="H663" s="4" t="s">
        <v>3191</v>
      </c>
      <c r="I663" s="4"/>
    </row>
    <row r="664" customFormat="false" ht="15" hidden="false" customHeight="false" outlineLevel="0" collapsed="false">
      <c r="A664" s="4" t="s">
        <v>3197</v>
      </c>
      <c r="B664" s="23" t="n">
        <v>661</v>
      </c>
      <c r="C664" s="6" t="n">
        <v>46256</v>
      </c>
      <c r="D664" s="4" t="s">
        <v>3199</v>
      </c>
      <c r="E664" s="4" t="s">
        <v>6471</v>
      </c>
      <c r="F664" s="7" t="n">
        <v>35716.77</v>
      </c>
      <c r="G664" s="24" t="s">
        <v>5951</v>
      </c>
      <c r="H664" s="4" t="s">
        <v>3196</v>
      </c>
      <c r="I664" s="4"/>
    </row>
    <row r="665" customFormat="false" ht="15" hidden="false" customHeight="false" outlineLevel="0" collapsed="false">
      <c r="A665" s="4" t="s">
        <v>4251</v>
      </c>
      <c r="B665" s="23" t="n">
        <v>662</v>
      </c>
      <c r="C665" s="6" t="n">
        <v>46256</v>
      </c>
      <c r="D665" s="4" t="s">
        <v>4253</v>
      </c>
      <c r="E665" s="4" t="s">
        <v>6472</v>
      </c>
      <c r="F665" s="7" t="n">
        <v>29948.53</v>
      </c>
      <c r="G665" s="24" t="s">
        <v>5951</v>
      </c>
      <c r="H665" s="4" t="s">
        <v>4250</v>
      </c>
      <c r="I665" s="4"/>
    </row>
    <row r="666" customFormat="false" ht="15" hidden="false" customHeight="false" outlineLevel="0" collapsed="false">
      <c r="A666" s="4" t="s">
        <v>3202</v>
      </c>
      <c r="B666" s="23" t="n">
        <v>663</v>
      </c>
      <c r="C666" s="6" t="n">
        <v>46256</v>
      </c>
      <c r="D666" s="4" t="s">
        <v>3204</v>
      </c>
      <c r="E666" s="4" t="s">
        <v>6473</v>
      </c>
      <c r="F666" s="7" t="n">
        <v>-50449.41</v>
      </c>
      <c r="G666" s="24" t="s">
        <v>5951</v>
      </c>
      <c r="H666" s="4" t="s">
        <v>3201</v>
      </c>
      <c r="I666" s="4"/>
    </row>
    <row r="667" customFormat="false" ht="15" hidden="false" customHeight="false" outlineLevel="0" collapsed="false">
      <c r="A667" s="4" t="s">
        <v>4766</v>
      </c>
      <c r="B667" s="23" t="n">
        <v>664</v>
      </c>
      <c r="C667" s="6" t="n">
        <v>46256</v>
      </c>
      <c r="D667" s="4" t="s">
        <v>4768</v>
      </c>
      <c r="E667" s="4" t="s">
        <v>6474</v>
      </c>
      <c r="F667" s="7" t="n">
        <v>-58389.71</v>
      </c>
      <c r="G667" s="24" t="s">
        <v>5951</v>
      </c>
      <c r="H667" s="4" t="s">
        <v>4765</v>
      </c>
      <c r="I667" s="4"/>
    </row>
    <row r="668" customFormat="false" ht="15" hidden="false" customHeight="false" outlineLevel="0" collapsed="false">
      <c r="A668" s="4" t="s">
        <v>4771</v>
      </c>
      <c r="B668" s="23" t="n">
        <v>665</v>
      </c>
      <c r="C668" s="6" t="n">
        <v>46256</v>
      </c>
      <c r="D668" s="4" t="s">
        <v>4773</v>
      </c>
      <c r="E668" s="4" t="s">
        <v>6475</v>
      </c>
      <c r="F668" s="7" t="n">
        <v>-20144.02</v>
      </c>
      <c r="G668" s="24" t="s">
        <v>5951</v>
      </c>
      <c r="H668" s="4" t="s">
        <v>4770</v>
      </c>
      <c r="I668" s="4"/>
    </row>
    <row r="669" customFormat="false" ht="15" hidden="false" customHeight="false" outlineLevel="0" collapsed="false">
      <c r="A669" s="4" t="s">
        <v>1496</v>
      </c>
      <c r="B669" s="23" t="n">
        <v>666</v>
      </c>
      <c r="C669" s="6" t="n">
        <v>46256</v>
      </c>
      <c r="D669" s="4" t="s">
        <v>1498</v>
      </c>
      <c r="E669" s="4" t="s">
        <v>6476</v>
      </c>
      <c r="F669" s="7" t="n">
        <v>-8843.08</v>
      </c>
      <c r="G669" s="24" t="s">
        <v>5951</v>
      </c>
      <c r="H669" s="4" t="s">
        <v>1495</v>
      </c>
      <c r="I669" s="4"/>
    </row>
    <row r="670" customFormat="false" ht="15" hidden="false" customHeight="false" outlineLevel="0" collapsed="false">
      <c r="A670" s="4" t="s">
        <v>364</v>
      </c>
      <c r="B670" s="23" t="n">
        <v>667</v>
      </c>
      <c r="C670" s="6" t="n">
        <v>46256</v>
      </c>
      <c r="D670" s="4" t="s">
        <v>5912</v>
      </c>
      <c r="E670" s="4"/>
      <c r="F670" s="7" t="n">
        <v>-3429.18</v>
      </c>
      <c r="G670" s="25" t="s">
        <v>5987</v>
      </c>
      <c r="H670" s="4" t="s">
        <v>5910</v>
      </c>
      <c r="I670" s="4" t="s">
        <v>363</v>
      </c>
    </row>
    <row r="671" customFormat="false" ht="15" hidden="false" customHeight="false" outlineLevel="0" collapsed="false">
      <c r="A671" s="4" t="s">
        <v>1501</v>
      </c>
      <c r="B671" s="23" t="n">
        <v>668</v>
      </c>
      <c r="C671" s="6" t="n">
        <v>46257</v>
      </c>
      <c r="D671" s="4" t="s">
        <v>1503</v>
      </c>
      <c r="E671" s="4" t="s">
        <v>6477</v>
      </c>
      <c r="F671" s="7" t="n">
        <v>15252.08</v>
      </c>
      <c r="G671" s="24" t="s">
        <v>5951</v>
      </c>
      <c r="H671" s="4" t="s">
        <v>1500</v>
      </c>
      <c r="I671" s="4"/>
    </row>
    <row r="672" customFormat="false" ht="15" hidden="false" customHeight="false" outlineLevel="0" collapsed="false">
      <c r="A672" s="4" t="s">
        <v>1506</v>
      </c>
      <c r="B672" s="23" t="n">
        <v>669</v>
      </c>
      <c r="C672" s="6" t="n">
        <v>46257</v>
      </c>
      <c r="D672" s="4" t="s">
        <v>1508</v>
      </c>
      <c r="E672" s="4" t="s">
        <v>6478</v>
      </c>
      <c r="F672" s="7" t="n">
        <v>40150.5</v>
      </c>
      <c r="G672" s="24" t="s">
        <v>5951</v>
      </c>
      <c r="H672" s="4" t="s">
        <v>1505</v>
      </c>
      <c r="I672" s="4"/>
    </row>
    <row r="673" customFormat="false" ht="15" hidden="false" customHeight="false" outlineLevel="0" collapsed="false">
      <c r="A673" s="4" t="s">
        <v>3207</v>
      </c>
      <c r="B673" s="23" t="n">
        <v>670</v>
      </c>
      <c r="C673" s="6" t="n">
        <v>46257</v>
      </c>
      <c r="D673" s="4" t="s">
        <v>3209</v>
      </c>
      <c r="E673" s="4" t="s">
        <v>6479</v>
      </c>
      <c r="F673" s="7" t="n">
        <v>7551.8</v>
      </c>
      <c r="G673" s="24" t="s">
        <v>5951</v>
      </c>
      <c r="H673" s="4" t="s">
        <v>3206</v>
      </c>
      <c r="I673" s="4"/>
    </row>
    <row r="674" customFormat="false" ht="15" hidden="false" customHeight="false" outlineLevel="0" collapsed="false">
      <c r="A674" s="4" t="s">
        <v>3212</v>
      </c>
      <c r="B674" s="23" t="n">
        <v>671</v>
      </c>
      <c r="C674" s="6" t="n">
        <v>46257</v>
      </c>
      <c r="D674" s="4" t="s">
        <v>3214</v>
      </c>
      <c r="E674" s="4"/>
      <c r="F674" s="7" t="n">
        <v>78332.65</v>
      </c>
      <c r="G674" s="24" t="s">
        <v>5951</v>
      </c>
      <c r="H674" s="4" t="s">
        <v>3211</v>
      </c>
      <c r="I674" s="4"/>
    </row>
    <row r="675" customFormat="false" ht="15" hidden="false" customHeight="false" outlineLevel="0" collapsed="false">
      <c r="A675" s="4" t="s">
        <v>4256</v>
      </c>
      <c r="B675" s="23" t="n">
        <v>672</v>
      </c>
      <c r="C675" s="6" t="n">
        <v>46257</v>
      </c>
      <c r="D675" s="4" t="s">
        <v>4258</v>
      </c>
      <c r="E675" s="4"/>
      <c r="F675" s="7" t="n">
        <v>23068.59</v>
      </c>
      <c r="G675" s="24" t="s">
        <v>5951</v>
      </c>
      <c r="H675" s="4" t="s">
        <v>4255</v>
      </c>
      <c r="I675" s="4"/>
    </row>
    <row r="676" customFormat="false" ht="15" hidden="false" customHeight="false" outlineLevel="0" collapsed="false">
      <c r="A676" s="4" t="s">
        <v>3217</v>
      </c>
      <c r="B676" s="23" t="n">
        <v>673</v>
      </c>
      <c r="C676" s="6" t="n">
        <v>46257</v>
      </c>
      <c r="D676" s="4" t="s">
        <v>3219</v>
      </c>
      <c r="E676" s="4" t="s">
        <v>6480</v>
      </c>
      <c r="F676" s="7" t="n">
        <v>61769.28</v>
      </c>
      <c r="G676" s="24" t="s">
        <v>5951</v>
      </c>
      <c r="H676" s="4" t="s">
        <v>3216</v>
      </c>
      <c r="I676" s="4"/>
    </row>
    <row r="677" customFormat="false" ht="15" hidden="false" customHeight="false" outlineLevel="0" collapsed="false">
      <c r="A677" s="4" t="s">
        <v>3222</v>
      </c>
      <c r="B677" s="23" t="n">
        <v>674</v>
      </c>
      <c r="C677" s="6" t="n">
        <v>46257</v>
      </c>
      <c r="D677" s="4" t="s">
        <v>3224</v>
      </c>
      <c r="E677" s="4" t="s">
        <v>6481</v>
      </c>
      <c r="F677" s="7" t="n">
        <v>-53641.9</v>
      </c>
      <c r="G677" s="24" t="s">
        <v>5951</v>
      </c>
      <c r="H677" s="4" t="s">
        <v>3221</v>
      </c>
      <c r="I677" s="4"/>
    </row>
    <row r="678" customFormat="false" ht="15" hidden="false" customHeight="false" outlineLevel="0" collapsed="false">
      <c r="A678" s="4" t="s">
        <v>4261</v>
      </c>
      <c r="B678" s="23" t="n">
        <v>675</v>
      </c>
      <c r="C678" s="6" t="n">
        <v>46257</v>
      </c>
      <c r="D678" s="4" t="s">
        <v>4263</v>
      </c>
      <c r="E678" s="4" t="s">
        <v>6482</v>
      </c>
      <c r="F678" s="7" t="n">
        <v>-17669.81</v>
      </c>
      <c r="G678" s="24" t="s">
        <v>5951</v>
      </c>
      <c r="H678" s="4" t="s">
        <v>4260</v>
      </c>
      <c r="I678" s="4"/>
    </row>
    <row r="679" customFormat="false" ht="15" hidden="false" customHeight="false" outlineLevel="0" collapsed="false">
      <c r="A679" s="4" t="s">
        <v>4266</v>
      </c>
      <c r="B679" s="23" t="n">
        <v>676</v>
      </c>
      <c r="C679" s="6" t="n">
        <v>46257</v>
      </c>
      <c r="D679" s="4" t="s">
        <v>4268</v>
      </c>
      <c r="E679" s="4" t="s">
        <v>6483</v>
      </c>
      <c r="F679" s="7" t="n">
        <v>-59996.4</v>
      </c>
      <c r="G679" s="24" t="s">
        <v>5951</v>
      </c>
      <c r="H679" s="4" t="s">
        <v>4265</v>
      </c>
      <c r="I679" s="4"/>
    </row>
    <row r="680" customFormat="false" ht="15" hidden="false" customHeight="false" outlineLevel="0" collapsed="false">
      <c r="A680" s="4" t="s">
        <v>4271</v>
      </c>
      <c r="B680" s="23" t="n">
        <v>677</v>
      </c>
      <c r="C680" s="6" t="n">
        <v>46257</v>
      </c>
      <c r="D680" s="4" t="s">
        <v>4273</v>
      </c>
      <c r="E680" s="4" t="s">
        <v>6484</v>
      </c>
      <c r="F680" s="7" t="n">
        <v>-59275.58</v>
      </c>
      <c r="G680" s="24" t="s">
        <v>5951</v>
      </c>
      <c r="H680" s="4" t="s">
        <v>4270</v>
      </c>
      <c r="I680" s="4"/>
    </row>
    <row r="681" customFormat="false" ht="15" hidden="false" customHeight="false" outlineLevel="0" collapsed="false">
      <c r="A681" s="4" t="s">
        <v>5150</v>
      </c>
      <c r="B681" s="23" t="n">
        <v>678</v>
      </c>
      <c r="C681" s="6" t="n">
        <v>46257</v>
      </c>
      <c r="D681" s="4" t="s">
        <v>5152</v>
      </c>
      <c r="E681" s="4" t="s">
        <v>6485</v>
      </c>
      <c r="F681" s="7" t="n">
        <v>-21464.97</v>
      </c>
      <c r="G681" s="24" t="s">
        <v>5951</v>
      </c>
      <c r="H681" s="4" t="s">
        <v>5149</v>
      </c>
      <c r="I681" s="4"/>
    </row>
    <row r="682" customFormat="false" ht="15" hidden="false" customHeight="false" outlineLevel="0" collapsed="false">
      <c r="A682" s="4" t="s">
        <v>5790</v>
      </c>
      <c r="B682" s="23" t="n">
        <v>679</v>
      </c>
      <c r="C682" s="6" t="n">
        <v>46257</v>
      </c>
      <c r="D682" s="4" t="s">
        <v>5777</v>
      </c>
      <c r="E682" s="4"/>
      <c r="F682" s="7" t="n">
        <v>-5927.42</v>
      </c>
      <c r="G682" s="24" t="s">
        <v>5951</v>
      </c>
      <c r="H682" s="4" t="s">
        <v>5789</v>
      </c>
      <c r="I682" s="4"/>
    </row>
    <row r="683" customFormat="false" ht="15" hidden="false" customHeight="false" outlineLevel="0" collapsed="false">
      <c r="A683" s="4" t="s">
        <v>3227</v>
      </c>
      <c r="B683" s="23" t="n">
        <v>680</v>
      </c>
      <c r="C683" s="6" t="n">
        <v>46258</v>
      </c>
      <c r="D683" s="4" t="s">
        <v>3229</v>
      </c>
      <c r="E683" s="4" t="s">
        <v>6486</v>
      </c>
      <c r="F683" s="7" t="n">
        <v>28614.74</v>
      </c>
      <c r="G683" s="24" t="s">
        <v>5951</v>
      </c>
      <c r="H683" s="4" t="s">
        <v>3226</v>
      </c>
      <c r="I683" s="4"/>
    </row>
    <row r="684" customFormat="false" ht="15" hidden="false" customHeight="false" outlineLevel="0" collapsed="false">
      <c r="A684" s="4" t="s">
        <v>4276</v>
      </c>
      <c r="B684" s="23" t="n">
        <v>681</v>
      </c>
      <c r="C684" s="6" t="n">
        <v>46258</v>
      </c>
      <c r="D684" s="4" t="s">
        <v>4278</v>
      </c>
      <c r="E684" s="4" t="s">
        <v>6487</v>
      </c>
      <c r="F684" s="7" t="n">
        <v>52138.41</v>
      </c>
      <c r="G684" s="24" t="s">
        <v>5951</v>
      </c>
      <c r="H684" s="4" t="s">
        <v>4275</v>
      </c>
      <c r="I684" s="4"/>
    </row>
    <row r="685" customFormat="false" ht="15" hidden="false" customHeight="false" outlineLevel="0" collapsed="false">
      <c r="A685" s="4" t="s">
        <v>1511</v>
      </c>
      <c r="B685" s="23" t="n">
        <v>682</v>
      </c>
      <c r="C685" s="6" t="n">
        <v>46258</v>
      </c>
      <c r="D685" s="4" t="s">
        <v>1513</v>
      </c>
      <c r="E685" s="4" t="s">
        <v>6488</v>
      </c>
      <c r="F685" s="7" t="n">
        <v>71560.21</v>
      </c>
      <c r="G685" s="24" t="s">
        <v>5951</v>
      </c>
      <c r="H685" s="4" t="s">
        <v>1510</v>
      </c>
      <c r="I685" s="4"/>
    </row>
    <row r="686" customFormat="false" ht="15" hidden="false" customHeight="false" outlineLevel="0" collapsed="false">
      <c r="A686" s="4" t="s">
        <v>1516</v>
      </c>
      <c r="B686" s="23" t="n">
        <v>683</v>
      </c>
      <c r="C686" s="6" t="n">
        <v>46258</v>
      </c>
      <c r="D686" s="4" t="s">
        <v>1518</v>
      </c>
      <c r="E686" s="4" t="s">
        <v>6489</v>
      </c>
      <c r="F686" s="7" t="n">
        <v>66245.54</v>
      </c>
      <c r="G686" s="24" t="s">
        <v>5951</v>
      </c>
      <c r="H686" s="4" t="s">
        <v>1515</v>
      </c>
      <c r="I686" s="4"/>
    </row>
    <row r="687" customFormat="false" ht="15" hidden="false" customHeight="false" outlineLevel="0" collapsed="false">
      <c r="A687" s="4" t="s">
        <v>3232</v>
      </c>
      <c r="B687" s="23" t="n">
        <v>684</v>
      </c>
      <c r="C687" s="6" t="n">
        <v>46258</v>
      </c>
      <c r="D687" s="4" t="s">
        <v>3234</v>
      </c>
      <c r="E687" s="4" t="s">
        <v>6490</v>
      </c>
      <c r="F687" s="7" t="n">
        <v>18090.36</v>
      </c>
      <c r="G687" s="24" t="s">
        <v>5951</v>
      </c>
      <c r="H687" s="4" t="s">
        <v>3231</v>
      </c>
      <c r="I687" s="4"/>
    </row>
    <row r="688" customFormat="false" ht="15" hidden="false" customHeight="false" outlineLevel="0" collapsed="false">
      <c r="A688" s="4" t="s">
        <v>1521</v>
      </c>
      <c r="B688" s="23" t="n">
        <v>685</v>
      </c>
      <c r="C688" s="6" t="n">
        <v>46258</v>
      </c>
      <c r="D688" s="4" t="s">
        <v>1523</v>
      </c>
      <c r="E688" s="4" t="s">
        <v>6491</v>
      </c>
      <c r="F688" s="7" t="n">
        <v>31390.99</v>
      </c>
      <c r="G688" s="24" t="s">
        <v>5951</v>
      </c>
      <c r="H688" s="4" t="s">
        <v>1520</v>
      </c>
      <c r="I688" s="4"/>
    </row>
    <row r="689" customFormat="false" ht="15" hidden="false" customHeight="false" outlineLevel="0" collapsed="false">
      <c r="A689" s="4" t="s">
        <v>3237</v>
      </c>
      <c r="B689" s="23" t="n">
        <v>686</v>
      </c>
      <c r="C689" s="6" t="n">
        <v>46258</v>
      </c>
      <c r="D689" s="4" t="s">
        <v>3239</v>
      </c>
      <c r="E689" s="4" t="s">
        <v>6492</v>
      </c>
      <c r="F689" s="7" t="n">
        <v>23744.02</v>
      </c>
      <c r="G689" s="24" t="s">
        <v>5951</v>
      </c>
      <c r="H689" s="4" t="s">
        <v>3236</v>
      </c>
      <c r="I689" s="4"/>
    </row>
    <row r="690" customFormat="false" ht="15" hidden="false" customHeight="false" outlineLevel="0" collapsed="false">
      <c r="A690" s="4" t="s">
        <v>1526</v>
      </c>
      <c r="B690" s="23" t="n">
        <v>687</v>
      </c>
      <c r="C690" s="6" t="n">
        <v>46258</v>
      </c>
      <c r="D690" s="4" t="s">
        <v>1528</v>
      </c>
      <c r="E690" s="4"/>
      <c r="F690" s="7" t="n">
        <v>21796.48</v>
      </c>
      <c r="G690" s="24" t="s">
        <v>5951</v>
      </c>
      <c r="H690" s="4" t="s">
        <v>1525</v>
      </c>
      <c r="I690" s="4"/>
    </row>
    <row r="691" customFormat="false" ht="15" hidden="false" customHeight="false" outlineLevel="0" collapsed="false">
      <c r="A691" s="4" t="s">
        <v>5589</v>
      </c>
      <c r="B691" s="23" t="n">
        <v>688</v>
      </c>
      <c r="C691" s="6" t="n">
        <v>46258</v>
      </c>
      <c r="D691" s="4" t="s">
        <v>5591</v>
      </c>
      <c r="E691" s="4" t="s">
        <v>6493</v>
      </c>
      <c r="F691" s="7" t="n">
        <v>-18991.94</v>
      </c>
      <c r="G691" s="24" t="s">
        <v>5951</v>
      </c>
      <c r="H691" s="4" t="s">
        <v>5588</v>
      </c>
      <c r="I691" s="4"/>
    </row>
    <row r="692" customFormat="false" ht="15" hidden="false" customHeight="false" outlineLevel="0" collapsed="false">
      <c r="A692" s="4" t="s">
        <v>5155</v>
      </c>
      <c r="B692" s="23" t="n">
        <v>689</v>
      </c>
      <c r="C692" s="6" t="n">
        <v>46258</v>
      </c>
      <c r="D692" s="4" t="s">
        <v>5157</v>
      </c>
      <c r="E692" s="4" t="s">
        <v>6494</v>
      </c>
      <c r="F692" s="7" t="n">
        <v>-27869.25</v>
      </c>
      <c r="G692" s="24" t="s">
        <v>5951</v>
      </c>
      <c r="H692" s="4" t="s">
        <v>5154</v>
      </c>
      <c r="I692" s="4"/>
    </row>
    <row r="693" customFormat="false" ht="15" hidden="false" customHeight="false" outlineLevel="0" collapsed="false">
      <c r="A693" s="4" t="s">
        <v>5160</v>
      </c>
      <c r="B693" s="23" t="n">
        <v>690</v>
      </c>
      <c r="C693" s="6" t="n">
        <v>46258</v>
      </c>
      <c r="D693" s="4" t="s">
        <v>5162</v>
      </c>
      <c r="E693" s="4" t="s">
        <v>6495</v>
      </c>
      <c r="F693" s="7" t="n">
        <v>-24596.4</v>
      </c>
      <c r="G693" s="24" t="s">
        <v>5951</v>
      </c>
      <c r="H693" s="4" t="s">
        <v>5159</v>
      </c>
      <c r="I693" s="4"/>
    </row>
    <row r="694" customFormat="false" ht="15" hidden="false" customHeight="false" outlineLevel="0" collapsed="false">
      <c r="A694" s="4" t="s">
        <v>4776</v>
      </c>
      <c r="B694" s="23" t="n">
        <v>691</v>
      </c>
      <c r="C694" s="6" t="n">
        <v>46258</v>
      </c>
      <c r="D694" s="4" t="s">
        <v>4778</v>
      </c>
      <c r="E694" s="4" t="s">
        <v>6496</v>
      </c>
      <c r="F694" s="7" t="n">
        <v>-43206.71</v>
      </c>
      <c r="G694" s="24" t="s">
        <v>5951</v>
      </c>
      <c r="H694" s="4" t="s">
        <v>4775</v>
      </c>
      <c r="I694" s="4"/>
    </row>
    <row r="695" customFormat="false" ht="15" hidden="false" customHeight="false" outlineLevel="0" collapsed="false">
      <c r="A695" s="4" t="s">
        <v>5165</v>
      </c>
      <c r="B695" s="23" t="n">
        <v>692</v>
      </c>
      <c r="C695" s="6" t="n">
        <v>46258</v>
      </c>
      <c r="D695" s="4" t="s">
        <v>5167</v>
      </c>
      <c r="E695" s="4" t="s">
        <v>6497</v>
      </c>
      <c r="F695" s="7" t="n">
        <v>-42874.29</v>
      </c>
      <c r="G695" s="24" t="s">
        <v>5951</v>
      </c>
      <c r="H695" s="4" t="s">
        <v>5164</v>
      </c>
      <c r="I695" s="4"/>
    </row>
    <row r="696" customFormat="false" ht="15" hidden="false" customHeight="false" outlineLevel="0" collapsed="false">
      <c r="A696" s="4" t="s">
        <v>1531</v>
      </c>
      <c r="B696" s="23" t="n">
        <v>693</v>
      </c>
      <c r="C696" s="6" t="n">
        <v>46259</v>
      </c>
      <c r="D696" s="4" t="s">
        <v>1533</v>
      </c>
      <c r="E696" s="4" t="s">
        <v>6498</v>
      </c>
      <c r="F696" s="7" t="n">
        <v>88893.48</v>
      </c>
      <c r="G696" s="24" t="s">
        <v>5951</v>
      </c>
      <c r="H696" s="4" t="s">
        <v>1530</v>
      </c>
      <c r="I696" s="4"/>
    </row>
    <row r="697" customFormat="false" ht="15" hidden="false" customHeight="false" outlineLevel="0" collapsed="false">
      <c r="A697" s="4" t="s">
        <v>3242</v>
      </c>
      <c r="B697" s="23" t="n">
        <v>694</v>
      </c>
      <c r="C697" s="6" t="n">
        <v>46259</v>
      </c>
      <c r="D697" s="4" t="s">
        <v>3244</v>
      </c>
      <c r="E697" s="4"/>
      <c r="F697" s="7" t="n">
        <v>23961.33</v>
      </c>
      <c r="G697" s="24" t="s">
        <v>5951</v>
      </c>
      <c r="H697" s="4" t="s">
        <v>3241</v>
      </c>
      <c r="I697" s="4"/>
    </row>
    <row r="698" customFormat="false" ht="15" hidden="false" customHeight="false" outlineLevel="0" collapsed="false">
      <c r="A698" s="4" t="s">
        <v>4281</v>
      </c>
      <c r="B698" s="23" t="n">
        <v>695</v>
      </c>
      <c r="C698" s="6" t="n">
        <v>46259</v>
      </c>
      <c r="D698" s="4" t="s">
        <v>4283</v>
      </c>
      <c r="E698" s="4" t="s">
        <v>6499</v>
      </c>
      <c r="F698" s="7" t="n">
        <v>13933.92</v>
      </c>
      <c r="G698" s="24" t="s">
        <v>5951</v>
      </c>
      <c r="H698" s="4" t="s">
        <v>4280</v>
      </c>
      <c r="I698" s="4"/>
    </row>
    <row r="699" customFormat="false" ht="15" hidden="false" customHeight="false" outlineLevel="0" collapsed="false">
      <c r="A699" s="4" t="s">
        <v>5170</v>
      </c>
      <c r="B699" s="23" t="n">
        <v>696</v>
      </c>
      <c r="C699" s="6" t="n">
        <v>46259</v>
      </c>
      <c r="D699" s="4" t="s">
        <v>5172</v>
      </c>
      <c r="E699" s="4" t="s">
        <v>6500</v>
      </c>
      <c r="F699" s="7" t="n">
        <v>-32312.33</v>
      </c>
      <c r="G699" s="24" t="s">
        <v>5951</v>
      </c>
      <c r="H699" s="4" t="s">
        <v>5169</v>
      </c>
      <c r="I699" s="4"/>
    </row>
    <row r="700" customFormat="false" ht="15" hidden="false" customHeight="false" outlineLevel="0" collapsed="false">
      <c r="A700" s="4" t="s">
        <v>3247</v>
      </c>
      <c r="B700" s="23" t="n">
        <v>697</v>
      </c>
      <c r="C700" s="6" t="n">
        <v>46259</v>
      </c>
      <c r="D700" s="4" t="s">
        <v>3249</v>
      </c>
      <c r="E700" s="4" t="s">
        <v>6501</v>
      </c>
      <c r="F700" s="7" t="n">
        <v>-47321.7</v>
      </c>
      <c r="G700" s="24" t="s">
        <v>5951</v>
      </c>
      <c r="H700" s="4" t="s">
        <v>3246</v>
      </c>
      <c r="I700" s="4"/>
    </row>
    <row r="701" customFormat="false" ht="15" hidden="false" customHeight="false" outlineLevel="0" collapsed="false">
      <c r="A701" s="4" t="s">
        <v>4286</v>
      </c>
      <c r="B701" s="23" t="n">
        <v>698</v>
      </c>
      <c r="C701" s="6" t="n">
        <v>46259</v>
      </c>
      <c r="D701" s="4" t="s">
        <v>4288</v>
      </c>
      <c r="E701" s="4" t="s">
        <v>6502</v>
      </c>
      <c r="F701" s="7" t="n">
        <v>-31120.01</v>
      </c>
      <c r="G701" s="24" t="s">
        <v>5951</v>
      </c>
      <c r="H701" s="4" t="s">
        <v>4285</v>
      </c>
      <c r="I701" s="4"/>
    </row>
    <row r="702" customFormat="false" ht="15" hidden="false" customHeight="false" outlineLevel="0" collapsed="false">
      <c r="A702" s="4" t="s">
        <v>5175</v>
      </c>
      <c r="B702" s="23" t="n">
        <v>699</v>
      </c>
      <c r="C702" s="6" t="n">
        <v>46259</v>
      </c>
      <c r="D702" s="4" t="s">
        <v>5177</v>
      </c>
      <c r="E702" s="4" t="s">
        <v>6503</v>
      </c>
      <c r="F702" s="7" t="n">
        <v>-51992.4</v>
      </c>
      <c r="G702" s="24" t="s">
        <v>5951</v>
      </c>
      <c r="H702" s="4" t="s">
        <v>5174</v>
      </c>
      <c r="I702" s="4"/>
    </row>
    <row r="703" customFormat="false" ht="15" hidden="false" customHeight="false" outlineLevel="0" collapsed="false">
      <c r="A703" s="4" t="s">
        <v>4291</v>
      </c>
      <c r="B703" s="23" t="n">
        <v>700</v>
      </c>
      <c r="C703" s="6" t="n">
        <v>46259</v>
      </c>
      <c r="D703" s="4" t="s">
        <v>4293</v>
      </c>
      <c r="E703" s="4" t="s">
        <v>6504</v>
      </c>
      <c r="F703" s="7" t="n">
        <v>-35055.71</v>
      </c>
      <c r="G703" s="24" t="s">
        <v>5951</v>
      </c>
      <c r="H703" s="4" t="s">
        <v>4290</v>
      </c>
      <c r="I703" s="4"/>
    </row>
    <row r="704" customFormat="false" ht="15" hidden="false" customHeight="false" outlineLevel="0" collapsed="false">
      <c r="A704" s="4" t="s">
        <v>4781</v>
      </c>
      <c r="B704" s="23" t="n">
        <v>701</v>
      </c>
      <c r="C704" s="6" t="n">
        <v>46259</v>
      </c>
      <c r="D704" s="4" t="s">
        <v>4783</v>
      </c>
      <c r="E704" s="4" t="s">
        <v>6505</v>
      </c>
      <c r="F704" s="7" t="n">
        <v>-34069.96</v>
      </c>
      <c r="G704" s="24" t="s">
        <v>5951</v>
      </c>
      <c r="H704" s="4" t="s">
        <v>4780</v>
      </c>
      <c r="I704" s="4"/>
    </row>
    <row r="705" customFormat="false" ht="15" hidden="false" customHeight="false" outlineLevel="0" collapsed="false">
      <c r="A705" s="4" t="s">
        <v>1536</v>
      </c>
      <c r="B705" s="23" t="n">
        <v>702</v>
      </c>
      <c r="C705" s="6" t="n">
        <v>46260</v>
      </c>
      <c r="D705" s="4" t="s">
        <v>1538</v>
      </c>
      <c r="E705" s="4"/>
      <c r="F705" s="7" t="n">
        <v>73346.81</v>
      </c>
      <c r="G705" s="24" t="s">
        <v>5951</v>
      </c>
      <c r="H705" s="4" t="s">
        <v>1535</v>
      </c>
      <c r="I705" s="4"/>
    </row>
    <row r="706" customFormat="false" ht="15" hidden="false" customHeight="false" outlineLevel="0" collapsed="false">
      <c r="A706" s="4" t="s">
        <v>4296</v>
      </c>
      <c r="B706" s="23" t="n">
        <v>703</v>
      </c>
      <c r="C706" s="6" t="n">
        <v>46260</v>
      </c>
      <c r="D706" s="4" t="s">
        <v>4298</v>
      </c>
      <c r="E706" s="4" t="s">
        <v>6506</v>
      </c>
      <c r="F706" s="7" t="n">
        <v>30888.97</v>
      </c>
      <c r="G706" s="24" t="s">
        <v>5951</v>
      </c>
      <c r="H706" s="4" t="s">
        <v>4295</v>
      </c>
      <c r="I706" s="4"/>
    </row>
    <row r="707" customFormat="false" ht="15" hidden="false" customHeight="false" outlineLevel="0" collapsed="false">
      <c r="A707" s="4" t="s">
        <v>1541</v>
      </c>
      <c r="B707" s="23" t="n">
        <v>704</v>
      </c>
      <c r="C707" s="6" t="n">
        <v>46260</v>
      </c>
      <c r="D707" s="4" t="s">
        <v>1543</v>
      </c>
      <c r="E707" s="4" t="s">
        <v>6507</v>
      </c>
      <c r="F707" s="7" t="n">
        <v>51833.18</v>
      </c>
      <c r="G707" s="24" t="s">
        <v>5951</v>
      </c>
      <c r="H707" s="4" t="s">
        <v>1540</v>
      </c>
      <c r="I707" s="4"/>
    </row>
    <row r="708" customFormat="false" ht="15" hidden="false" customHeight="false" outlineLevel="0" collapsed="false">
      <c r="A708" s="4" t="s">
        <v>3252</v>
      </c>
      <c r="B708" s="23" t="n">
        <v>705</v>
      </c>
      <c r="C708" s="6" t="n">
        <v>46260</v>
      </c>
      <c r="D708" s="4" t="s">
        <v>3254</v>
      </c>
      <c r="E708" s="4" t="s">
        <v>6508</v>
      </c>
      <c r="F708" s="7" t="n">
        <v>92304.42</v>
      </c>
      <c r="G708" s="24" t="s">
        <v>5951</v>
      </c>
      <c r="H708" s="4" t="s">
        <v>3251</v>
      </c>
      <c r="I708" s="4"/>
    </row>
    <row r="709" customFormat="false" ht="15" hidden="false" customHeight="false" outlineLevel="0" collapsed="false">
      <c r="A709" s="4" t="s">
        <v>1546</v>
      </c>
      <c r="B709" s="23" t="n">
        <v>706</v>
      </c>
      <c r="C709" s="6" t="n">
        <v>46260</v>
      </c>
      <c r="D709" s="4" t="s">
        <v>1548</v>
      </c>
      <c r="E709" s="4" t="s">
        <v>6509</v>
      </c>
      <c r="F709" s="7" t="n">
        <v>83157.11</v>
      </c>
      <c r="G709" s="24" t="s">
        <v>5951</v>
      </c>
      <c r="H709" s="4" t="s">
        <v>1545</v>
      </c>
      <c r="I709" s="4"/>
    </row>
    <row r="710" customFormat="false" ht="15" hidden="false" customHeight="false" outlineLevel="0" collapsed="false">
      <c r="A710" s="4" t="s">
        <v>5594</v>
      </c>
      <c r="B710" s="23" t="n">
        <v>707</v>
      </c>
      <c r="C710" s="6" t="n">
        <v>46260</v>
      </c>
      <c r="D710" s="4" t="s">
        <v>5596</v>
      </c>
      <c r="E710" s="4" t="s">
        <v>6510</v>
      </c>
      <c r="F710" s="7" t="n">
        <v>-25102.95</v>
      </c>
      <c r="G710" s="24" t="s">
        <v>5951</v>
      </c>
      <c r="H710" s="4" t="s">
        <v>5593</v>
      </c>
      <c r="I710" s="4"/>
    </row>
    <row r="711" customFormat="false" ht="15" hidden="false" customHeight="false" outlineLevel="0" collapsed="false">
      <c r="A711" s="4" t="s">
        <v>4301</v>
      </c>
      <c r="B711" s="23" t="n">
        <v>708</v>
      </c>
      <c r="C711" s="6" t="n">
        <v>46260</v>
      </c>
      <c r="D711" s="4" t="s">
        <v>4303</v>
      </c>
      <c r="E711" s="4" t="s">
        <v>6511</v>
      </c>
      <c r="F711" s="7" t="n">
        <v>-48934.03</v>
      </c>
      <c r="G711" s="24" t="s">
        <v>5951</v>
      </c>
      <c r="H711" s="4" t="s">
        <v>4300</v>
      </c>
      <c r="I711" s="4"/>
    </row>
    <row r="712" customFormat="false" ht="15" hidden="false" customHeight="false" outlineLevel="0" collapsed="false">
      <c r="A712" s="4" t="s">
        <v>5599</v>
      </c>
      <c r="B712" s="23" t="n">
        <v>709</v>
      </c>
      <c r="C712" s="6" t="n">
        <v>46260</v>
      </c>
      <c r="D712" s="4" t="s">
        <v>5601</v>
      </c>
      <c r="E712" s="4" t="s">
        <v>6512</v>
      </c>
      <c r="F712" s="7" t="n">
        <v>-48501.73</v>
      </c>
      <c r="G712" s="24" t="s">
        <v>5951</v>
      </c>
      <c r="H712" s="4" t="s">
        <v>5598</v>
      </c>
      <c r="I712" s="4"/>
    </row>
    <row r="713" customFormat="false" ht="15" hidden="false" customHeight="false" outlineLevel="0" collapsed="false">
      <c r="A713" s="4" t="s">
        <v>5180</v>
      </c>
      <c r="B713" s="23" t="n">
        <v>710</v>
      </c>
      <c r="C713" s="6" t="n">
        <v>46260</v>
      </c>
      <c r="D713" s="4" t="s">
        <v>5182</v>
      </c>
      <c r="E713" s="4" t="s">
        <v>6513</v>
      </c>
      <c r="F713" s="7" t="n">
        <v>-30770.7</v>
      </c>
      <c r="G713" s="24" t="s">
        <v>5951</v>
      </c>
      <c r="H713" s="4" t="s">
        <v>5179</v>
      </c>
      <c r="I713" s="4"/>
    </row>
    <row r="714" customFormat="false" ht="15" hidden="false" customHeight="false" outlineLevel="0" collapsed="false">
      <c r="A714" s="4" t="s">
        <v>4786</v>
      </c>
      <c r="B714" s="23" t="n">
        <v>711</v>
      </c>
      <c r="C714" s="6" t="n">
        <v>46260</v>
      </c>
      <c r="D714" s="4" t="s">
        <v>4788</v>
      </c>
      <c r="E714" s="4" t="s">
        <v>6514</v>
      </c>
      <c r="F714" s="7" t="n">
        <v>-19436.78</v>
      </c>
      <c r="G714" s="24" t="s">
        <v>5951</v>
      </c>
      <c r="H714" s="4" t="s">
        <v>4785</v>
      </c>
      <c r="I714" s="4"/>
    </row>
    <row r="715" customFormat="false" ht="15" hidden="false" customHeight="false" outlineLevel="0" collapsed="false">
      <c r="A715" s="4" t="s">
        <v>1551</v>
      </c>
      <c r="B715" s="23" t="n">
        <v>712</v>
      </c>
      <c r="C715" s="6" t="n">
        <v>46260</v>
      </c>
      <c r="D715" s="4" t="s">
        <v>1553</v>
      </c>
      <c r="E715" s="4" t="s">
        <v>6515</v>
      </c>
      <c r="F715" s="7" t="n">
        <v>-16291.54</v>
      </c>
      <c r="G715" s="24" t="s">
        <v>5951</v>
      </c>
      <c r="H715" s="4" t="s">
        <v>1550</v>
      </c>
      <c r="I715" s="4"/>
    </row>
    <row r="716" customFormat="false" ht="15" hidden="false" customHeight="false" outlineLevel="0" collapsed="false">
      <c r="A716" s="4" t="s">
        <v>4306</v>
      </c>
      <c r="B716" s="23" t="n">
        <v>713</v>
      </c>
      <c r="C716" s="6" t="n">
        <v>46260</v>
      </c>
      <c r="D716" s="4" t="s">
        <v>4308</v>
      </c>
      <c r="E716" s="4" t="s">
        <v>6516</v>
      </c>
      <c r="F716" s="7" t="n">
        <v>-12500.13</v>
      </c>
      <c r="G716" s="24" t="s">
        <v>5951</v>
      </c>
      <c r="H716" s="4" t="s">
        <v>4305</v>
      </c>
      <c r="I716" s="4"/>
    </row>
    <row r="717" customFormat="false" ht="15" hidden="false" customHeight="false" outlineLevel="0" collapsed="false">
      <c r="A717" s="4" t="s">
        <v>5185</v>
      </c>
      <c r="B717" s="23" t="n">
        <v>714</v>
      </c>
      <c r="C717" s="6" t="n">
        <v>46260</v>
      </c>
      <c r="D717" s="4" t="s">
        <v>5187</v>
      </c>
      <c r="E717" s="4" t="s">
        <v>6517</v>
      </c>
      <c r="F717" s="7" t="n">
        <v>-32218.2</v>
      </c>
      <c r="G717" s="24" t="s">
        <v>5951</v>
      </c>
      <c r="H717" s="4" t="s">
        <v>5184</v>
      </c>
      <c r="I717" s="4"/>
    </row>
    <row r="718" customFormat="false" ht="15" hidden="false" customHeight="false" outlineLevel="0" collapsed="false">
      <c r="A718" s="4" t="s">
        <v>455</v>
      </c>
      <c r="B718" s="23" t="n">
        <v>715</v>
      </c>
      <c r="C718" s="6" t="n">
        <v>46260</v>
      </c>
      <c r="D718" s="4" t="s">
        <v>5881</v>
      </c>
      <c r="E718" s="4" t="s">
        <v>457</v>
      </c>
      <c r="F718" s="7" t="n">
        <v>59552.65</v>
      </c>
      <c r="G718" s="25" t="s">
        <v>5987</v>
      </c>
      <c r="H718" s="4" t="s">
        <v>5880</v>
      </c>
      <c r="I718" s="4" t="s">
        <v>454</v>
      </c>
    </row>
    <row r="719" customFormat="false" ht="15" hidden="false" customHeight="false" outlineLevel="0" collapsed="false">
      <c r="A719" s="4" t="s">
        <v>1556</v>
      </c>
      <c r="B719" s="23" t="n">
        <v>716</v>
      </c>
      <c r="C719" s="6" t="n">
        <v>46261</v>
      </c>
      <c r="D719" s="4" t="s">
        <v>1558</v>
      </c>
      <c r="E719" s="4" t="s">
        <v>6518</v>
      </c>
      <c r="F719" s="7" t="n">
        <v>21638.14</v>
      </c>
      <c r="G719" s="24" t="s">
        <v>5951</v>
      </c>
      <c r="H719" s="4" t="s">
        <v>1555</v>
      </c>
      <c r="I719" s="4"/>
    </row>
    <row r="720" customFormat="false" ht="15" hidden="false" customHeight="false" outlineLevel="0" collapsed="false">
      <c r="A720" s="4" t="s">
        <v>1561</v>
      </c>
      <c r="B720" s="23" t="n">
        <v>717</v>
      </c>
      <c r="C720" s="6" t="n">
        <v>46261</v>
      </c>
      <c r="D720" s="4" t="s">
        <v>1563</v>
      </c>
      <c r="E720" s="4" t="s">
        <v>6519</v>
      </c>
      <c r="F720" s="7" t="n">
        <v>25602.52</v>
      </c>
      <c r="G720" s="24" t="s">
        <v>5951</v>
      </c>
      <c r="H720" s="4" t="s">
        <v>1560</v>
      </c>
      <c r="I720" s="4"/>
    </row>
    <row r="721" customFormat="false" ht="15" hidden="false" customHeight="false" outlineLevel="0" collapsed="false">
      <c r="A721" s="4" t="s">
        <v>1566</v>
      </c>
      <c r="B721" s="23" t="n">
        <v>718</v>
      </c>
      <c r="C721" s="6" t="n">
        <v>46261</v>
      </c>
      <c r="D721" s="4" t="s">
        <v>1568</v>
      </c>
      <c r="E721" s="4" t="s">
        <v>6520</v>
      </c>
      <c r="F721" s="7" t="n">
        <v>52820.67</v>
      </c>
      <c r="G721" s="24" t="s">
        <v>5951</v>
      </c>
      <c r="H721" s="4" t="s">
        <v>1565</v>
      </c>
      <c r="I721" s="4"/>
    </row>
    <row r="722" customFormat="false" ht="15" hidden="false" customHeight="false" outlineLevel="0" collapsed="false">
      <c r="A722" s="4" t="s">
        <v>1571</v>
      </c>
      <c r="B722" s="23" t="n">
        <v>719</v>
      </c>
      <c r="C722" s="6" t="n">
        <v>46261</v>
      </c>
      <c r="D722" s="4" t="s">
        <v>1573</v>
      </c>
      <c r="E722" s="4"/>
      <c r="F722" s="7" t="n">
        <v>68298.95</v>
      </c>
      <c r="G722" s="24" t="s">
        <v>5951</v>
      </c>
      <c r="H722" s="4" t="s">
        <v>1570</v>
      </c>
      <c r="I722" s="4"/>
    </row>
    <row r="723" customFormat="false" ht="15" hidden="false" customHeight="false" outlineLevel="0" collapsed="false">
      <c r="A723" s="4" t="s">
        <v>4311</v>
      </c>
      <c r="B723" s="23" t="n">
        <v>720</v>
      </c>
      <c r="C723" s="6" t="n">
        <v>46261</v>
      </c>
      <c r="D723" s="4" t="s">
        <v>4313</v>
      </c>
      <c r="E723" s="4" t="s">
        <v>6521</v>
      </c>
      <c r="F723" s="7" t="n">
        <v>53948.47</v>
      </c>
      <c r="G723" s="24" t="s">
        <v>5951</v>
      </c>
      <c r="H723" s="4" t="s">
        <v>4310</v>
      </c>
      <c r="I723" s="4"/>
    </row>
    <row r="724" customFormat="false" ht="15" hidden="false" customHeight="false" outlineLevel="0" collapsed="false">
      <c r="A724" s="4" t="s">
        <v>3257</v>
      </c>
      <c r="B724" s="23" t="n">
        <v>721</v>
      </c>
      <c r="C724" s="6" t="n">
        <v>46261</v>
      </c>
      <c r="D724" s="4" t="s">
        <v>3259</v>
      </c>
      <c r="E724" s="4" t="s">
        <v>6522</v>
      </c>
      <c r="F724" s="7" t="n">
        <v>18598.65</v>
      </c>
      <c r="G724" s="24" t="s">
        <v>5951</v>
      </c>
      <c r="H724" s="4" t="s">
        <v>3256</v>
      </c>
      <c r="I724" s="4"/>
    </row>
    <row r="725" customFormat="false" ht="15" hidden="false" customHeight="false" outlineLevel="0" collapsed="false">
      <c r="A725" s="4" t="s">
        <v>3262</v>
      </c>
      <c r="B725" s="23" t="n">
        <v>722</v>
      </c>
      <c r="C725" s="6" t="n">
        <v>46261</v>
      </c>
      <c r="D725" s="4" t="s">
        <v>3264</v>
      </c>
      <c r="E725" s="4" t="s">
        <v>6523</v>
      </c>
      <c r="F725" s="7" t="n">
        <v>90285.92</v>
      </c>
      <c r="G725" s="24" t="s">
        <v>5951</v>
      </c>
      <c r="H725" s="4" t="s">
        <v>3261</v>
      </c>
      <c r="I725" s="4"/>
    </row>
    <row r="726" customFormat="false" ht="15" hidden="false" customHeight="false" outlineLevel="0" collapsed="false">
      <c r="A726" s="4" t="s">
        <v>1576</v>
      </c>
      <c r="B726" s="23" t="n">
        <v>723</v>
      </c>
      <c r="C726" s="6" t="n">
        <v>46261</v>
      </c>
      <c r="D726" s="4" t="s">
        <v>1578</v>
      </c>
      <c r="E726" s="4" t="s">
        <v>6524</v>
      </c>
      <c r="F726" s="7" t="n">
        <v>15858.18</v>
      </c>
      <c r="G726" s="24" t="s">
        <v>5951</v>
      </c>
      <c r="H726" s="4" t="s">
        <v>1575</v>
      </c>
      <c r="I726" s="4"/>
    </row>
    <row r="727" customFormat="false" ht="15" hidden="false" customHeight="false" outlineLevel="0" collapsed="false">
      <c r="A727" s="4" t="s">
        <v>1581</v>
      </c>
      <c r="B727" s="23" t="n">
        <v>724</v>
      </c>
      <c r="C727" s="6" t="n">
        <v>46261</v>
      </c>
      <c r="D727" s="4" t="s">
        <v>1583</v>
      </c>
      <c r="E727" s="4" t="s">
        <v>6525</v>
      </c>
      <c r="F727" s="7" t="n">
        <v>-40735.47</v>
      </c>
      <c r="G727" s="24" t="s">
        <v>5951</v>
      </c>
      <c r="H727" s="4" t="s">
        <v>1580</v>
      </c>
      <c r="I727" s="4"/>
    </row>
    <row r="728" customFormat="false" ht="15" hidden="false" customHeight="false" outlineLevel="0" collapsed="false">
      <c r="A728" s="4" t="s">
        <v>4791</v>
      </c>
      <c r="B728" s="23" t="n">
        <v>725</v>
      </c>
      <c r="C728" s="6" t="n">
        <v>46261</v>
      </c>
      <c r="D728" s="4" t="s">
        <v>4793</v>
      </c>
      <c r="E728" s="4" t="s">
        <v>6526</v>
      </c>
      <c r="F728" s="7" t="n">
        <v>-56808.51</v>
      </c>
      <c r="G728" s="24" t="s">
        <v>5951</v>
      </c>
      <c r="H728" s="4" t="s">
        <v>4790</v>
      </c>
      <c r="I728" s="4"/>
    </row>
    <row r="729" customFormat="false" ht="15" hidden="false" customHeight="false" outlineLevel="0" collapsed="false">
      <c r="A729" s="4" t="s">
        <v>3267</v>
      </c>
      <c r="B729" s="23" t="n">
        <v>726</v>
      </c>
      <c r="C729" s="6" t="n">
        <v>46261</v>
      </c>
      <c r="D729" s="4" t="s">
        <v>3269</v>
      </c>
      <c r="E729" s="4" t="s">
        <v>6527</v>
      </c>
      <c r="F729" s="7" t="n">
        <v>-31165.2</v>
      </c>
      <c r="G729" s="24" t="s">
        <v>5951</v>
      </c>
      <c r="H729" s="4" t="s">
        <v>3266</v>
      </c>
      <c r="I729" s="4"/>
    </row>
    <row r="730" customFormat="false" ht="15" hidden="false" customHeight="false" outlineLevel="0" collapsed="false">
      <c r="A730" s="4" t="s">
        <v>5604</v>
      </c>
      <c r="B730" s="23" t="n">
        <v>727</v>
      </c>
      <c r="C730" s="6" t="n">
        <v>46261</v>
      </c>
      <c r="D730" s="4" t="s">
        <v>5606</v>
      </c>
      <c r="E730" s="4" t="s">
        <v>6528</v>
      </c>
      <c r="F730" s="7" t="n">
        <v>-5273.6</v>
      </c>
      <c r="G730" s="24" t="s">
        <v>5951</v>
      </c>
      <c r="H730" s="4" t="s">
        <v>5603</v>
      </c>
      <c r="I730" s="4"/>
    </row>
    <row r="731" customFormat="false" ht="15" hidden="false" customHeight="false" outlineLevel="0" collapsed="false">
      <c r="A731" s="4" t="s">
        <v>3272</v>
      </c>
      <c r="B731" s="23" t="n">
        <v>728</v>
      </c>
      <c r="C731" s="6" t="n">
        <v>46261</v>
      </c>
      <c r="D731" s="4" t="s">
        <v>3274</v>
      </c>
      <c r="E731" s="4" t="s">
        <v>6529</v>
      </c>
      <c r="F731" s="7" t="n">
        <v>-4871.65</v>
      </c>
      <c r="G731" s="24" t="s">
        <v>5951</v>
      </c>
      <c r="H731" s="4" t="s">
        <v>3271</v>
      </c>
      <c r="I731" s="4"/>
    </row>
    <row r="732" customFormat="false" ht="15" hidden="false" customHeight="false" outlineLevel="0" collapsed="false">
      <c r="A732" s="4" t="s">
        <v>1586</v>
      </c>
      <c r="B732" s="23" t="n">
        <v>729</v>
      </c>
      <c r="C732" s="6" t="n">
        <v>46261</v>
      </c>
      <c r="D732" s="4" t="s">
        <v>1588</v>
      </c>
      <c r="E732" s="4" t="s">
        <v>6530</v>
      </c>
      <c r="F732" s="7" t="n">
        <v>-21584.07</v>
      </c>
      <c r="G732" s="24" t="s">
        <v>5951</v>
      </c>
      <c r="H732" s="4" t="s">
        <v>1585</v>
      </c>
      <c r="I732" s="4"/>
    </row>
    <row r="733" customFormat="false" ht="15" hidden="false" customHeight="false" outlineLevel="0" collapsed="false">
      <c r="A733" s="4" t="s">
        <v>3277</v>
      </c>
      <c r="B733" s="23" t="n">
        <v>730</v>
      </c>
      <c r="C733" s="6" t="n">
        <v>46261</v>
      </c>
      <c r="D733" s="4" t="s">
        <v>3279</v>
      </c>
      <c r="E733" s="4" t="s">
        <v>6531</v>
      </c>
      <c r="F733" s="7" t="n">
        <v>-21941.68</v>
      </c>
      <c r="G733" s="24" t="s">
        <v>5951</v>
      </c>
      <c r="H733" s="4" t="s">
        <v>3276</v>
      </c>
      <c r="I733" s="4"/>
    </row>
    <row r="734" customFormat="false" ht="15" hidden="false" customHeight="false" outlineLevel="0" collapsed="false">
      <c r="A734" s="4" t="s">
        <v>5609</v>
      </c>
      <c r="B734" s="23" t="n">
        <v>731</v>
      </c>
      <c r="C734" s="6" t="n">
        <v>46261</v>
      </c>
      <c r="D734" s="4" t="s">
        <v>5611</v>
      </c>
      <c r="E734" s="4" t="s">
        <v>6532</v>
      </c>
      <c r="F734" s="7" t="n">
        <v>-20179.79</v>
      </c>
      <c r="G734" s="24" t="s">
        <v>5951</v>
      </c>
      <c r="H734" s="4" t="s">
        <v>5608</v>
      </c>
      <c r="I734" s="4"/>
    </row>
    <row r="735" customFormat="false" ht="15" hidden="false" customHeight="false" outlineLevel="0" collapsed="false">
      <c r="A735" s="4" t="s">
        <v>5190</v>
      </c>
      <c r="B735" s="23" t="n">
        <v>732</v>
      </c>
      <c r="C735" s="6" t="n">
        <v>46261</v>
      </c>
      <c r="D735" s="4" t="s">
        <v>5192</v>
      </c>
      <c r="E735" s="4" t="s">
        <v>6533</v>
      </c>
      <c r="F735" s="7" t="n">
        <v>-41615.38</v>
      </c>
      <c r="G735" s="24" t="s">
        <v>5951</v>
      </c>
      <c r="H735" s="4" t="s">
        <v>5189</v>
      </c>
      <c r="I735" s="4"/>
    </row>
    <row r="736" customFormat="false" ht="15" hidden="false" customHeight="false" outlineLevel="0" collapsed="false">
      <c r="A736" s="4" t="s">
        <v>3282</v>
      </c>
      <c r="B736" s="23" t="n">
        <v>733</v>
      </c>
      <c r="C736" s="6" t="n">
        <v>46262</v>
      </c>
      <c r="D736" s="4" t="s">
        <v>3284</v>
      </c>
      <c r="E736" s="4" t="s">
        <v>6534</v>
      </c>
      <c r="F736" s="7" t="n">
        <v>90396.28</v>
      </c>
      <c r="G736" s="24" t="s">
        <v>5951</v>
      </c>
      <c r="H736" s="4" t="s">
        <v>3281</v>
      </c>
      <c r="I736" s="4"/>
    </row>
    <row r="737" customFormat="false" ht="15" hidden="false" customHeight="false" outlineLevel="0" collapsed="false">
      <c r="A737" s="4" t="s">
        <v>3287</v>
      </c>
      <c r="B737" s="23" t="n">
        <v>734</v>
      </c>
      <c r="C737" s="6" t="n">
        <v>46262</v>
      </c>
      <c r="D737" s="4" t="s">
        <v>3289</v>
      </c>
      <c r="E737" s="4"/>
      <c r="F737" s="7" t="n">
        <v>33620.75</v>
      </c>
      <c r="G737" s="24" t="s">
        <v>5951</v>
      </c>
      <c r="H737" s="4" t="s">
        <v>3286</v>
      </c>
      <c r="I737" s="4"/>
    </row>
    <row r="738" customFormat="false" ht="15" hidden="false" customHeight="false" outlineLevel="0" collapsed="false">
      <c r="A738" s="4" t="s">
        <v>1590</v>
      </c>
      <c r="B738" s="23" t="n">
        <v>735</v>
      </c>
      <c r="C738" s="6" t="n">
        <v>46262</v>
      </c>
      <c r="D738" s="4" t="s">
        <v>1592</v>
      </c>
      <c r="E738" s="4" t="s">
        <v>6535</v>
      </c>
      <c r="F738" s="7" t="n">
        <v>74757.69</v>
      </c>
      <c r="G738" s="24" t="s">
        <v>5951</v>
      </c>
      <c r="H738" s="4" t="s">
        <v>1589</v>
      </c>
      <c r="I738" s="4"/>
    </row>
    <row r="739" customFormat="false" ht="15" hidden="false" customHeight="false" outlineLevel="0" collapsed="false">
      <c r="A739" s="4" t="s">
        <v>4316</v>
      </c>
      <c r="B739" s="23" t="n">
        <v>736</v>
      </c>
      <c r="C739" s="6" t="n">
        <v>46262</v>
      </c>
      <c r="D739" s="4" t="s">
        <v>4318</v>
      </c>
      <c r="E739" s="4" t="s">
        <v>6536</v>
      </c>
      <c r="F739" s="7" t="n">
        <v>36610.57</v>
      </c>
      <c r="G739" s="24" t="s">
        <v>5951</v>
      </c>
      <c r="H739" s="4" t="s">
        <v>4315</v>
      </c>
      <c r="I739" s="4"/>
    </row>
    <row r="740" customFormat="false" ht="15" hidden="false" customHeight="false" outlineLevel="0" collapsed="false">
      <c r="A740" s="4" t="s">
        <v>1595</v>
      </c>
      <c r="B740" s="23" t="n">
        <v>737</v>
      </c>
      <c r="C740" s="6" t="n">
        <v>46262</v>
      </c>
      <c r="D740" s="4" t="s">
        <v>1597</v>
      </c>
      <c r="E740" s="4" t="s">
        <v>6537</v>
      </c>
      <c r="F740" s="7" t="n">
        <v>59444.92</v>
      </c>
      <c r="G740" s="24" t="s">
        <v>5951</v>
      </c>
      <c r="H740" s="4" t="s">
        <v>1594</v>
      </c>
      <c r="I740" s="4"/>
    </row>
    <row r="741" customFormat="false" ht="15" hidden="false" customHeight="false" outlineLevel="0" collapsed="false">
      <c r="A741" s="4" t="s">
        <v>1600</v>
      </c>
      <c r="B741" s="23" t="n">
        <v>738</v>
      </c>
      <c r="C741" s="6" t="n">
        <v>46262</v>
      </c>
      <c r="D741" s="4" t="s">
        <v>1602</v>
      </c>
      <c r="E741" s="4" t="s">
        <v>6538</v>
      </c>
      <c r="F741" s="7" t="n">
        <v>41969.35</v>
      </c>
      <c r="G741" s="24" t="s">
        <v>5951</v>
      </c>
      <c r="H741" s="4" t="s">
        <v>1599</v>
      </c>
      <c r="I741" s="4"/>
    </row>
    <row r="742" customFormat="false" ht="15" hidden="false" customHeight="false" outlineLevel="0" collapsed="false">
      <c r="A742" s="4" t="s">
        <v>1605</v>
      </c>
      <c r="B742" s="23" t="n">
        <v>739</v>
      </c>
      <c r="C742" s="6" t="n">
        <v>46262</v>
      </c>
      <c r="D742" s="4" t="s">
        <v>1607</v>
      </c>
      <c r="E742" s="4" t="s">
        <v>6539</v>
      </c>
      <c r="F742" s="7" t="n">
        <v>40752.08</v>
      </c>
      <c r="G742" s="24" t="s">
        <v>5951</v>
      </c>
      <c r="H742" s="4" t="s">
        <v>1604</v>
      </c>
      <c r="I742" s="4"/>
    </row>
    <row r="743" customFormat="false" ht="15" hidden="false" customHeight="false" outlineLevel="0" collapsed="false">
      <c r="A743" s="4" t="s">
        <v>1610</v>
      </c>
      <c r="B743" s="23" t="n">
        <v>740</v>
      </c>
      <c r="C743" s="6" t="n">
        <v>46262</v>
      </c>
      <c r="D743" s="4" t="s">
        <v>1612</v>
      </c>
      <c r="E743" s="4"/>
      <c r="F743" s="7" t="n">
        <v>64364.2</v>
      </c>
      <c r="G743" s="24" t="s">
        <v>5951</v>
      </c>
      <c r="H743" s="4" t="s">
        <v>1609</v>
      </c>
      <c r="I743" s="4"/>
    </row>
    <row r="744" customFormat="false" ht="15" hidden="false" customHeight="false" outlineLevel="0" collapsed="false">
      <c r="A744" s="4" t="s">
        <v>4321</v>
      </c>
      <c r="B744" s="23" t="n">
        <v>741</v>
      </c>
      <c r="C744" s="6" t="n">
        <v>46262</v>
      </c>
      <c r="D744" s="4" t="s">
        <v>4323</v>
      </c>
      <c r="E744" s="4" t="s">
        <v>6540</v>
      </c>
      <c r="F744" s="7" t="n">
        <v>61862.47</v>
      </c>
      <c r="G744" s="24" t="s">
        <v>5951</v>
      </c>
      <c r="H744" s="4" t="s">
        <v>4320</v>
      </c>
      <c r="I744" s="4"/>
    </row>
    <row r="745" customFormat="false" ht="15" hidden="false" customHeight="false" outlineLevel="0" collapsed="false">
      <c r="A745" s="4" t="s">
        <v>4796</v>
      </c>
      <c r="B745" s="23" t="n">
        <v>742</v>
      </c>
      <c r="C745" s="6" t="n">
        <v>46262</v>
      </c>
      <c r="D745" s="4" t="s">
        <v>4798</v>
      </c>
      <c r="E745" s="4" t="s">
        <v>6541</v>
      </c>
      <c r="F745" s="7" t="n">
        <v>-43763.36</v>
      </c>
      <c r="G745" s="24" t="s">
        <v>5951</v>
      </c>
      <c r="H745" s="4" t="s">
        <v>4795</v>
      </c>
      <c r="I745" s="4"/>
    </row>
    <row r="746" customFormat="false" ht="15" hidden="false" customHeight="false" outlineLevel="0" collapsed="false">
      <c r="A746" s="4" t="s">
        <v>5614</v>
      </c>
      <c r="B746" s="23" t="n">
        <v>743</v>
      </c>
      <c r="C746" s="6" t="n">
        <v>46262</v>
      </c>
      <c r="D746" s="4" t="s">
        <v>5616</v>
      </c>
      <c r="E746" s="4" t="s">
        <v>6542</v>
      </c>
      <c r="F746" s="7" t="n">
        <v>-54861.93</v>
      </c>
      <c r="G746" s="24" t="s">
        <v>5951</v>
      </c>
      <c r="H746" s="4" t="s">
        <v>5613</v>
      </c>
      <c r="I746" s="4"/>
    </row>
    <row r="747" customFormat="false" ht="15" hidden="false" customHeight="false" outlineLevel="0" collapsed="false">
      <c r="A747" s="4" t="s">
        <v>4801</v>
      </c>
      <c r="B747" s="23" t="n">
        <v>744</v>
      </c>
      <c r="C747" s="6" t="n">
        <v>46262</v>
      </c>
      <c r="D747" s="4" t="s">
        <v>4803</v>
      </c>
      <c r="E747" s="4" t="s">
        <v>6543</v>
      </c>
      <c r="F747" s="7" t="n">
        <v>-29588.14</v>
      </c>
      <c r="G747" s="24" t="s">
        <v>5951</v>
      </c>
      <c r="H747" s="4" t="s">
        <v>4800</v>
      </c>
      <c r="I747" s="4"/>
    </row>
    <row r="748" customFormat="false" ht="15" hidden="false" customHeight="false" outlineLevel="0" collapsed="false">
      <c r="A748" s="4" t="s">
        <v>3292</v>
      </c>
      <c r="B748" s="23" t="n">
        <v>745</v>
      </c>
      <c r="C748" s="6" t="n">
        <v>46262</v>
      </c>
      <c r="D748" s="4" t="s">
        <v>3294</v>
      </c>
      <c r="E748" s="4" t="s">
        <v>6544</v>
      </c>
      <c r="F748" s="7" t="n">
        <v>-3337.81</v>
      </c>
      <c r="G748" s="24" t="s">
        <v>5951</v>
      </c>
      <c r="H748" s="4" t="s">
        <v>3291</v>
      </c>
      <c r="I748" s="4"/>
    </row>
    <row r="749" customFormat="false" ht="15" hidden="false" customHeight="false" outlineLevel="0" collapsed="false">
      <c r="A749" s="4" t="s">
        <v>4806</v>
      </c>
      <c r="B749" s="23" t="n">
        <v>746</v>
      </c>
      <c r="C749" s="6" t="n">
        <v>46262</v>
      </c>
      <c r="D749" s="4" t="s">
        <v>4808</v>
      </c>
      <c r="E749" s="4" t="s">
        <v>6545</v>
      </c>
      <c r="F749" s="7" t="n">
        <v>-42206.23</v>
      </c>
      <c r="G749" s="24" t="s">
        <v>5951</v>
      </c>
      <c r="H749" s="4" t="s">
        <v>4805</v>
      </c>
      <c r="I749" s="4"/>
    </row>
    <row r="750" customFormat="false" ht="15" hidden="false" customHeight="false" outlineLevel="0" collapsed="false">
      <c r="A750" s="4" t="s">
        <v>5619</v>
      </c>
      <c r="B750" s="23" t="n">
        <v>747</v>
      </c>
      <c r="C750" s="6" t="n">
        <v>46262</v>
      </c>
      <c r="D750" s="4" t="s">
        <v>5621</v>
      </c>
      <c r="E750" s="4" t="s">
        <v>6546</v>
      </c>
      <c r="F750" s="7" t="n">
        <v>-23989.56</v>
      </c>
      <c r="G750" s="24" t="s">
        <v>5951</v>
      </c>
      <c r="H750" s="4" t="s">
        <v>5618</v>
      </c>
      <c r="I750" s="4"/>
    </row>
    <row r="751" customFormat="false" ht="15" hidden="false" customHeight="false" outlineLevel="0" collapsed="false">
      <c r="A751" s="4" t="s">
        <v>3297</v>
      </c>
      <c r="B751" s="23" t="n">
        <v>748</v>
      </c>
      <c r="C751" s="6" t="n">
        <v>46263</v>
      </c>
      <c r="D751" s="4" t="s">
        <v>3299</v>
      </c>
      <c r="E751" s="4" t="s">
        <v>6547</v>
      </c>
      <c r="F751" s="7" t="n">
        <v>45835.37</v>
      </c>
      <c r="G751" s="24" t="s">
        <v>5951</v>
      </c>
      <c r="H751" s="4" t="s">
        <v>3296</v>
      </c>
      <c r="I751" s="4"/>
    </row>
    <row r="752" customFormat="false" ht="15" hidden="false" customHeight="false" outlineLevel="0" collapsed="false">
      <c r="A752" s="4" t="s">
        <v>1615</v>
      </c>
      <c r="B752" s="23" t="n">
        <v>749</v>
      </c>
      <c r="C752" s="6" t="n">
        <v>46263</v>
      </c>
      <c r="D752" s="4" t="s">
        <v>1617</v>
      </c>
      <c r="E752" s="4" t="s">
        <v>6548</v>
      </c>
      <c r="F752" s="7" t="n">
        <v>84220.62</v>
      </c>
      <c r="G752" s="24" t="s">
        <v>5951</v>
      </c>
      <c r="H752" s="4" t="s">
        <v>1614</v>
      </c>
      <c r="I752" s="4"/>
    </row>
    <row r="753" customFormat="false" ht="15" hidden="false" customHeight="false" outlineLevel="0" collapsed="false">
      <c r="A753" s="4" t="s">
        <v>4326</v>
      </c>
      <c r="B753" s="23" t="n">
        <v>750</v>
      </c>
      <c r="C753" s="6" t="n">
        <v>46263</v>
      </c>
      <c r="D753" s="4" t="s">
        <v>4328</v>
      </c>
      <c r="E753" s="4"/>
      <c r="F753" s="7" t="n">
        <v>37648.88</v>
      </c>
      <c r="G753" s="24" t="s">
        <v>5951</v>
      </c>
      <c r="H753" s="4" t="s">
        <v>4325</v>
      </c>
      <c r="I753" s="4"/>
    </row>
    <row r="754" customFormat="false" ht="15" hidden="false" customHeight="false" outlineLevel="0" collapsed="false">
      <c r="A754" s="4" t="s">
        <v>1620</v>
      </c>
      <c r="B754" s="23" t="n">
        <v>751</v>
      </c>
      <c r="C754" s="6" t="n">
        <v>46263</v>
      </c>
      <c r="D754" s="4" t="s">
        <v>1622</v>
      </c>
      <c r="E754" s="4" t="s">
        <v>6549</v>
      </c>
      <c r="F754" s="7" t="n">
        <v>89101.1</v>
      </c>
      <c r="G754" s="24" t="s">
        <v>5951</v>
      </c>
      <c r="H754" s="4" t="s">
        <v>1619</v>
      </c>
      <c r="I754" s="4"/>
    </row>
    <row r="755" customFormat="false" ht="15" hidden="false" customHeight="false" outlineLevel="0" collapsed="false">
      <c r="A755" s="4" t="s">
        <v>4331</v>
      </c>
      <c r="B755" s="23" t="n">
        <v>752</v>
      </c>
      <c r="C755" s="6" t="n">
        <v>46263</v>
      </c>
      <c r="D755" s="4" t="s">
        <v>4333</v>
      </c>
      <c r="E755" s="4" t="s">
        <v>6550</v>
      </c>
      <c r="F755" s="7" t="n">
        <v>81962.59</v>
      </c>
      <c r="G755" s="24" t="s">
        <v>5951</v>
      </c>
      <c r="H755" s="4" t="s">
        <v>4330</v>
      </c>
      <c r="I755" s="4"/>
    </row>
    <row r="756" customFormat="false" ht="15" hidden="false" customHeight="false" outlineLevel="0" collapsed="false">
      <c r="A756" s="4" t="s">
        <v>1625</v>
      </c>
      <c r="B756" s="23" t="n">
        <v>753</v>
      </c>
      <c r="C756" s="6" t="n">
        <v>46263</v>
      </c>
      <c r="D756" s="4" t="s">
        <v>1627</v>
      </c>
      <c r="E756" s="4" t="s">
        <v>6551</v>
      </c>
      <c r="F756" s="7" t="n">
        <v>80687.79</v>
      </c>
      <c r="G756" s="24" t="s">
        <v>5951</v>
      </c>
      <c r="H756" s="4" t="s">
        <v>1624</v>
      </c>
      <c r="I756" s="4"/>
    </row>
    <row r="757" customFormat="false" ht="15" hidden="false" customHeight="false" outlineLevel="0" collapsed="false">
      <c r="A757" s="4" t="s">
        <v>1630</v>
      </c>
      <c r="B757" s="23" t="n">
        <v>754</v>
      </c>
      <c r="C757" s="6" t="n">
        <v>46263</v>
      </c>
      <c r="D757" s="4" t="s">
        <v>1632</v>
      </c>
      <c r="E757" s="4" t="s">
        <v>6552</v>
      </c>
      <c r="F757" s="7" t="n">
        <v>14597.25</v>
      </c>
      <c r="G757" s="24" t="s">
        <v>5951</v>
      </c>
      <c r="H757" s="4" t="s">
        <v>1629</v>
      </c>
      <c r="I757" s="4"/>
    </row>
    <row r="758" customFormat="false" ht="15" hidden="false" customHeight="false" outlineLevel="0" collapsed="false">
      <c r="A758" s="4" t="s">
        <v>1635</v>
      </c>
      <c r="B758" s="23" t="n">
        <v>755</v>
      </c>
      <c r="C758" s="6" t="n">
        <v>46263</v>
      </c>
      <c r="D758" s="4" t="s">
        <v>1637</v>
      </c>
      <c r="E758" s="4" t="s">
        <v>6553</v>
      </c>
      <c r="F758" s="7" t="n">
        <v>65344.9</v>
      </c>
      <c r="G758" s="24" t="s">
        <v>5951</v>
      </c>
      <c r="H758" s="4" t="s">
        <v>1634</v>
      </c>
      <c r="I758" s="4"/>
    </row>
    <row r="759" customFormat="false" ht="15" hidden="false" customHeight="false" outlineLevel="0" collapsed="false">
      <c r="A759" s="4" t="s">
        <v>1640</v>
      </c>
      <c r="B759" s="23" t="n">
        <v>756</v>
      </c>
      <c r="C759" s="6" t="n">
        <v>46263</v>
      </c>
      <c r="D759" s="4" t="s">
        <v>1642</v>
      </c>
      <c r="E759" s="4"/>
      <c r="F759" s="7" t="n">
        <v>37193.49</v>
      </c>
      <c r="G759" s="24" t="s">
        <v>5951</v>
      </c>
      <c r="H759" s="4" t="s">
        <v>1639</v>
      </c>
      <c r="I759" s="4"/>
    </row>
    <row r="760" customFormat="false" ht="15" hidden="false" customHeight="false" outlineLevel="0" collapsed="false">
      <c r="A760" s="4" t="s">
        <v>3302</v>
      </c>
      <c r="B760" s="23" t="n">
        <v>757</v>
      </c>
      <c r="C760" s="6" t="n">
        <v>46263</v>
      </c>
      <c r="D760" s="4" t="s">
        <v>3304</v>
      </c>
      <c r="E760" s="4" t="s">
        <v>6554</v>
      </c>
      <c r="F760" s="7" t="n">
        <v>54278.98</v>
      </c>
      <c r="G760" s="24" t="s">
        <v>5951</v>
      </c>
      <c r="H760" s="4" t="s">
        <v>3301</v>
      </c>
      <c r="I760" s="4"/>
    </row>
    <row r="761" customFormat="false" ht="15" hidden="false" customHeight="false" outlineLevel="0" collapsed="false">
      <c r="A761" s="4" t="s">
        <v>4336</v>
      </c>
      <c r="B761" s="23" t="n">
        <v>758</v>
      </c>
      <c r="C761" s="6" t="n">
        <v>46263</v>
      </c>
      <c r="D761" s="4" t="s">
        <v>4338</v>
      </c>
      <c r="E761" s="4" t="s">
        <v>6555</v>
      </c>
      <c r="F761" s="7" t="n">
        <v>19582.05</v>
      </c>
      <c r="G761" s="24" t="s">
        <v>5951</v>
      </c>
      <c r="H761" s="4" t="s">
        <v>4335</v>
      </c>
      <c r="I761" s="4"/>
    </row>
    <row r="762" customFormat="false" ht="15" hidden="false" customHeight="false" outlineLevel="0" collapsed="false">
      <c r="A762" s="4" t="s">
        <v>3307</v>
      </c>
      <c r="B762" s="23" t="n">
        <v>759</v>
      </c>
      <c r="C762" s="6" t="n">
        <v>46263</v>
      </c>
      <c r="D762" s="4" t="s">
        <v>3309</v>
      </c>
      <c r="E762" s="4" t="s">
        <v>6556</v>
      </c>
      <c r="F762" s="7" t="n">
        <v>81355.05</v>
      </c>
      <c r="G762" s="24" t="s">
        <v>5951</v>
      </c>
      <c r="H762" s="4" t="s">
        <v>3306</v>
      </c>
      <c r="I762" s="4"/>
    </row>
    <row r="763" customFormat="false" ht="15" hidden="false" customHeight="false" outlineLevel="0" collapsed="false">
      <c r="A763" s="4" t="s">
        <v>5624</v>
      </c>
      <c r="B763" s="23" t="n">
        <v>760</v>
      </c>
      <c r="C763" s="6" t="n">
        <v>46263</v>
      </c>
      <c r="D763" s="4" t="s">
        <v>5626</v>
      </c>
      <c r="E763" s="4" t="s">
        <v>6557</v>
      </c>
      <c r="F763" s="7" t="n">
        <v>-42046.18</v>
      </c>
      <c r="G763" s="24" t="s">
        <v>5951</v>
      </c>
      <c r="H763" s="4" t="s">
        <v>5623</v>
      </c>
      <c r="I763" s="4"/>
    </row>
    <row r="764" customFormat="false" ht="15" hidden="false" customHeight="false" outlineLevel="0" collapsed="false">
      <c r="A764" s="4" t="s">
        <v>5629</v>
      </c>
      <c r="B764" s="23" t="n">
        <v>761</v>
      </c>
      <c r="C764" s="6" t="n">
        <v>46263</v>
      </c>
      <c r="D764" s="4" t="s">
        <v>5631</v>
      </c>
      <c r="E764" s="4" t="s">
        <v>6558</v>
      </c>
      <c r="F764" s="7" t="n">
        <v>-58248.04</v>
      </c>
      <c r="G764" s="24" t="s">
        <v>5951</v>
      </c>
      <c r="H764" s="4" t="s">
        <v>5628</v>
      </c>
      <c r="I764" s="4"/>
    </row>
    <row r="765" customFormat="false" ht="15" hidden="false" customHeight="false" outlineLevel="0" collapsed="false">
      <c r="A765" s="4" t="s">
        <v>5195</v>
      </c>
      <c r="B765" s="23" t="n">
        <v>762</v>
      </c>
      <c r="C765" s="6" t="n">
        <v>46263</v>
      </c>
      <c r="D765" s="4" t="s">
        <v>5197</v>
      </c>
      <c r="E765" s="4" t="s">
        <v>6559</v>
      </c>
      <c r="F765" s="7" t="n">
        <v>-52073.12</v>
      </c>
      <c r="G765" s="24" t="s">
        <v>5951</v>
      </c>
      <c r="H765" s="4" t="s">
        <v>5194</v>
      </c>
      <c r="I765" s="4"/>
    </row>
    <row r="766" customFormat="false" ht="15" hidden="false" customHeight="false" outlineLevel="0" collapsed="false">
      <c r="A766" s="4" t="s">
        <v>240</v>
      </c>
      <c r="B766" s="23" t="n">
        <v>763</v>
      </c>
      <c r="C766" s="6" t="n">
        <v>46263</v>
      </c>
      <c r="D766" s="4" t="s">
        <v>241</v>
      </c>
      <c r="E766" s="4"/>
      <c r="F766" s="7" t="n">
        <v>-8887.16</v>
      </c>
      <c r="G766" s="26" t="s">
        <v>6043</v>
      </c>
      <c r="H766" s="4"/>
      <c r="I766" s="4" t="s">
        <v>239</v>
      </c>
    </row>
    <row r="767" customFormat="false" ht="15" hidden="false" customHeight="false" outlineLevel="0" collapsed="false">
      <c r="A767" s="4" t="s">
        <v>3312</v>
      </c>
      <c r="B767" s="23" t="n">
        <v>764</v>
      </c>
      <c r="C767" s="6" t="n">
        <v>46264</v>
      </c>
      <c r="D767" s="4" t="s">
        <v>3314</v>
      </c>
      <c r="E767" s="4"/>
      <c r="F767" s="7" t="n">
        <v>34924.48</v>
      </c>
      <c r="G767" s="24" t="s">
        <v>5951</v>
      </c>
      <c r="H767" s="4" t="s">
        <v>3311</v>
      </c>
      <c r="I767" s="4"/>
    </row>
    <row r="768" customFormat="false" ht="15" hidden="false" customHeight="false" outlineLevel="0" collapsed="false">
      <c r="A768" s="4" t="s">
        <v>1645</v>
      </c>
      <c r="B768" s="23" t="n">
        <v>765</v>
      </c>
      <c r="C768" s="6" t="n">
        <v>46264</v>
      </c>
      <c r="D768" s="4" t="s">
        <v>1647</v>
      </c>
      <c r="E768" s="4" t="s">
        <v>6560</v>
      </c>
      <c r="F768" s="7" t="n">
        <v>12398.46</v>
      </c>
      <c r="G768" s="24" t="s">
        <v>5951</v>
      </c>
      <c r="H768" s="4" t="s">
        <v>1644</v>
      </c>
      <c r="I768" s="4"/>
    </row>
    <row r="769" customFormat="false" ht="15" hidden="false" customHeight="false" outlineLevel="0" collapsed="false">
      <c r="A769" s="4" t="s">
        <v>4341</v>
      </c>
      <c r="B769" s="23" t="n">
        <v>766</v>
      </c>
      <c r="C769" s="6" t="n">
        <v>46264</v>
      </c>
      <c r="D769" s="4" t="s">
        <v>4343</v>
      </c>
      <c r="E769" s="4" t="s">
        <v>6561</v>
      </c>
      <c r="F769" s="7" t="n">
        <v>35548.13</v>
      </c>
      <c r="G769" s="24" t="s">
        <v>5951</v>
      </c>
      <c r="H769" s="4" t="s">
        <v>4340</v>
      </c>
      <c r="I769" s="4"/>
    </row>
    <row r="770" customFormat="false" ht="15" hidden="false" customHeight="false" outlineLevel="0" collapsed="false">
      <c r="A770" s="4" t="s">
        <v>1650</v>
      </c>
      <c r="B770" s="23" t="n">
        <v>767</v>
      </c>
      <c r="C770" s="6" t="n">
        <v>46264</v>
      </c>
      <c r="D770" s="4" t="s">
        <v>1652</v>
      </c>
      <c r="E770" s="4" t="s">
        <v>6562</v>
      </c>
      <c r="F770" s="7" t="n">
        <v>92987.57</v>
      </c>
      <c r="G770" s="24" t="s">
        <v>5951</v>
      </c>
      <c r="H770" s="4" t="s">
        <v>1649</v>
      </c>
      <c r="I770" s="4"/>
    </row>
    <row r="771" customFormat="false" ht="15" hidden="false" customHeight="false" outlineLevel="0" collapsed="false">
      <c r="A771" s="4" t="s">
        <v>1655</v>
      </c>
      <c r="B771" s="23" t="n">
        <v>768</v>
      </c>
      <c r="C771" s="6" t="n">
        <v>46264</v>
      </c>
      <c r="D771" s="4" t="s">
        <v>1657</v>
      </c>
      <c r="E771" s="4" t="s">
        <v>6563</v>
      </c>
      <c r="F771" s="7" t="n">
        <v>70833.42</v>
      </c>
      <c r="G771" s="24" t="s">
        <v>5951</v>
      </c>
      <c r="H771" s="4" t="s">
        <v>1654</v>
      </c>
      <c r="I771" s="4"/>
    </row>
    <row r="772" customFormat="false" ht="15" hidden="false" customHeight="false" outlineLevel="0" collapsed="false">
      <c r="A772" s="4" t="s">
        <v>1660</v>
      </c>
      <c r="B772" s="23" t="n">
        <v>769</v>
      </c>
      <c r="C772" s="6" t="n">
        <v>46264</v>
      </c>
      <c r="D772" s="4" t="s">
        <v>1662</v>
      </c>
      <c r="E772" s="4" t="s">
        <v>6564</v>
      </c>
      <c r="F772" s="7" t="n">
        <v>12414.58</v>
      </c>
      <c r="G772" s="24" t="s">
        <v>5951</v>
      </c>
      <c r="H772" s="4" t="s">
        <v>1659</v>
      </c>
      <c r="I772" s="4"/>
    </row>
    <row r="773" customFormat="false" ht="15" hidden="false" customHeight="false" outlineLevel="0" collapsed="false">
      <c r="A773" s="4" t="s">
        <v>4346</v>
      </c>
      <c r="B773" s="23" t="n">
        <v>770</v>
      </c>
      <c r="C773" s="6" t="n">
        <v>46264</v>
      </c>
      <c r="D773" s="4" t="s">
        <v>4348</v>
      </c>
      <c r="E773" s="4"/>
      <c r="F773" s="7" t="n">
        <v>80938.67</v>
      </c>
      <c r="G773" s="24" t="s">
        <v>5951</v>
      </c>
      <c r="H773" s="4" t="s">
        <v>4345</v>
      </c>
      <c r="I773" s="4"/>
    </row>
    <row r="774" customFormat="false" ht="15" hidden="false" customHeight="false" outlineLevel="0" collapsed="false">
      <c r="A774" s="4" t="s">
        <v>5200</v>
      </c>
      <c r="B774" s="23" t="n">
        <v>771</v>
      </c>
      <c r="C774" s="6" t="n">
        <v>46264</v>
      </c>
      <c r="D774" s="4" t="s">
        <v>5202</v>
      </c>
      <c r="E774" s="4" t="s">
        <v>6565</v>
      </c>
      <c r="F774" s="7" t="n">
        <v>-29459.43</v>
      </c>
      <c r="G774" s="24" t="s">
        <v>5951</v>
      </c>
      <c r="H774" s="4" t="s">
        <v>5199</v>
      </c>
      <c r="I774" s="4"/>
    </row>
    <row r="775" customFormat="false" ht="15" hidden="false" customHeight="false" outlineLevel="0" collapsed="false">
      <c r="A775" s="4" t="s">
        <v>4351</v>
      </c>
      <c r="B775" s="23" t="n">
        <v>772</v>
      </c>
      <c r="C775" s="6" t="n">
        <v>46264</v>
      </c>
      <c r="D775" s="4" t="s">
        <v>4353</v>
      </c>
      <c r="E775" s="4" t="s">
        <v>6566</v>
      </c>
      <c r="F775" s="7" t="n">
        <v>-866.72</v>
      </c>
      <c r="G775" s="24" t="s">
        <v>5951</v>
      </c>
      <c r="H775" s="4" t="s">
        <v>4350</v>
      </c>
      <c r="I775" s="4"/>
    </row>
    <row r="776" customFormat="false" ht="15" hidden="false" customHeight="false" outlineLevel="0" collapsed="false">
      <c r="A776" s="4" t="s">
        <v>3317</v>
      </c>
      <c r="B776" s="23" t="n">
        <v>773</v>
      </c>
      <c r="C776" s="6" t="n">
        <v>46264</v>
      </c>
      <c r="D776" s="4" t="s">
        <v>3319</v>
      </c>
      <c r="E776" s="4" t="s">
        <v>6567</v>
      </c>
      <c r="F776" s="7" t="n">
        <v>-2003.18</v>
      </c>
      <c r="G776" s="24" t="s">
        <v>5951</v>
      </c>
      <c r="H776" s="4" t="s">
        <v>3316</v>
      </c>
      <c r="I776" s="4"/>
    </row>
    <row r="777" customFormat="false" ht="15" hidden="false" customHeight="false" outlineLevel="0" collapsed="false">
      <c r="A777" s="4" t="s">
        <v>4811</v>
      </c>
      <c r="B777" s="23" t="n">
        <v>774</v>
      </c>
      <c r="C777" s="6" t="n">
        <v>46264</v>
      </c>
      <c r="D777" s="4" t="s">
        <v>4813</v>
      </c>
      <c r="E777" s="4" t="s">
        <v>6568</v>
      </c>
      <c r="F777" s="7" t="n">
        <v>-41728.68</v>
      </c>
      <c r="G777" s="24" t="s">
        <v>5951</v>
      </c>
      <c r="H777" s="4" t="s">
        <v>4810</v>
      </c>
      <c r="I777" s="4"/>
    </row>
    <row r="778" customFormat="false" ht="15" hidden="false" customHeight="false" outlineLevel="0" collapsed="false">
      <c r="A778" s="4" t="s">
        <v>1665</v>
      </c>
      <c r="B778" s="23" t="n">
        <v>775</v>
      </c>
      <c r="C778" s="6" t="n">
        <v>46264</v>
      </c>
      <c r="D778" s="4" t="s">
        <v>1667</v>
      </c>
      <c r="E778" s="4" t="s">
        <v>6569</v>
      </c>
      <c r="F778" s="7" t="n">
        <v>-1037.9</v>
      </c>
      <c r="G778" s="24" t="s">
        <v>5951</v>
      </c>
      <c r="H778" s="4" t="s">
        <v>1664</v>
      </c>
      <c r="I778" s="4"/>
    </row>
    <row r="779" customFormat="false" ht="15" hidden="false" customHeight="false" outlineLevel="0" collapsed="false">
      <c r="A779" s="4" t="s">
        <v>461</v>
      </c>
      <c r="B779" s="23" t="n">
        <v>776</v>
      </c>
      <c r="C779" s="6" t="n">
        <v>46264</v>
      </c>
      <c r="D779" s="4" t="s">
        <v>5854</v>
      </c>
      <c r="E779" s="4" t="s">
        <v>463</v>
      </c>
      <c r="F779" s="7" t="n">
        <v>20044.73</v>
      </c>
      <c r="G779" s="25" t="s">
        <v>5987</v>
      </c>
      <c r="H779" s="4" t="s">
        <v>5853</v>
      </c>
      <c r="I779" s="4" t="s">
        <v>460</v>
      </c>
    </row>
    <row r="780" customFormat="false" ht="15" hidden="false" customHeight="false" outlineLevel="0" collapsed="false">
      <c r="A780" s="4" t="s">
        <v>1670</v>
      </c>
      <c r="B780" s="23" t="n">
        <v>777</v>
      </c>
      <c r="C780" s="6" t="n">
        <v>46265</v>
      </c>
      <c r="D780" s="4" t="s">
        <v>1672</v>
      </c>
      <c r="E780" s="4" t="s">
        <v>6570</v>
      </c>
      <c r="F780" s="7" t="n">
        <v>71112.31</v>
      </c>
      <c r="G780" s="24" t="s">
        <v>5951</v>
      </c>
      <c r="H780" s="4" t="s">
        <v>1669</v>
      </c>
      <c r="I780" s="4"/>
    </row>
    <row r="781" customFormat="false" ht="15" hidden="false" customHeight="false" outlineLevel="0" collapsed="false">
      <c r="A781" s="4" t="s">
        <v>1675</v>
      </c>
      <c r="B781" s="23" t="n">
        <v>778</v>
      </c>
      <c r="C781" s="6" t="n">
        <v>46265</v>
      </c>
      <c r="D781" s="4" t="s">
        <v>1677</v>
      </c>
      <c r="E781" s="4" t="s">
        <v>6571</v>
      </c>
      <c r="F781" s="7" t="n">
        <v>15276.57</v>
      </c>
      <c r="G781" s="24" t="s">
        <v>5951</v>
      </c>
      <c r="H781" s="4" t="s">
        <v>1674</v>
      </c>
      <c r="I781" s="4"/>
    </row>
    <row r="782" customFormat="false" ht="15" hidden="false" customHeight="false" outlineLevel="0" collapsed="false">
      <c r="A782" s="4" t="s">
        <v>3322</v>
      </c>
      <c r="B782" s="23" t="n">
        <v>779</v>
      </c>
      <c r="C782" s="6" t="n">
        <v>46265</v>
      </c>
      <c r="D782" s="4" t="s">
        <v>3324</v>
      </c>
      <c r="E782" s="4" t="s">
        <v>6572</v>
      </c>
      <c r="F782" s="7" t="n">
        <v>24515.7</v>
      </c>
      <c r="G782" s="24" t="s">
        <v>5951</v>
      </c>
      <c r="H782" s="4" t="s">
        <v>3321</v>
      </c>
      <c r="I782" s="4"/>
    </row>
    <row r="783" customFormat="false" ht="15" hidden="false" customHeight="false" outlineLevel="0" collapsed="false">
      <c r="A783" s="4" t="s">
        <v>1680</v>
      </c>
      <c r="B783" s="23" t="n">
        <v>780</v>
      </c>
      <c r="C783" s="6" t="n">
        <v>46265</v>
      </c>
      <c r="D783" s="4" t="s">
        <v>1682</v>
      </c>
      <c r="E783" s="4" t="s">
        <v>6573</v>
      </c>
      <c r="F783" s="7" t="n">
        <v>91718.16</v>
      </c>
      <c r="G783" s="24" t="s">
        <v>5951</v>
      </c>
      <c r="H783" s="4" t="s">
        <v>1679</v>
      </c>
      <c r="I783" s="4"/>
    </row>
    <row r="784" customFormat="false" ht="15" hidden="false" customHeight="false" outlineLevel="0" collapsed="false">
      <c r="A784" s="4" t="s">
        <v>1685</v>
      </c>
      <c r="B784" s="23" t="n">
        <v>781</v>
      </c>
      <c r="C784" s="6" t="n">
        <v>46265</v>
      </c>
      <c r="D784" s="4" t="s">
        <v>1687</v>
      </c>
      <c r="E784" s="4"/>
      <c r="F784" s="7" t="n">
        <v>32262.15</v>
      </c>
      <c r="G784" s="24" t="s">
        <v>5951</v>
      </c>
      <c r="H784" s="4" t="s">
        <v>1684</v>
      </c>
      <c r="I784" s="4"/>
    </row>
    <row r="785" customFormat="false" ht="15" hidden="false" customHeight="false" outlineLevel="0" collapsed="false">
      <c r="A785" s="4" t="s">
        <v>1690</v>
      </c>
      <c r="B785" s="23" t="n">
        <v>782</v>
      </c>
      <c r="C785" s="6" t="n">
        <v>46265</v>
      </c>
      <c r="D785" s="4" t="s">
        <v>1692</v>
      </c>
      <c r="E785" s="4" t="s">
        <v>6574</v>
      </c>
      <c r="F785" s="7" t="n">
        <v>86739.87</v>
      </c>
      <c r="G785" s="24" t="s">
        <v>5951</v>
      </c>
      <c r="H785" s="4" t="s">
        <v>1689</v>
      </c>
      <c r="I785" s="4"/>
    </row>
    <row r="786" customFormat="false" ht="15" hidden="false" customHeight="false" outlineLevel="0" collapsed="false">
      <c r="A786" s="4" t="s">
        <v>3327</v>
      </c>
      <c r="B786" s="23" t="n">
        <v>783</v>
      </c>
      <c r="C786" s="6" t="n">
        <v>46265</v>
      </c>
      <c r="D786" s="4" t="s">
        <v>3329</v>
      </c>
      <c r="E786" s="4" t="s">
        <v>6575</v>
      </c>
      <c r="F786" s="7" t="n">
        <v>71381.66</v>
      </c>
      <c r="G786" s="24" t="s">
        <v>5951</v>
      </c>
      <c r="H786" s="4" t="s">
        <v>3326</v>
      </c>
      <c r="I786" s="4"/>
    </row>
    <row r="787" customFormat="false" ht="15" hidden="false" customHeight="false" outlineLevel="0" collapsed="false">
      <c r="A787" s="4" t="s">
        <v>5205</v>
      </c>
      <c r="B787" s="23" t="n">
        <v>784</v>
      </c>
      <c r="C787" s="6" t="n">
        <v>46265</v>
      </c>
      <c r="D787" s="4" t="s">
        <v>5207</v>
      </c>
      <c r="E787" s="4" t="s">
        <v>6576</v>
      </c>
      <c r="F787" s="7" t="n">
        <v>-21259.17</v>
      </c>
      <c r="G787" s="24" t="s">
        <v>5951</v>
      </c>
      <c r="H787" s="4" t="s">
        <v>5204</v>
      </c>
      <c r="I787" s="4"/>
    </row>
    <row r="788" customFormat="false" ht="15" hidden="false" customHeight="false" outlineLevel="0" collapsed="false">
      <c r="A788" s="4" t="s">
        <v>1695</v>
      </c>
      <c r="B788" s="23" t="n">
        <v>785</v>
      </c>
      <c r="C788" s="6" t="n">
        <v>46265</v>
      </c>
      <c r="D788" s="4" t="s">
        <v>1697</v>
      </c>
      <c r="E788" s="4" t="s">
        <v>6577</v>
      </c>
      <c r="F788" s="7" t="n">
        <v>-29486.63</v>
      </c>
      <c r="G788" s="24" t="s">
        <v>5951</v>
      </c>
      <c r="H788" s="4" t="s">
        <v>1694</v>
      </c>
      <c r="I788" s="4"/>
    </row>
    <row r="789" customFormat="false" ht="15" hidden="false" customHeight="false" outlineLevel="0" collapsed="false">
      <c r="A789" s="4" t="s">
        <v>3332</v>
      </c>
      <c r="B789" s="23" t="n">
        <v>786</v>
      </c>
      <c r="C789" s="6" t="n">
        <v>46265</v>
      </c>
      <c r="D789" s="4" t="s">
        <v>3334</v>
      </c>
      <c r="E789" s="4" t="s">
        <v>6578</v>
      </c>
      <c r="F789" s="7" t="n">
        <v>-36197.97</v>
      </c>
      <c r="G789" s="24" t="s">
        <v>5951</v>
      </c>
      <c r="H789" s="4" t="s">
        <v>3331</v>
      </c>
      <c r="I789" s="4"/>
    </row>
    <row r="790" customFormat="false" ht="15" hidden="false" customHeight="false" outlineLevel="0" collapsed="false">
      <c r="A790" s="4" t="s">
        <v>4356</v>
      </c>
      <c r="B790" s="23" t="n">
        <v>787</v>
      </c>
      <c r="C790" s="6" t="n">
        <v>46265</v>
      </c>
      <c r="D790" s="4" t="s">
        <v>4358</v>
      </c>
      <c r="E790" s="4" t="s">
        <v>6579</v>
      </c>
      <c r="F790" s="7" t="n">
        <v>-49241.2</v>
      </c>
      <c r="G790" s="24" t="s">
        <v>5951</v>
      </c>
      <c r="H790" s="4" t="s">
        <v>4355</v>
      </c>
      <c r="I790" s="4"/>
    </row>
    <row r="791" customFormat="false" ht="15" hidden="false" customHeight="false" outlineLevel="0" collapsed="false">
      <c r="A791" s="4" t="s">
        <v>4361</v>
      </c>
      <c r="B791" s="23" t="n">
        <v>788</v>
      </c>
      <c r="C791" s="6" t="n">
        <v>46265</v>
      </c>
      <c r="D791" s="4" t="s">
        <v>4363</v>
      </c>
      <c r="E791" s="4" t="s">
        <v>6580</v>
      </c>
      <c r="F791" s="7" t="n">
        <v>-21532.64</v>
      </c>
      <c r="G791" s="24" t="s">
        <v>5951</v>
      </c>
      <c r="H791" s="4" t="s">
        <v>4360</v>
      </c>
      <c r="I791" s="4"/>
    </row>
    <row r="792" customFormat="false" ht="15" hidden="false" customHeight="false" outlineLevel="0" collapsed="false">
      <c r="A792" s="4" t="s">
        <v>1699</v>
      </c>
      <c r="B792" s="23" t="n">
        <v>789</v>
      </c>
      <c r="C792" s="6" t="n">
        <v>46265</v>
      </c>
      <c r="D792" s="4" t="s">
        <v>1701</v>
      </c>
      <c r="E792" s="4" t="s">
        <v>6581</v>
      </c>
      <c r="F792" s="7" t="n">
        <v>-48900.52</v>
      </c>
      <c r="G792" s="24" t="s">
        <v>5951</v>
      </c>
      <c r="H792" s="4" t="s">
        <v>1698</v>
      </c>
      <c r="I792" s="4"/>
    </row>
    <row r="793" customFormat="false" ht="15" hidden="false" customHeight="false" outlineLevel="0" collapsed="false">
      <c r="A793" s="4" t="s">
        <v>418</v>
      </c>
      <c r="B793" s="23" t="n">
        <v>790</v>
      </c>
      <c r="C793" s="6" t="n">
        <v>46265</v>
      </c>
      <c r="D793" s="4" t="s">
        <v>419</v>
      </c>
      <c r="E793" s="4"/>
      <c r="F793" s="7" t="n">
        <v>-368.51</v>
      </c>
      <c r="G793" s="26" t="s">
        <v>6043</v>
      </c>
      <c r="H793" s="4"/>
      <c r="I793" s="4" t="s">
        <v>417</v>
      </c>
    </row>
    <row r="794" customFormat="false" ht="15" hidden="false" customHeight="false" outlineLevel="0" collapsed="false">
      <c r="A794" s="4" t="s">
        <v>262</v>
      </c>
      <c r="B794" s="23" t="n">
        <v>791</v>
      </c>
      <c r="C794" s="6" t="n">
        <v>46265</v>
      </c>
      <c r="D794" s="4" t="s">
        <v>263</v>
      </c>
      <c r="E794" s="4"/>
      <c r="F794" s="7" t="n">
        <v>2056.81</v>
      </c>
      <c r="G794" s="26" t="s">
        <v>6043</v>
      </c>
      <c r="H794" s="4"/>
      <c r="I794" s="4" t="s">
        <v>261</v>
      </c>
    </row>
    <row r="795" customFormat="false" ht="15" hidden="false" customHeight="false" outlineLevel="0" collapsed="false">
      <c r="A795" s="4" t="s">
        <v>96</v>
      </c>
      <c r="B795" s="23" t="n">
        <v>792</v>
      </c>
      <c r="C795" s="6" t="n">
        <v>46265</v>
      </c>
      <c r="D795" s="4" t="s">
        <v>97</v>
      </c>
      <c r="E795" s="4"/>
      <c r="F795" s="7" t="n">
        <v>-10494.74</v>
      </c>
      <c r="G795" s="26" t="s">
        <v>6043</v>
      </c>
      <c r="H795" s="4"/>
      <c r="I795" s="4" t="s">
        <v>94</v>
      </c>
    </row>
    <row r="796" customFormat="false" ht="15" hidden="false" customHeight="false" outlineLevel="0" collapsed="false">
      <c r="A796" s="4" t="s">
        <v>3337</v>
      </c>
      <c r="B796" s="23" t="n">
        <v>793</v>
      </c>
      <c r="C796" s="6" t="n">
        <v>46266</v>
      </c>
      <c r="D796" s="4" t="s">
        <v>3339</v>
      </c>
      <c r="E796" s="4"/>
      <c r="F796" s="7" t="n">
        <v>39259.04</v>
      </c>
      <c r="G796" s="24" t="s">
        <v>5951</v>
      </c>
      <c r="H796" s="4" t="s">
        <v>3336</v>
      </c>
      <c r="I796" s="4"/>
    </row>
    <row r="797" customFormat="false" ht="15" hidden="false" customHeight="false" outlineLevel="0" collapsed="false">
      <c r="A797" s="4" t="s">
        <v>1704</v>
      </c>
      <c r="B797" s="23" t="n">
        <v>794</v>
      </c>
      <c r="C797" s="6" t="n">
        <v>46266</v>
      </c>
      <c r="D797" s="4" t="s">
        <v>1706</v>
      </c>
      <c r="E797" s="4" t="s">
        <v>6582</v>
      </c>
      <c r="F797" s="7" t="n">
        <v>11659.54</v>
      </c>
      <c r="G797" s="24" t="s">
        <v>5951</v>
      </c>
      <c r="H797" s="4" t="s">
        <v>1703</v>
      </c>
      <c r="I797" s="4"/>
    </row>
    <row r="798" customFormat="false" ht="15" hidden="false" customHeight="false" outlineLevel="0" collapsed="false">
      <c r="A798" s="4" t="s">
        <v>3342</v>
      </c>
      <c r="B798" s="23" t="n">
        <v>795</v>
      </c>
      <c r="C798" s="6" t="n">
        <v>46266</v>
      </c>
      <c r="D798" s="4" t="s">
        <v>3344</v>
      </c>
      <c r="E798" s="4" t="s">
        <v>6583</v>
      </c>
      <c r="F798" s="7" t="n">
        <v>38195.56</v>
      </c>
      <c r="G798" s="24" t="s">
        <v>5951</v>
      </c>
      <c r="H798" s="4" t="s">
        <v>3341</v>
      </c>
      <c r="I798" s="4"/>
    </row>
    <row r="799" customFormat="false" ht="15" hidden="false" customHeight="false" outlineLevel="0" collapsed="false">
      <c r="A799" s="4" t="s">
        <v>4366</v>
      </c>
      <c r="B799" s="23" t="n">
        <v>796</v>
      </c>
      <c r="C799" s="6" t="n">
        <v>46266</v>
      </c>
      <c r="D799" s="4" t="s">
        <v>4368</v>
      </c>
      <c r="E799" s="4" t="s">
        <v>6584</v>
      </c>
      <c r="F799" s="7" t="n">
        <v>68275.08</v>
      </c>
      <c r="G799" s="24" t="s">
        <v>5951</v>
      </c>
      <c r="H799" s="4" t="s">
        <v>4365</v>
      </c>
      <c r="I799" s="4"/>
    </row>
    <row r="800" customFormat="false" ht="15" hidden="false" customHeight="false" outlineLevel="0" collapsed="false">
      <c r="A800" s="4" t="s">
        <v>3347</v>
      </c>
      <c r="B800" s="23" t="n">
        <v>797</v>
      </c>
      <c r="C800" s="6" t="n">
        <v>46266</v>
      </c>
      <c r="D800" s="4" t="s">
        <v>3349</v>
      </c>
      <c r="E800" s="4"/>
      <c r="F800" s="7" t="n">
        <v>89762.97</v>
      </c>
      <c r="G800" s="24" t="s">
        <v>5951</v>
      </c>
      <c r="H800" s="4" t="s">
        <v>3346</v>
      </c>
      <c r="I800" s="4"/>
    </row>
    <row r="801" customFormat="false" ht="15" hidden="false" customHeight="false" outlineLevel="0" collapsed="false">
      <c r="A801" s="4" t="s">
        <v>3352</v>
      </c>
      <c r="B801" s="23" t="n">
        <v>798</v>
      </c>
      <c r="C801" s="6" t="n">
        <v>46266</v>
      </c>
      <c r="D801" s="4" t="s">
        <v>3354</v>
      </c>
      <c r="E801" s="4" t="s">
        <v>6585</v>
      </c>
      <c r="F801" s="7" t="n">
        <v>30767.47</v>
      </c>
      <c r="G801" s="24" t="s">
        <v>5951</v>
      </c>
      <c r="H801" s="4" t="s">
        <v>3351</v>
      </c>
      <c r="I801" s="4"/>
    </row>
    <row r="802" customFormat="false" ht="15" hidden="false" customHeight="false" outlineLevel="0" collapsed="false">
      <c r="A802" s="4" t="s">
        <v>3357</v>
      </c>
      <c r="B802" s="23" t="n">
        <v>799</v>
      </c>
      <c r="C802" s="6" t="n">
        <v>46266</v>
      </c>
      <c r="D802" s="4" t="s">
        <v>3359</v>
      </c>
      <c r="E802" s="4" t="s">
        <v>6586</v>
      </c>
      <c r="F802" s="7" t="n">
        <v>54262.68</v>
      </c>
      <c r="G802" s="24" t="s">
        <v>5951</v>
      </c>
      <c r="H802" s="4" t="s">
        <v>3356</v>
      </c>
      <c r="I802" s="4"/>
    </row>
    <row r="803" customFormat="false" ht="15" hidden="false" customHeight="false" outlineLevel="0" collapsed="false">
      <c r="A803" s="4" t="s">
        <v>3362</v>
      </c>
      <c r="B803" s="23" t="n">
        <v>800</v>
      </c>
      <c r="C803" s="6" t="n">
        <v>46266</v>
      </c>
      <c r="D803" s="4" t="s">
        <v>3364</v>
      </c>
      <c r="E803" s="4"/>
      <c r="F803" s="7" t="n">
        <v>14421.21</v>
      </c>
      <c r="G803" s="24" t="s">
        <v>5951</v>
      </c>
      <c r="H803" s="4" t="s">
        <v>3361</v>
      </c>
      <c r="I803" s="4"/>
    </row>
    <row r="804" customFormat="false" ht="15" hidden="false" customHeight="false" outlineLevel="0" collapsed="false">
      <c r="A804" s="4" t="s">
        <v>3367</v>
      </c>
      <c r="B804" s="23" t="n">
        <v>801</v>
      </c>
      <c r="C804" s="6" t="n">
        <v>46266</v>
      </c>
      <c r="D804" s="4" t="s">
        <v>3369</v>
      </c>
      <c r="E804" s="4" t="s">
        <v>6587</v>
      </c>
      <c r="F804" s="7" t="n">
        <v>30940.52</v>
      </c>
      <c r="G804" s="24" t="s">
        <v>5951</v>
      </c>
      <c r="H804" s="4" t="s">
        <v>3366</v>
      </c>
      <c r="I804" s="4"/>
    </row>
    <row r="805" customFormat="false" ht="15" hidden="false" customHeight="false" outlineLevel="0" collapsed="false">
      <c r="A805" s="4" t="s">
        <v>5634</v>
      </c>
      <c r="B805" s="23" t="n">
        <v>802</v>
      </c>
      <c r="C805" s="6" t="n">
        <v>46266</v>
      </c>
      <c r="D805" s="4" t="s">
        <v>5636</v>
      </c>
      <c r="E805" s="4" t="s">
        <v>6588</v>
      </c>
      <c r="F805" s="7" t="n">
        <v>-12664.51</v>
      </c>
      <c r="G805" s="24" t="s">
        <v>5951</v>
      </c>
      <c r="H805" s="4" t="s">
        <v>5633</v>
      </c>
      <c r="I805" s="4"/>
    </row>
    <row r="806" customFormat="false" ht="15" hidden="false" customHeight="false" outlineLevel="0" collapsed="false">
      <c r="A806" s="4" t="s">
        <v>4816</v>
      </c>
      <c r="B806" s="23" t="n">
        <v>803</v>
      </c>
      <c r="C806" s="6" t="n">
        <v>46266</v>
      </c>
      <c r="D806" s="4" t="s">
        <v>4818</v>
      </c>
      <c r="E806" s="4" t="s">
        <v>6589</v>
      </c>
      <c r="F806" s="7" t="n">
        <v>-3212.02</v>
      </c>
      <c r="G806" s="24" t="s">
        <v>5951</v>
      </c>
      <c r="H806" s="4" t="s">
        <v>4815</v>
      </c>
      <c r="I806" s="4"/>
    </row>
    <row r="807" customFormat="false" ht="15" hidden="false" customHeight="false" outlineLevel="0" collapsed="false">
      <c r="A807" s="4" t="s">
        <v>5210</v>
      </c>
      <c r="B807" s="23" t="n">
        <v>804</v>
      </c>
      <c r="C807" s="6" t="n">
        <v>46266</v>
      </c>
      <c r="D807" s="4" t="s">
        <v>5212</v>
      </c>
      <c r="E807" s="4" t="s">
        <v>6590</v>
      </c>
      <c r="F807" s="7" t="n">
        <v>-46470.05</v>
      </c>
      <c r="G807" s="24" t="s">
        <v>5951</v>
      </c>
      <c r="H807" s="4" t="s">
        <v>5209</v>
      </c>
      <c r="I807" s="4"/>
    </row>
    <row r="808" customFormat="false" ht="15" hidden="false" customHeight="false" outlineLevel="0" collapsed="false">
      <c r="A808" s="4" t="s">
        <v>5639</v>
      </c>
      <c r="B808" s="23" t="n">
        <v>805</v>
      </c>
      <c r="C808" s="6" t="n">
        <v>46266</v>
      </c>
      <c r="D808" s="4" t="s">
        <v>5641</v>
      </c>
      <c r="E808" s="4" t="s">
        <v>6591</v>
      </c>
      <c r="F808" s="7" t="n">
        <v>-41853.43</v>
      </c>
      <c r="G808" s="24" t="s">
        <v>5951</v>
      </c>
      <c r="H808" s="4" t="s">
        <v>5638</v>
      </c>
      <c r="I808" s="4"/>
    </row>
    <row r="809" customFormat="false" ht="15" hidden="false" customHeight="false" outlineLevel="0" collapsed="false">
      <c r="A809" s="4" t="s">
        <v>3372</v>
      </c>
      <c r="B809" s="23" t="n">
        <v>806</v>
      </c>
      <c r="C809" s="6" t="n">
        <v>46267</v>
      </c>
      <c r="D809" s="4" t="s">
        <v>3374</v>
      </c>
      <c r="E809" s="4" t="s">
        <v>6592</v>
      </c>
      <c r="F809" s="7" t="n">
        <v>14301.49</v>
      </c>
      <c r="G809" s="24" t="s">
        <v>5951</v>
      </c>
      <c r="H809" s="4" t="s">
        <v>3371</v>
      </c>
      <c r="I809" s="4"/>
    </row>
    <row r="810" customFormat="false" ht="15" hidden="false" customHeight="false" outlineLevel="0" collapsed="false">
      <c r="A810" s="4" t="s">
        <v>1709</v>
      </c>
      <c r="B810" s="23" t="n">
        <v>807</v>
      </c>
      <c r="C810" s="6" t="n">
        <v>46267</v>
      </c>
      <c r="D810" s="4" t="s">
        <v>1711</v>
      </c>
      <c r="E810" s="4" t="s">
        <v>6593</v>
      </c>
      <c r="F810" s="7" t="n">
        <v>33004.4</v>
      </c>
      <c r="G810" s="24" t="s">
        <v>5951</v>
      </c>
      <c r="H810" s="4" t="s">
        <v>1708</v>
      </c>
      <c r="I810" s="4"/>
    </row>
    <row r="811" customFormat="false" ht="15" hidden="false" customHeight="false" outlineLevel="0" collapsed="false">
      <c r="A811" s="4" t="s">
        <v>1714</v>
      </c>
      <c r="B811" s="23" t="n">
        <v>808</v>
      </c>
      <c r="C811" s="6" t="n">
        <v>46267</v>
      </c>
      <c r="D811" s="4" t="s">
        <v>1716</v>
      </c>
      <c r="E811" s="4"/>
      <c r="F811" s="7" t="n">
        <v>15209.07</v>
      </c>
      <c r="G811" s="24" t="s">
        <v>5951</v>
      </c>
      <c r="H811" s="4" t="s">
        <v>1713</v>
      </c>
      <c r="I811" s="4"/>
    </row>
    <row r="812" customFormat="false" ht="15" hidden="false" customHeight="false" outlineLevel="0" collapsed="false">
      <c r="A812" s="4" t="s">
        <v>3377</v>
      </c>
      <c r="B812" s="23" t="n">
        <v>809</v>
      </c>
      <c r="C812" s="6" t="n">
        <v>46267</v>
      </c>
      <c r="D812" s="4" t="s">
        <v>3379</v>
      </c>
      <c r="E812" s="4"/>
      <c r="F812" s="7" t="n">
        <v>3322.74</v>
      </c>
      <c r="G812" s="24" t="s">
        <v>5951</v>
      </c>
      <c r="H812" s="4" t="s">
        <v>3376</v>
      </c>
      <c r="I812" s="4"/>
    </row>
    <row r="813" customFormat="false" ht="15" hidden="false" customHeight="false" outlineLevel="0" collapsed="false">
      <c r="A813" s="4" t="s">
        <v>3382</v>
      </c>
      <c r="B813" s="23" t="n">
        <v>810</v>
      </c>
      <c r="C813" s="6" t="n">
        <v>46267</v>
      </c>
      <c r="D813" s="4" t="s">
        <v>3384</v>
      </c>
      <c r="E813" s="4" t="s">
        <v>6594</v>
      </c>
      <c r="F813" s="7" t="n">
        <v>93318.98</v>
      </c>
      <c r="G813" s="24" t="s">
        <v>5951</v>
      </c>
      <c r="H813" s="4" t="s">
        <v>3381</v>
      </c>
      <c r="I813" s="4"/>
    </row>
    <row r="814" customFormat="false" ht="15" hidden="false" customHeight="false" outlineLevel="0" collapsed="false">
      <c r="A814" s="4" t="s">
        <v>4371</v>
      </c>
      <c r="B814" s="23" t="n">
        <v>811</v>
      </c>
      <c r="C814" s="6" t="n">
        <v>46267</v>
      </c>
      <c r="D814" s="4" t="s">
        <v>4373</v>
      </c>
      <c r="E814" s="4"/>
      <c r="F814" s="7" t="n">
        <v>69636.16</v>
      </c>
      <c r="G814" s="24" t="s">
        <v>5951</v>
      </c>
      <c r="H814" s="4" t="s">
        <v>4370</v>
      </c>
      <c r="I814" s="4"/>
    </row>
    <row r="815" customFormat="false" ht="15" hidden="false" customHeight="false" outlineLevel="0" collapsed="false">
      <c r="A815" s="4" t="s">
        <v>1719</v>
      </c>
      <c r="B815" s="23" t="n">
        <v>812</v>
      </c>
      <c r="C815" s="6" t="n">
        <v>46267</v>
      </c>
      <c r="D815" s="4" t="s">
        <v>1721</v>
      </c>
      <c r="E815" s="4"/>
      <c r="F815" s="7" t="n">
        <v>80455.52</v>
      </c>
      <c r="G815" s="24" t="s">
        <v>5951</v>
      </c>
      <c r="H815" s="4" t="s">
        <v>1718</v>
      </c>
      <c r="I815" s="4"/>
    </row>
    <row r="816" customFormat="false" ht="15" hidden="false" customHeight="false" outlineLevel="0" collapsed="false">
      <c r="A816" s="4" t="s">
        <v>3387</v>
      </c>
      <c r="B816" s="23" t="n">
        <v>813</v>
      </c>
      <c r="C816" s="6" t="n">
        <v>46267</v>
      </c>
      <c r="D816" s="4" t="s">
        <v>3389</v>
      </c>
      <c r="E816" s="4" t="s">
        <v>6595</v>
      </c>
      <c r="F816" s="7" t="n">
        <v>-40379.21</v>
      </c>
      <c r="G816" s="24" t="s">
        <v>5951</v>
      </c>
      <c r="H816" s="4" t="s">
        <v>3386</v>
      </c>
      <c r="I816" s="4"/>
    </row>
    <row r="817" customFormat="false" ht="15" hidden="false" customHeight="false" outlineLevel="0" collapsed="false">
      <c r="A817" s="4" t="s">
        <v>3392</v>
      </c>
      <c r="B817" s="23" t="n">
        <v>814</v>
      </c>
      <c r="C817" s="6" t="n">
        <v>46267</v>
      </c>
      <c r="D817" s="4" t="s">
        <v>3394</v>
      </c>
      <c r="E817" s="4" t="s">
        <v>6596</v>
      </c>
      <c r="F817" s="7" t="n">
        <v>-20225.93</v>
      </c>
      <c r="G817" s="24" t="s">
        <v>5951</v>
      </c>
      <c r="H817" s="4" t="s">
        <v>3391</v>
      </c>
      <c r="I817" s="4"/>
    </row>
    <row r="818" customFormat="false" ht="15" hidden="false" customHeight="false" outlineLevel="0" collapsed="false">
      <c r="A818" s="4" t="s">
        <v>1724</v>
      </c>
      <c r="B818" s="23" t="n">
        <v>815</v>
      </c>
      <c r="C818" s="6" t="n">
        <v>46267</v>
      </c>
      <c r="D818" s="4" t="s">
        <v>1726</v>
      </c>
      <c r="E818" s="4" t="s">
        <v>6597</v>
      </c>
      <c r="F818" s="7" t="n">
        <v>-21537.58</v>
      </c>
      <c r="G818" s="24" t="s">
        <v>5951</v>
      </c>
      <c r="H818" s="4" t="s">
        <v>1723</v>
      </c>
      <c r="I818" s="4"/>
    </row>
    <row r="819" customFormat="false" ht="15" hidden="false" customHeight="false" outlineLevel="0" collapsed="false">
      <c r="A819" s="4" t="s">
        <v>1729</v>
      </c>
      <c r="B819" s="23" t="n">
        <v>816</v>
      </c>
      <c r="C819" s="6" t="n">
        <v>46267</v>
      </c>
      <c r="D819" s="4" t="s">
        <v>1731</v>
      </c>
      <c r="E819" s="4" t="s">
        <v>6598</v>
      </c>
      <c r="F819" s="7" t="n">
        <v>-31748.02</v>
      </c>
      <c r="G819" s="24" t="s">
        <v>5951</v>
      </c>
      <c r="H819" s="4" t="s">
        <v>1728</v>
      </c>
      <c r="I819" s="4"/>
    </row>
    <row r="820" customFormat="false" ht="15" hidden="false" customHeight="false" outlineLevel="0" collapsed="false">
      <c r="A820" s="4" t="s">
        <v>3397</v>
      </c>
      <c r="B820" s="23" t="n">
        <v>817</v>
      </c>
      <c r="C820" s="6" t="n">
        <v>46267</v>
      </c>
      <c r="D820" s="4" t="s">
        <v>3399</v>
      </c>
      <c r="E820" s="4" t="s">
        <v>6599</v>
      </c>
      <c r="F820" s="7" t="n">
        <v>-26670.34</v>
      </c>
      <c r="G820" s="24" t="s">
        <v>5951</v>
      </c>
      <c r="H820" s="4" t="s">
        <v>3396</v>
      </c>
      <c r="I820" s="4"/>
    </row>
    <row r="821" customFormat="false" ht="15" hidden="false" customHeight="false" outlineLevel="0" collapsed="false">
      <c r="A821" s="4" t="s">
        <v>232</v>
      </c>
      <c r="B821" s="23" t="n">
        <v>818</v>
      </c>
      <c r="C821" s="6" t="n">
        <v>46267</v>
      </c>
      <c r="D821" s="4" t="s">
        <v>233</v>
      </c>
      <c r="E821" s="4"/>
      <c r="F821" s="7" t="n">
        <v>-9573.14</v>
      </c>
      <c r="G821" s="26" t="s">
        <v>6043</v>
      </c>
      <c r="H821" s="4"/>
      <c r="I821" s="4" t="s">
        <v>231</v>
      </c>
    </row>
    <row r="822" customFormat="false" ht="15" hidden="false" customHeight="false" outlineLevel="0" collapsed="false">
      <c r="A822" s="4" t="s">
        <v>1734</v>
      </c>
      <c r="B822" s="23" t="n">
        <v>819</v>
      </c>
      <c r="C822" s="6" t="n">
        <v>46268</v>
      </c>
      <c r="D822" s="4" t="s">
        <v>1736</v>
      </c>
      <c r="E822" s="4"/>
      <c r="F822" s="7" t="n">
        <v>8335.9</v>
      </c>
      <c r="G822" s="24" t="s">
        <v>5951</v>
      </c>
      <c r="H822" s="4" t="s">
        <v>1733</v>
      </c>
      <c r="I822" s="4"/>
    </row>
    <row r="823" customFormat="false" ht="15" hidden="false" customHeight="false" outlineLevel="0" collapsed="false">
      <c r="A823" s="4" t="s">
        <v>1739</v>
      </c>
      <c r="B823" s="23" t="n">
        <v>820</v>
      </c>
      <c r="C823" s="6" t="n">
        <v>46268</v>
      </c>
      <c r="D823" s="4" t="s">
        <v>1741</v>
      </c>
      <c r="E823" s="4" t="s">
        <v>6600</v>
      </c>
      <c r="F823" s="7" t="n">
        <v>79096.85</v>
      </c>
      <c r="G823" s="24" t="s">
        <v>5951</v>
      </c>
      <c r="H823" s="4" t="s">
        <v>1738</v>
      </c>
      <c r="I823" s="4"/>
    </row>
    <row r="824" customFormat="false" ht="15" hidden="false" customHeight="false" outlineLevel="0" collapsed="false">
      <c r="A824" s="4" t="s">
        <v>3402</v>
      </c>
      <c r="B824" s="23" t="n">
        <v>821</v>
      </c>
      <c r="C824" s="6" t="n">
        <v>46268</v>
      </c>
      <c r="D824" s="4" t="s">
        <v>3404</v>
      </c>
      <c r="E824" s="4" t="s">
        <v>6601</v>
      </c>
      <c r="F824" s="7" t="n">
        <v>72194.21</v>
      </c>
      <c r="G824" s="24" t="s">
        <v>5951</v>
      </c>
      <c r="H824" s="4" t="s">
        <v>3401</v>
      </c>
      <c r="I824" s="4"/>
    </row>
    <row r="825" customFormat="false" ht="15" hidden="false" customHeight="false" outlineLevel="0" collapsed="false">
      <c r="A825" s="4" t="s">
        <v>3407</v>
      </c>
      <c r="B825" s="23" t="n">
        <v>822</v>
      </c>
      <c r="C825" s="6" t="n">
        <v>46268</v>
      </c>
      <c r="D825" s="4" t="s">
        <v>3409</v>
      </c>
      <c r="E825" s="4" t="s">
        <v>6602</v>
      </c>
      <c r="F825" s="7" t="n">
        <v>29945.22</v>
      </c>
      <c r="G825" s="24" t="s">
        <v>5951</v>
      </c>
      <c r="H825" s="4" t="s">
        <v>3406</v>
      </c>
      <c r="I825" s="4"/>
    </row>
    <row r="826" customFormat="false" ht="15" hidden="false" customHeight="false" outlineLevel="0" collapsed="false">
      <c r="A826" s="4" t="s">
        <v>3412</v>
      </c>
      <c r="B826" s="23" t="n">
        <v>823</v>
      </c>
      <c r="C826" s="6" t="n">
        <v>46268</v>
      </c>
      <c r="D826" s="4" t="s">
        <v>3414</v>
      </c>
      <c r="E826" s="4" t="s">
        <v>6603</v>
      </c>
      <c r="F826" s="7" t="n">
        <v>54288.98</v>
      </c>
      <c r="G826" s="24" t="s">
        <v>5951</v>
      </c>
      <c r="H826" s="4" t="s">
        <v>3411</v>
      </c>
      <c r="I826" s="4"/>
    </row>
    <row r="827" customFormat="false" ht="15" hidden="false" customHeight="false" outlineLevel="0" collapsed="false">
      <c r="A827" s="4" t="s">
        <v>3417</v>
      </c>
      <c r="B827" s="23" t="n">
        <v>824</v>
      </c>
      <c r="C827" s="6" t="n">
        <v>46268</v>
      </c>
      <c r="D827" s="4" t="s">
        <v>3419</v>
      </c>
      <c r="E827" s="4" t="s">
        <v>6604</v>
      </c>
      <c r="F827" s="7" t="n">
        <v>87880.87</v>
      </c>
      <c r="G827" s="24" t="s">
        <v>5951</v>
      </c>
      <c r="H827" s="4" t="s">
        <v>3416</v>
      </c>
      <c r="I827" s="4"/>
    </row>
    <row r="828" customFormat="false" ht="15" hidden="false" customHeight="false" outlineLevel="0" collapsed="false">
      <c r="A828" s="4" t="s">
        <v>4376</v>
      </c>
      <c r="B828" s="23" t="n">
        <v>825</v>
      </c>
      <c r="C828" s="6" t="n">
        <v>46268</v>
      </c>
      <c r="D828" s="4" t="s">
        <v>4378</v>
      </c>
      <c r="E828" s="4" t="s">
        <v>6605</v>
      </c>
      <c r="F828" s="7" t="n">
        <v>82679.59</v>
      </c>
      <c r="G828" s="24" t="s">
        <v>5951</v>
      </c>
      <c r="H828" s="4" t="s">
        <v>4375</v>
      </c>
      <c r="I828" s="4"/>
    </row>
    <row r="829" customFormat="false" ht="15" hidden="false" customHeight="false" outlineLevel="0" collapsed="false">
      <c r="A829" s="4" t="s">
        <v>3422</v>
      </c>
      <c r="B829" s="23" t="n">
        <v>826</v>
      </c>
      <c r="C829" s="6" t="n">
        <v>46268</v>
      </c>
      <c r="D829" s="4" t="s">
        <v>3424</v>
      </c>
      <c r="E829" s="4" t="s">
        <v>6606</v>
      </c>
      <c r="F829" s="7" t="n">
        <v>81160.1</v>
      </c>
      <c r="G829" s="24" t="s">
        <v>5951</v>
      </c>
      <c r="H829" s="4" t="s">
        <v>3421</v>
      </c>
      <c r="I829" s="4"/>
    </row>
    <row r="830" customFormat="false" ht="15" hidden="false" customHeight="false" outlineLevel="0" collapsed="false">
      <c r="A830" s="4" t="s">
        <v>3427</v>
      </c>
      <c r="B830" s="23" t="n">
        <v>827</v>
      </c>
      <c r="C830" s="6" t="n">
        <v>46268</v>
      </c>
      <c r="D830" s="4" t="s">
        <v>3429</v>
      </c>
      <c r="E830" s="4" t="s">
        <v>6607</v>
      </c>
      <c r="F830" s="7" t="n">
        <v>26602.48</v>
      </c>
      <c r="G830" s="24" t="s">
        <v>5951</v>
      </c>
      <c r="H830" s="4" t="s">
        <v>3426</v>
      </c>
      <c r="I830" s="4"/>
    </row>
    <row r="831" customFormat="false" ht="15" hidden="false" customHeight="false" outlineLevel="0" collapsed="false">
      <c r="A831" s="4" t="s">
        <v>5215</v>
      </c>
      <c r="B831" s="23" t="n">
        <v>828</v>
      </c>
      <c r="C831" s="6" t="n">
        <v>46268</v>
      </c>
      <c r="D831" s="4" t="s">
        <v>5217</v>
      </c>
      <c r="E831" s="4" t="s">
        <v>6608</v>
      </c>
      <c r="F831" s="7" t="n">
        <v>-12879.51</v>
      </c>
      <c r="G831" s="24" t="s">
        <v>5951</v>
      </c>
      <c r="H831" s="4" t="s">
        <v>5214</v>
      </c>
      <c r="I831" s="4"/>
    </row>
    <row r="832" customFormat="false" ht="15" hidden="false" customHeight="false" outlineLevel="0" collapsed="false">
      <c r="A832" s="4" t="s">
        <v>5644</v>
      </c>
      <c r="B832" s="23" t="n">
        <v>829</v>
      </c>
      <c r="C832" s="6" t="n">
        <v>46268</v>
      </c>
      <c r="D832" s="4" t="s">
        <v>5646</v>
      </c>
      <c r="E832" s="4" t="s">
        <v>6609</v>
      </c>
      <c r="F832" s="7" t="n">
        <v>-21675.95</v>
      </c>
      <c r="G832" s="24" t="s">
        <v>5951</v>
      </c>
      <c r="H832" s="4" t="s">
        <v>5643</v>
      </c>
      <c r="I832" s="4"/>
    </row>
    <row r="833" customFormat="false" ht="15" hidden="false" customHeight="false" outlineLevel="0" collapsed="false">
      <c r="A833" s="4" t="s">
        <v>3432</v>
      </c>
      <c r="B833" s="23" t="n">
        <v>830</v>
      </c>
      <c r="C833" s="6" t="n">
        <v>46268</v>
      </c>
      <c r="D833" s="4" t="s">
        <v>3434</v>
      </c>
      <c r="E833" s="4" t="s">
        <v>6610</v>
      </c>
      <c r="F833" s="7" t="n">
        <v>-58948.7</v>
      </c>
      <c r="G833" s="24" t="s">
        <v>5951</v>
      </c>
      <c r="H833" s="4" t="s">
        <v>3431</v>
      </c>
      <c r="I833" s="4"/>
    </row>
    <row r="834" customFormat="false" ht="15" hidden="false" customHeight="false" outlineLevel="0" collapsed="false">
      <c r="A834" s="4" t="s">
        <v>5649</v>
      </c>
      <c r="B834" s="23" t="n">
        <v>831</v>
      </c>
      <c r="C834" s="6" t="n">
        <v>46268</v>
      </c>
      <c r="D834" s="4" t="s">
        <v>5651</v>
      </c>
      <c r="E834" s="4" t="s">
        <v>6611</v>
      </c>
      <c r="F834" s="7" t="n">
        <v>-22741.52</v>
      </c>
      <c r="G834" s="24" t="s">
        <v>5951</v>
      </c>
      <c r="H834" s="4" t="s">
        <v>5648</v>
      </c>
      <c r="I834" s="4"/>
    </row>
    <row r="835" customFormat="false" ht="15" hidden="false" customHeight="false" outlineLevel="0" collapsed="false">
      <c r="A835" s="4" t="s">
        <v>91</v>
      </c>
      <c r="B835" s="23" t="n">
        <v>832</v>
      </c>
      <c r="C835" s="6" t="n">
        <v>46268</v>
      </c>
      <c r="D835" s="4" t="s">
        <v>92</v>
      </c>
      <c r="E835" s="4"/>
      <c r="F835" s="7" t="n">
        <v>10992.86</v>
      </c>
      <c r="G835" s="26" t="s">
        <v>6043</v>
      </c>
      <c r="H835" s="4"/>
      <c r="I835" s="4" t="s">
        <v>90</v>
      </c>
    </row>
    <row r="836" customFormat="false" ht="15" hidden="false" customHeight="false" outlineLevel="0" collapsed="false">
      <c r="A836" s="4" t="s">
        <v>1744</v>
      </c>
      <c r="B836" s="23" t="n">
        <v>833</v>
      </c>
      <c r="C836" s="6" t="n">
        <v>46269</v>
      </c>
      <c r="D836" s="4" t="s">
        <v>152</v>
      </c>
      <c r="E836" s="4"/>
      <c r="F836" s="7" t="n">
        <v>60401.29</v>
      </c>
      <c r="G836" s="24" t="s">
        <v>5951</v>
      </c>
      <c r="H836" s="4" t="s">
        <v>1743</v>
      </c>
      <c r="I836" s="4"/>
    </row>
    <row r="837" customFormat="false" ht="15" hidden="false" customHeight="false" outlineLevel="0" collapsed="false">
      <c r="A837" s="4" t="s">
        <v>3437</v>
      </c>
      <c r="B837" s="23" t="n">
        <v>834</v>
      </c>
      <c r="C837" s="6" t="n">
        <v>46269</v>
      </c>
      <c r="D837" s="4" t="s">
        <v>3439</v>
      </c>
      <c r="E837" s="4" t="s">
        <v>6612</v>
      </c>
      <c r="F837" s="7" t="n">
        <v>84762.79</v>
      </c>
      <c r="G837" s="24" t="s">
        <v>5951</v>
      </c>
      <c r="H837" s="4" t="s">
        <v>3436</v>
      </c>
      <c r="I837" s="4"/>
    </row>
    <row r="838" customFormat="false" ht="15" hidden="false" customHeight="false" outlineLevel="0" collapsed="false">
      <c r="A838" s="4" t="s">
        <v>3442</v>
      </c>
      <c r="B838" s="23" t="n">
        <v>835</v>
      </c>
      <c r="C838" s="6" t="n">
        <v>46269</v>
      </c>
      <c r="D838" s="4" t="s">
        <v>3444</v>
      </c>
      <c r="E838" s="4" t="s">
        <v>6613</v>
      </c>
      <c r="F838" s="7" t="n">
        <v>10034.71</v>
      </c>
      <c r="G838" s="24" t="s">
        <v>5951</v>
      </c>
      <c r="H838" s="4" t="s">
        <v>3441</v>
      </c>
      <c r="I838" s="4"/>
    </row>
    <row r="839" customFormat="false" ht="15" hidden="false" customHeight="false" outlineLevel="0" collapsed="false">
      <c r="A839" s="4" t="s">
        <v>1748</v>
      </c>
      <c r="B839" s="23" t="n">
        <v>836</v>
      </c>
      <c r="C839" s="6" t="n">
        <v>46269</v>
      </c>
      <c r="D839" s="4" t="s">
        <v>1750</v>
      </c>
      <c r="E839" s="4" t="s">
        <v>6614</v>
      </c>
      <c r="F839" s="7" t="n">
        <v>9910.73</v>
      </c>
      <c r="G839" s="24" t="s">
        <v>5951</v>
      </c>
      <c r="H839" s="4" t="s">
        <v>1747</v>
      </c>
      <c r="I839" s="4"/>
    </row>
    <row r="840" customFormat="false" ht="15" hidden="false" customHeight="false" outlineLevel="0" collapsed="false">
      <c r="A840" s="4" t="s">
        <v>3447</v>
      </c>
      <c r="B840" s="23" t="n">
        <v>837</v>
      </c>
      <c r="C840" s="6" t="n">
        <v>46269</v>
      </c>
      <c r="D840" s="4" t="s">
        <v>3449</v>
      </c>
      <c r="E840" s="4"/>
      <c r="F840" s="7" t="n">
        <v>36805.4</v>
      </c>
      <c r="G840" s="24" t="s">
        <v>5951</v>
      </c>
      <c r="H840" s="4" t="s">
        <v>3446</v>
      </c>
      <c r="I840" s="4"/>
    </row>
    <row r="841" customFormat="false" ht="15" hidden="false" customHeight="false" outlineLevel="0" collapsed="false">
      <c r="A841" s="4" t="s">
        <v>1753</v>
      </c>
      <c r="B841" s="23" t="n">
        <v>838</v>
      </c>
      <c r="C841" s="6" t="n">
        <v>46269</v>
      </c>
      <c r="D841" s="4" t="s">
        <v>1755</v>
      </c>
      <c r="E841" s="4"/>
      <c r="F841" s="7" t="n">
        <v>70480.18</v>
      </c>
      <c r="G841" s="24" t="s">
        <v>5951</v>
      </c>
      <c r="H841" s="4" t="s">
        <v>1752</v>
      </c>
      <c r="I841" s="4"/>
    </row>
    <row r="842" customFormat="false" ht="15" hidden="false" customHeight="false" outlineLevel="0" collapsed="false">
      <c r="A842" s="4" t="s">
        <v>1758</v>
      </c>
      <c r="B842" s="23" t="n">
        <v>839</v>
      </c>
      <c r="C842" s="6" t="n">
        <v>46269</v>
      </c>
      <c r="D842" s="4" t="s">
        <v>1760</v>
      </c>
      <c r="E842" s="4" t="s">
        <v>6615</v>
      </c>
      <c r="F842" s="7" t="n">
        <v>19909.84</v>
      </c>
      <c r="G842" s="24" t="s">
        <v>5951</v>
      </c>
      <c r="H842" s="4" t="s">
        <v>1757</v>
      </c>
      <c r="I842" s="4"/>
    </row>
    <row r="843" customFormat="false" ht="15" hidden="false" customHeight="false" outlineLevel="0" collapsed="false">
      <c r="A843" s="4" t="s">
        <v>3452</v>
      </c>
      <c r="B843" s="23" t="n">
        <v>840</v>
      </c>
      <c r="C843" s="6" t="n">
        <v>46269</v>
      </c>
      <c r="D843" s="4" t="s">
        <v>3454</v>
      </c>
      <c r="E843" s="4" t="s">
        <v>6616</v>
      </c>
      <c r="F843" s="7" t="n">
        <v>93554.38</v>
      </c>
      <c r="G843" s="24" t="s">
        <v>5951</v>
      </c>
      <c r="H843" s="4" t="s">
        <v>3451</v>
      </c>
      <c r="I843" s="4"/>
    </row>
    <row r="844" customFormat="false" ht="15" hidden="false" customHeight="false" outlineLevel="0" collapsed="false">
      <c r="A844" s="4" t="s">
        <v>1763</v>
      </c>
      <c r="B844" s="23" t="n">
        <v>841</v>
      </c>
      <c r="C844" s="6" t="n">
        <v>46269</v>
      </c>
      <c r="D844" s="4" t="s">
        <v>1765</v>
      </c>
      <c r="E844" s="4" t="s">
        <v>6617</v>
      </c>
      <c r="F844" s="7" t="n">
        <v>48521.93</v>
      </c>
      <c r="G844" s="24" t="s">
        <v>5951</v>
      </c>
      <c r="H844" s="4" t="s">
        <v>1762</v>
      </c>
      <c r="I844" s="4"/>
    </row>
    <row r="845" customFormat="false" ht="15" hidden="false" customHeight="false" outlineLevel="0" collapsed="false">
      <c r="A845" s="4" t="s">
        <v>3457</v>
      </c>
      <c r="B845" s="23" t="n">
        <v>842</v>
      </c>
      <c r="C845" s="6" t="n">
        <v>46269</v>
      </c>
      <c r="D845" s="4" t="s">
        <v>3459</v>
      </c>
      <c r="E845" s="4"/>
      <c r="F845" s="7" t="n">
        <v>48410.46</v>
      </c>
      <c r="G845" s="24" t="s">
        <v>5951</v>
      </c>
      <c r="H845" s="4" t="s">
        <v>3456</v>
      </c>
      <c r="I845" s="4"/>
    </row>
    <row r="846" customFormat="false" ht="15" hidden="false" customHeight="false" outlineLevel="0" collapsed="false">
      <c r="A846" s="4" t="s">
        <v>1768</v>
      </c>
      <c r="B846" s="23" t="n">
        <v>843</v>
      </c>
      <c r="C846" s="6" t="n">
        <v>46269</v>
      </c>
      <c r="D846" s="4" t="s">
        <v>1770</v>
      </c>
      <c r="E846" s="4" t="s">
        <v>6618</v>
      </c>
      <c r="F846" s="7" t="n">
        <v>-59444.12</v>
      </c>
      <c r="G846" s="24" t="s">
        <v>5951</v>
      </c>
      <c r="H846" s="4" t="s">
        <v>1767</v>
      </c>
      <c r="I846" s="4"/>
    </row>
    <row r="847" customFormat="false" ht="15" hidden="false" customHeight="false" outlineLevel="0" collapsed="false">
      <c r="A847" s="4" t="s">
        <v>5654</v>
      </c>
      <c r="B847" s="23" t="n">
        <v>844</v>
      </c>
      <c r="C847" s="6" t="n">
        <v>46269</v>
      </c>
      <c r="D847" s="4" t="s">
        <v>5656</v>
      </c>
      <c r="E847" s="4" t="s">
        <v>6619</v>
      </c>
      <c r="F847" s="7" t="n">
        <v>-54570.45</v>
      </c>
      <c r="G847" s="24" t="s">
        <v>5951</v>
      </c>
      <c r="H847" s="4" t="s">
        <v>5653</v>
      </c>
      <c r="I847" s="4"/>
    </row>
    <row r="848" customFormat="false" ht="15" hidden="false" customHeight="false" outlineLevel="0" collapsed="false">
      <c r="A848" s="4" t="s">
        <v>5832</v>
      </c>
      <c r="B848" s="23" t="n">
        <v>845</v>
      </c>
      <c r="C848" s="6" t="n">
        <v>46269</v>
      </c>
      <c r="D848" s="4" t="s">
        <v>5806</v>
      </c>
      <c r="E848" s="4"/>
      <c r="F848" s="7" t="n">
        <v>-5487.52</v>
      </c>
      <c r="G848" s="24" t="s">
        <v>5951</v>
      </c>
      <c r="H848" s="4" t="s">
        <v>5831</v>
      </c>
      <c r="I848" s="4"/>
    </row>
    <row r="849" customFormat="false" ht="15" hidden="false" customHeight="false" outlineLevel="0" collapsed="false">
      <c r="A849" s="4" t="s">
        <v>150</v>
      </c>
      <c r="B849" s="23" t="n">
        <v>846</v>
      </c>
      <c r="C849" s="6" t="n">
        <v>46269</v>
      </c>
      <c r="D849" s="4" t="s">
        <v>152</v>
      </c>
      <c r="E849" s="4"/>
      <c r="F849" s="7" t="n">
        <v>60401.29</v>
      </c>
      <c r="G849" s="26" t="s">
        <v>6043</v>
      </c>
      <c r="H849" s="4"/>
      <c r="I849" s="4" t="s">
        <v>149</v>
      </c>
    </row>
    <row r="850" customFormat="false" ht="15" hidden="false" customHeight="false" outlineLevel="0" collapsed="false">
      <c r="A850" s="4" t="s">
        <v>3462</v>
      </c>
      <c r="B850" s="23" t="n">
        <v>847</v>
      </c>
      <c r="C850" s="6" t="n">
        <v>46270</v>
      </c>
      <c r="D850" s="4" t="s">
        <v>3464</v>
      </c>
      <c r="E850" s="4" t="s">
        <v>6620</v>
      </c>
      <c r="F850" s="7" t="n">
        <v>68781.01</v>
      </c>
      <c r="G850" s="24" t="s">
        <v>5951</v>
      </c>
      <c r="H850" s="4" t="s">
        <v>3461</v>
      </c>
      <c r="I850" s="4"/>
    </row>
    <row r="851" customFormat="false" ht="15" hidden="false" customHeight="false" outlineLevel="0" collapsed="false">
      <c r="A851" s="4" t="s">
        <v>4381</v>
      </c>
      <c r="B851" s="23" t="n">
        <v>848</v>
      </c>
      <c r="C851" s="6" t="n">
        <v>46270</v>
      </c>
      <c r="D851" s="4" t="s">
        <v>4383</v>
      </c>
      <c r="E851" s="4" t="s">
        <v>6621</v>
      </c>
      <c r="F851" s="7" t="n">
        <v>36133.36</v>
      </c>
      <c r="G851" s="24" t="s">
        <v>5951</v>
      </c>
      <c r="H851" s="4" t="s">
        <v>4380</v>
      </c>
      <c r="I851" s="4"/>
    </row>
    <row r="852" customFormat="false" ht="15" hidden="false" customHeight="false" outlineLevel="0" collapsed="false">
      <c r="A852" s="4" t="s">
        <v>3467</v>
      </c>
      <c r="B852" s="23" t="n">
        <v>849</v>
      </c>
      <c r="C852" s="6" t="n">
        <v>46270</v>
      </c>
      <c r="D852" s="4" t="s">
        <v>3469</v>
      </c>
      <c r="E852" s="4" t="s">
        <v>6622</v>
      </c>
      <c r="F852" s="7" t="n">
        <v>91063.01</v>
      </c>
      <c r="G852" s="24" t="s">
        <v>5951</v>
      </c>
      <c r="H852" s="4" t="s">
        <v>3466</v>
      </c>
      <c r="I852" s="4"/>
    </row>
    <row r="853" customFormat="false" ht="15" hidden="false" customHeight="false" outlineLevel="0" collapsed="false">
      <c r="A853" s="4" t="s">
        <v>1773</v>
      </c>
      <c r="B853" s="23" t="n">
        <v>850</v>
      </c>
      <c r="C853" s="6" t="n">
        <v>46270</v>
      </c>
      <c r="D853" s="4" t="s">
        <v>1775</v>
      </c>
      <c r="E853" s="4"/>
      <c r="F853" s="7" t="n">
        <v>36017.93</v>
      </c>
      <c r="G853" s="24" t="s">
        <v>5951</v>
      </c>
      <c r="H853" s="4" t="s">
        <v>1772</v>
      </c>
      <c r="I853" s="4"/>
    </row>
    <row r="854" customFormat="false" ht="15" hidden="false" customHeight="false" outlineLevel="0" collapsed="false">
      <c r="A854" s="4" t="s">
        <v>1778</v>
      </c>
      <c r="B854" s="23" t="n">
        <v>851</v>
      </c>
      <c r="C854" s="6" t="n">
        <v>46270</v>
      </c>
      <c r="D854" s="4" t="s">
        <v>1780</v>
      </c>
      <c r="E854" s="4" t="s">
        <v>6623</v>
      </c>
      <c r="F854" s="7" t="n">
        <v>7926.89</v>
      </c>
      <c r="G854" s="24" t="s">
        <v>5951</v>
      </c>
      <c r="H854" s="4" t="s">
        <v>1777</v>
      </c>
      <c r="I854" s="4"/>
    </row>
    <row r="855" customFormat="false" ht="15" hidden="false" customHeight="false" outlineLevel="0" collapsed="false">
      <c r="A855" s="4" t="s">
        <v>3472</v>
      </c>
      <c r="B855" s="23" t="n">
        <v>852</v>
      </c>
      <c r="C855" s="6" t="n">
        <v>46270</v>
      </c>
      <c r="D855" s="4" t="s">
        <v>3474</v>
      </c>
      <c r="E855" s="4"/>
      <c r="F855" s="7" t="n">
        <v>8551.21</v>
      </c>
      <c r="G855" s="24" t="s">
        <v>5951</v>
      </c>
      <c r="H855" s="4" t="s">
        <v>3471</v>
      </c>
      <c r="I855" s="4"/>
    </row>
    <row r="856" customFormat="false" ht="15" hidden="false" customHeight="false" outlineLevel="0" collapsed="false">
      <c r="A856" s="4" t="s">
        <v>1783</v>
      </c>
      <c r="B856" s="23" t="n">
        <v>853</v>
      </c>
      <c r="C856" s="6" t="n">
        <v>46270</v>
      </c>
      <c r="D856" s="4" t="s">
        <v>1785</v>
      </c>
      <c r="E856" s="4" t="s">
        <v>6624</v>
      </c>
      <c r="F856" s="7" t="n">
        <v>28460.77</v>
      </c>
      <c r="G856" s="24" t="s">
        <v>5951</v>
      </c>
      <c r="H856" s="4" t="s">
        <v>1782</v>
      </c>
      <c r="I856" s="4"/>
    </row>
    <row r="857" customFormat="false" ht="15" hidden="false" customHeight="false" outlineLevel="0" collapsed="false">
      <c r="A857" s="4" t="s">
        <v>3477</v>
      </c>
      <c r="B857" s="23" t="n">
        <v>854</v>
      </c>
      <c r="C857" s="6" t="n">
        <v>46270</v>
      </c>
      <c r="D857" s="4" t="s">
        <v>3479</v>
      </c>
      <c r="E857" s="4" t="s">
        <v>6625</v>
      </c>
      <c r="F857" s="7" t="n">
        <v>-49648.74</v>
      </c>
      <c r="G857" s="24" t="s">
        <v>5951</v>
      </c>
      <c r="H857" s="4" t="s">
        <v>3476</v>
      </c>
      <c r="I857" s="4"/>
    </row>
    <row r="858" customFormat="false" ht="15" hidden="false" customHeight="false" outlineLevel="0" collapsed="false">
      <c r="A858" s="4" t="s">
        <v>4821</v>
      </c>
      <c r="B858" s="23" t="n">
        <v>855</v>
      </c>
      <c r="C858" s="6" t="n">
        <v>46270</v>
      </c>
      <c r="D858" s="4" t="s">
        <v>4823</v>
      </c>
      <c r="E858" s="4" t="s">
        <v>6626</v>
      </c>
      <c r="F858" s="7" t="n">
        <v>-56723.55</v>
      </c>
      <c r="G858" s="24" t="s">
        <v>5951</v>
      </c>
      <c r="H858" s="4" t="s">
        <v>4820</v>
      </c>
      <c r="I858" s="4"/>
    </row>
    <row r="859" customFormat="false" ht="15" hidden="false" customHeight="false" outlineLevel="0" collapsed="false">
      <c r="A859" s="4" t="s">
        <v>5659</v>
      </c>
      <c r="B859" s="23" t="n">
        <v>856</v>
      </c>
      <c r="C859" s="6" t="n">
        <v>46270</v>
      </c>
      <c r="D859" s="4" t="s">
        <v>5661</v>
      </c>
      <c r="E859" s="4" t="s">
        <v>6627</v>
      </c>
      <c r="F859" s="7" t="n">
        <v>-57192.21</v>
      </c>
      <c r="G859" s="24" t="s">
        <v>5951</v>
      </c>
      <c r="H859" s="4" t="s">
        <v>5658</v>
      </c>
      <c r="I859" s="4"/>
    </row>
    <row r="860" customFormat="false" ht="15" hidden="false" customHeight="false" outlineLevel="0" collapsed="false">
      <c r="A860" s="4" t="s">
        <v>4386</v>
      </c>
      <c r="B860" s="23" t="n">
        <v>857</v>
      </c>
      <c r="C860" s="6" t="n">
        <v>46271</v>
      </c>
      <c r="D860" s="4" t="s">
        <v>4388</v>
      </c>
      <c r="E860" s="4" t="s">
        <v>6628</v>
      </c>
      <c r="F860" s="7" t="n">
        <v>28501.07</v>
      </c>
      <c r="G860" s="24" t="s">
        <v>5951</v>
      </c>
      <c r="H860" s="4" t="s">
        <v>4385</v>
      </c>
      <c r="I860" s="4"/>
    </row>
    <row r="861" customFormat="false" ht="15" hidden="false" customHeight="false" outlineLevel="0" collapsed="false">
      <c r="A861" s="4" t="s">
        <v>1788</v>
      </c>
      <c r="B861" s="23" t="n">
        <v>858</v>
      </c>
      <c r="C861" s="6" t="n">
        <v>46271</v>
      </c>
      <c r="D861" s="4" t="s">
        <v>1790</v>
      </c>
      <c r="E861" s="4" t="s">
        <v>6629</v>
      </c>
      <c r="F861" s="7" t="n">
        <v>60837.74</v>
      </c>
      <c r="G861" s="24" t="s">
        <v>5951</v>
      </c>
      <c r="H861" s="4" t="s">
        <v>1787</v>
      </c>
      <c r="I861" s="4"/>
    </row>
    <row r="862" customFormat="false" ht="15" hidden="false" customHeight="false" outlineLevel="0" collapsed="false">
      <c r="A862" s="4" t="s">
        <v>1793</v>
      </c>
      <c r="B862" s="23" t="n">
        <v>859</v>
      </c>
      <c r="C862" s="6" t="n">
        <v>46271</v>
      </c>
      <c r="D862" s="4" t="s">
        <v>1795</v>
      </c>
      <c r="E862" s="4" t="s">
        <v>6630</v>
      </c>
      <c r="F862" s="7" t="n">
        <v>11458.66</v>
      </c>
      <c r="G862" s="24" t="s">
        <v>5951</v>
      </c>
      <c r="H862" s="4" t="s">
        <v>1792</v>
      </c>
      <c r="I862" s="4"/>
    </row>
    <row r="863" customFormat="false" ht="15" hidden="false" customHeight="false" outlineLevel="0" collapsed="false">
      <c r="A863" s="4" t="s">
        <v>3482</v>
      </c>
      <c r="B863" s="23" t="n">
        <v>860</v>
      </c>
      <c r="C863" s="6" t="n">
        <v>46271</v>
      </c>
      <c r="D863" s="4" t="s">
        <v>3484</v>
      </c>
      <c r="E863" s="4" t="s">
        <v>6631</v>
      </c>
      <c r="F863" s="7" t="n">
        <v>29758.8</v>
      </c>
      <c r="G863" s="24" t="s">
        <v>5951</v>
      </c>
      <c r="H863" s="4" t="s">
        <v>3481</v>
      </c>
      <c r="I863" s="4"/>
    </row>
    <row r="864" customFormat="false" ht="15" hidden="false" customHeight="false" outlineLevel="0" collapsed="false">
      <c r="A864" s="4" t="s">
        <v>3487</v>
      </c>
      <c r="B864" s="23" t="n">
        <v>861</v>
      </c>
      <c r="C864" s="6" t="n">
        <v>46271</v>
      </c>
      <c r="D864" s="4" t="s">
        <v>3489</v>
      </c>
      <c r="E864" s="4" t="s">
        <v>6632</v>
      </c>
      <c r="F864" s="7" t="n">
        <v>3923.34</v>
      </c>
      <c r="G864" s="24" t="s">
        <v>5951</v>
      </c>
      <c r="H864" s="4" t="s">
        <v>3486</v>
      </c>
      <c r="I864" s="4"/>
    </row>
    <row r="865" customFormat="false" ht="15" hidden="false" customHeight="false" outlineLevel="0" collapsed="false">
      <c r="A865" s="4" t="s">
        <v>3492</v>
      </c>
      <c r="B865" s="23" t="n">
        <v>862</v>
      </c>
      <c r="C865" s="6" t="n">
        <v>46271</v>
      </c>
      <c r="D865" s="4" t="s">
        <v>3494</v>
      </c>
      <c r="E865" s="4" t="s">
        <v>6633</v>
      </c>
      <c r="F865" s="7" t="n">
        <v>87294.82</v>
      </c>
      <c r="G865" s="24" t="s">
        <v>5951</v>
      </c>
      <c r="H865" s="4" t="s">
        <v>3491</v>
      </c>
      <c r="I865" s="4"/>
    </row>
    <row r="866" customFormat="false" ht="15" hidden="false" customHeight="false" outlineLevel="0" collapsed="false">
      <c r="A866" s="4" t="s">
        <v>5220</v>
      </c>
      <c r="B866" s="23" t="n">
        <v>863</v>
      </c>
      <c r="C866" s="6" t="n">
        <v>46271</v>
      </c>
      <c r="D866" s="4" t="s">
        <v>5222</v>
      </c>
      <c r="E866" s="4" t="s">
        <v>6634</v>
      </c>
      <c r="F866" s="7" t="n">
        <v>-12200.7</v>
      </c>
      <c r="G866" s="24" t="s">
        <v>5951</v>
      </c>
      <c r="H866" s="4" t="s">
        <v>5219</v>
      </c>
      <c r="I866" s="4"/>
    </row>
    <row r="867" customFormat="false" ht="15" hidden="false" customHeight="false" outlineLevel="0" collapsed="false">
      <c r="A867" s="4" t="s">
        <v>5664</v>
      </c>
      <c r="B867" s="23" t="n">
        <v>864</v>
      </c>
      <c r="C867" s="6" t="n">
        <v>46271</v>
      </c>
      <c r="D867" s="4" t="s">
        <v>5666</v>
      </c>
      <c r="E867" s="4" t="s">
        <v>6635</v>
      </c>
      <c r="F867" s="7" t="n">
        <v>-41330.8</v>
      </c>
      <c r="G867" s="24" t="s">
        <v>5951</v>
      </c>
      <c r="H867" s="4" t="s">
        <v>5663</v>
      </c>
      <c r="I867" s="4"/>
    </row>
    <row r="868" customFormat="false" ht="15" hidden="false" customHeight="false" outlineLevel="0" collapsed="false">
      <c r="A868" s="4" t="s">
        <v>1798</v>
      </c>
      <c r="B868" s="23" t="n">
        <v>865</v>
      </c>
      <c r="C868" s="6" t="n">
        <v>46272</v>
      </c>
      <c r="D868" s="4" t="s">
        <v>1800</v>
      </c>
      <c r="E868" s="4" t="s">
        <v>6636</v>
      </c>
      <c r="F868" s="7" t="n">
        <v>9664.14</v>
      </c>
      <c r="G868" s="24" t="s">
        <v>5951</v>
      </c>
      <c r="H868" s="4" t="s">
        <v>1797</v>
      </c>
      <c r="I868" s="4"/>
    </row>
    <row r="869" customFormat="false" ht="15" hidden="false" customHeight="false" outlineLevel="0" collapsed="false">
      <c r="A869" s="4" t="s">
        <v>3497</v>
      </c>
      <c r="B869" s="23" t="n">
        <v>866</v>
      </c>
      <c r="C869" s="6" t="n">
        <v>46272</v>
      </c>
      <c r="D869" s="4" t="s">
        <v>3499</v>
      </c>
      <c r="E869" s="4"/>
      <c r="F869" s="7" t="n">
        <v>21879.78</v>
      </c>
      <c r="G869" s="24" t="s">
        <v>5951</v>
      </c>
      <c r="H869" s="4" t="s">
        <v>3496</v>
      </c>
      <c r="I869" s="4"/>
    </row>
    <row r="870" customFormat="false" ht="15" hidden="false" customHeight="false" outlineLevel="0" collapsed="false">
      <c r="A870" s="4" t="s">
        <v>1803</v>
      </c>
      <c r="B870" s="23" t="n">
        <v>867</v>
      </c>
      <c r="C870" s="6" t="n">
        <v>46272</v>
      </c>
      <c r="D870" s="4" t="s">
        <v>1805</v>
      </c>
      <c r="E870" s="4" t="s">
        <v>6637</v>
      </c>
      <c r="F870" s="7" t="n">
        <v>4733.34</v>
      </c>
      <c r="G870" s="24" t="s">
        <v>5951</v>
      </c>
      <c r="H870" s="4" t="s">
        <v>1802</v>
      </c>
      <c r="I870" s="4"/>
    </row>
    <row r="871" customFormat="false" ht="15" hidden="false" customHeight="false" outlineLevel="0" collapsed="false">
      <c r="A871" s="4" t="s">
        <v>3502</v>
      </c>
      <c r="B871" s="23" t="n">
        <v>868</v>
      </c>
      <c r="C871" s="6" t="n">
        <v>46272</v>
      </c>
      <c r="D871" s="4" t="s">
        <v>3504</v>
      </c>
      <c r="E871" s="4" t="s">
        <v>6638</v>
      </c>
      <c r="F871" s="7" t="n">
        <v>16040.14</v>
      </c>
      <c r="G871" s="24" t="s">
        <v>5951</v>
      </c>
      <c r="H871" s="4" t="s">
        <v>3501</v>
      </c>
      <c r="I871" s="4"/>
    </row>
    <row r="872" customFormat="false" ht="15" hidden="false" customHeight="false" outlineLevel="0" collapsed="false">
      <c r="A872" s="4" t="s">
        <v>3507</v>
      </c>
      <c r="B872" s="23" t="n">
        <v>869</v>
      </c>
      <c r="C872" s="6" t="n">
        <v>46272</v>
      </c>
      <c r="D872" s="4" t="s">
        <v>3509</v>
      </c>
      <c r="E872" s="4" t="s">
        <v>6639</v>
      </c>
      <c r="F872" s="7" t="n">
        <v>9728.69</v>
      </c>
      <c r="G872" s="24" t="s">
        <v>5951</v>
      </c>
      <c r="H872" s="4" t="s">
        <v>3506</v>
      </c>
      <c r="I872" s="4"/>
    </row>
    <row r="873" customFormat="false" ht="15" hidden="false" customHeight="false" outlineLevel="0" collapsed="false">
      <c r="A873" s="4" t="s">
        <v>3512</v>
      </c>
      <c r="B873" s="23" t="n">
        <v>870</v>
      </c>
      <c r="C873" s="6" t="n">
        <v>46272</v>
      </c>
      <c r="D873" s="4" t="s">
        <v>3514</v>
      </c>
      <c r="E873" s="4" t="s">
        <v>6640</v>
      </c>
      <c r="F873" s="7" t="n">
        <v>60635.49</v>
      </c>
      <c r="G873" s="24" t="s">
        <v>5951</v>
      </c>
      <c r="H873" s="4" t="s">
        <v>3511</v>
      </c>
      <c r="I873" s="4"/>
    </row>
    <row r="874" customFormat="false" ht="15" hidden="false" customHeight="false" outlineLevel="0" collapsed="false">
      <c r="A874" s="4" t="s">
        <v>1808</v>
      </c>
      <c r="B874" s="23" t="n">
        <v>871</v>
      </c>
      <c r="C874" s="6" t="n">
        <v>46272</v>
      </c>
      <c r="D874" s="4" t="s">
        <v>1810</v>
      </c>
      <c r="E874" s="4" t="s">
        <v>6641</v>
      </c>
      <c r="F874" s="7" t="n">
        <v>90820.42</v>
      </c>
      <c r="G874" s="24" t="s">
        <v>5951</v>
      </c>
      <c r="H874" s="4" t="s">
        <v>1807</v>
      </c>
      <c r="I874" s="4"/>
    </row>
    <row r="875" customFormat="false" ht="15" hidden="false" customHeight="false" outlineLevel="0" collapsed="false">
      <c r="A875" s="4" t="s">
        <v>3517</v>
      </c>
      <c r="B875" s="23" t="n">
        <v>872</v>
      </c>
      <c r="C875" s="6" t="n">
        <v>46272</v>
      </c>
      <c r="D875" s="4" t="s">
        <v>3519</v>
      </c>
      <c r="E875" s="4" t="s">
        <v>6642</v>
      </c>
      <c r="F875" s="7" t="n">
        <v>-40750.39</v>
      </c>
      <c r="G875" s="24" t="s">
        <v>5951</v>
      </c>
      <c r="H875" s="4" t="s">
        <v>3516</v>
      </c>
      <c r="I875" s="4"/>
    </row>
    <row r="876" customFormat="false" ht="15" hidden="false" customHeight="false" outlineLevel="0" collapsed="false">
      <c r="A876" s="4" t="s">
        <v>4826</v>
      </c>
      <c r="B876" s="23" t="n">
        <v>873</v>
      </c>
      <c r="C876" s="6" t="n">
        <v>46272</v>
      </c>
      <c r="D876" s="4" t="s">
        <v>4828</v>
      </c>
      <c r="E876" s="4" t="s">
        <v>6643</v>
      </c>
      <c r="F876" s="7" t="n">
        <v>-20929.63</v>
      </c>
      <c r="G876" s="24" t="s">
        <v>5951</v>
      </c>
      <c r="H876" s="4" t="s">
        <v>4825</v>
      </c>
      <c r="I876" s="4"/>
    </row>
    <row r="877" customFormat="false" ht="15" hidden="false" customHeight="false" outlineLevel="0" collapsed="false">
      <c r="A877" s="4" t="s">
        <v>4391</v>
      </c>
      <c r="B877" s="23" t="n">
        <v>874</v>
      </c>
      <c r="C877" s="6" t="n">
        <v>46272</v>
      </c>
      <c r="D877" s="4" t="s">
        <v>4393</v>
      </c>
      <c r="E877" s="4" t="s">
        <v>6644</v>
      </c>
      <c r="F877" s="7" t="n">
        <v>-30124.56</v>
      </c>
      <c r="G877" s="24" t="s">
        <v>5951</v>
      </c>
      <c r="H877" s="4" t="s">
        <v>4390</v>
      </c>
      <c r="I877" s="4"/>
    </row>
    <row r="878" customFormat="false" ht="15" hidden="false" customHeight="false" outlineLevel="0" collapsed="false">
      <c r="A878" s="4" t="s">
        <v>3522</v>
      </c>
      <c r="B878" s="23" t="n">
        <v>875</v>
      </c>
      <c r="C878" s="6" t="n">
        <v>46272</v>
      </c>
      <c r="D878" s="4" t="s">
        <v>3524</v>
      </c>
      <c r="E878" s="4" t="s">
        <v>6645</v>
      </c>
      <c r="F878" s="7" t="n">
        <v>-31673.94</v>
      </c>
      <c r="G878" s="24" t="s">
        <v>5951</v>
      </c>
      <c r="H878" s="4" t="s">
        <v>3521</v>
      </c>
      <c r="I878" s="4"/>
    </row>
    <row r="879" customFormat="false" ht="15" hidden="false" customHeight="false" outlineLevel="0" collapsed="false">
      <c r="A879" s="4" t="s">
        <v>4396</v>
      </c>
      <c r="B879" s="23" t="n">
        <v>876</v>
      </c>
      <c r="C879" s="6" t="n">
        <v>46272</v>
      </c>
      <c r="D879" s="4" t="s">
        <v>4398</v>
      </c>
      <c r="E879" s="4" t="s">
        <v>6646</v>
      </c>
      <c r="F879" s="7" t="n">
        <v>-37553.36</v>
      </c>
      <c r="G879" s="24" t="s">
        <v>5951</v>
      </c>
      <c r="H879" s="4" t="s">
        <v>4395</v>
      </c>
      <c r="I879" s="4"/>
    </row>
    <row r="880" customFormat="false" ht="15" hidden="false" customHeight="false" outlineLevel="0" collapsed="false">
      <c r="A880" s="4" t="s">
        <v>449</v>
      </c>
      <c r="B880" s="23" t="n">
        <v>877</v>
      </c>
      <c r="C880" s="6" t="n">
        <v>46272</v>
      </c>
      <c r="D880" s="4" t="s">
        <v>5884</v>
      </c>
      <c r="E880" s="4" t="s">
        <v>451</v>
      </c>
      <c r="F880" s="7" t="n">
        <v>79611.11</v>
      </c>
      <c r="G880" s="25" t="s">
        <v>5987</v>
      </c>
      <c r="H880" s="4" t="s">
        <v>5883</v>
      </c>
      <c r="I880" s="4" t="s">
        <v>448</v>
      </c>
    </row>
    <row r="881" customFormat="false" ht="15" hidden="false" customHeight="false" outlineLevel="0" collapsed="false">
      <c r="A881" s="4" t="s">
        <v>517</v>
      </c>
      <c r="B881" s="23" t="n">
        <v>878</v>
      </c>
      <c r="C881" s="6" t="n">
        <v>46272</v>
      </c>
      <c r="D881" s="4" t="s">
        <v>5918</v>
      </c>
      <c r="E881" s="4"/>
      <c r="F881" s="7" t="n">
        <v>-439.6</v>
      </c>
      <c r="G881" s="25" t="s">
        <v>5987</v>
      </c>
      <c r="H881" s="4" t="s">
        <v>5917</v>
      </c>
      <c r="I881" s="4" t="s">
        <v>516</v>
      </c>
    </row>
    <row r="882" customFormat="false" ht="15" hidden="false" customHeight="false" outlineLevel="0" collapsed="false">
      <c r="A882" s="4" t="s">
        <v>3527</v>
      </c>
      <c r="B882" s="23" t="n">
        <v>879</v>
      </c>
      <c r="C882" s="6" t="n">
        <v>46273</v>
      </c>
      <c r="D882" s="4" t="s">
        <v>3529</v>
      </c>
      <c r="E882" s="4" t="s">
        <v>6647</v>
      </c>
      <c r="F882" s="7" t="n">
        <v>48670.13</v>
      </c>
      <c r="G882" s="24" t="s">
        <v>5951</v>
      </c>
      <c r="H882" s="4" t="s">
        <v>3526</v>
      </c>
      <c r="I882" s="4"/>
    </row>
    <row r="883" customFormat="false" ht="15" hidden="false" customHeight="false" outlineLevel="0" collapsed="false">
      <c r="A883" s="4" t="s">
        <v>3532</v>
      </c>
      <c r="B883" s="23" t="n">
        <v>880</v>
      </c>
      <c r="C883" s="6" t="n">
        <v>46273</v>
      </c>
      <c r="D883" s="4" t="s">
        <v>3534</v>
      </c>
      <c r="E883" s="4" t="s">
        <v>6648</v>
      </c>
      <c r="F883" s="7" t="n">
        <v>16402.23</v>
      </c>
      <c r="G883" s="24" t="s">
        <v>5951</v>
      </c>
      <c r="H883" s="4" t="s">
        <v>3531</v>
      </c>
      <c r="I883" s="4"/>
    </row>
    <row r="884" customFormat="false" ht="15" hidden="false" customHeight="false" outlineLevel="0" collapsed="false">
      <c r="A884" s="4" t="s">
        <v>4401</v>
      </c>
      <c r="B884" s="23" t="n">
        <v>881</v>
      </c>
      <c r="C884" s="6" t="n">
        <v>46273</v>
      </c>
      <c r="D884" s="4" t="s">
        <v>4403</v>
      </c>
      <c r="E884" s="4" t="s">
        <v>6649</v>
      </c>
      <c r="F884" s="7" t="n">
        <v>65774.49</v>
      </c>
      <c r="G884" s="24" t="s">
        <v>5951</v>
      </c>
      <c r="H884" s="4" t="s">
        <v>4400</v>
      </c>
      <c r="I884" s="4"/>
    </row>
    <row r="885" customFormat="false" ht="15" hidden="false" customHeight="false" outlineLevel="0" collapsed="false">
      <c r="A885" s="4" t="s">
        <v>4406</v>
      </c>
      <c r="B885" s="23" t="n">
        <v>882</v>
      </c>
      <c r="C885" s="6" t="n">
        <v>46273</v>
      </c>
      <c r="D885" s="4" t="s">
        <v>4408</v>
      </c>
      <c r="E885" s="4" t="s">
        <v>6650</v>
      </c>
      <c r="F885" s="7" t="n">
        <v>-38050.52</v>
      </c>
      <c r="G885" s="24" t="s">
        <v>5951</v>
      </c>
      <c r="H885" s="4" t="s">
        <v>4405</v>
      </c>
      <c r="I885" s="4"/>
    </row>
    <row r="886" customFormat="false" ht="15" hidden="false" customHeight="false" outlineLevel="0" collapsed="false">
      <c r="A886" s="4" t="s">
        <v>4831</v>
      </c>
      <c r="B886" s="23" t="n">
        <v>883</v>
      </c>
      <c r="C886" s="6" t="n">
        <v>46273</v>
      </c>
      <c r="D886" s="4" t="s">
        <v>4833</v>
      </c>
      <c r="E886" s="4" t="s">
        <v>6651</v>
      </c>
      <c r="F886" s="7" t="n">
        <v>-10646.88</v>
      </c>
      <c r="G886" s="24" t="s">
        <v>5951</v>
      </c>
      <c r="H886" s="4" t="s">
        <v>4830</v>
      </c>
      <c r="I886" s="4"/>
    </row>
    <row r="887" customFormat="false" ht="15" hidden="false" customHeight="false" outlineLevel="0" collapsed="false">
      <c r="A887" s="4" t="s">
        <v>5669</v>
      </c>
      <c r="B887" s="23" t="n">
        <v>884</v>
      </c>
      <c r="C887" s="6" t="n">
        <v>46273</v>
      </c>
      <c r="D887" s="4" t="s">
        <v>5671</v>
      </c>
      <c r="E887" s="4" t="s">
        <v>6652</v>
      </c>
      <c r="F887" s="7" t="n">
        <v>-55847.42</v>
      </c>
      <c r="G887" s="24" t="s">
        <v>5951</v>
      </c>
      <c r="H887" s="4" t="s">
        <v>5668</v>
      </c>
      <c r="I887" s="4"/>
    </row>
    <row r="888" customFormat="false" ht="15" hidden="false" customHeight="false" outlineLevel="0" collapsed="false">
      <c r="A888" s="4" t="s">
        <v>1813</v>
      </c>
      <c r="B888" s="23" t="n">
        <v>885</v>
      </c>
      <c r="C888" s="6" t="n">
        <v>46273</v>
      </c>
      <c r="D888" s="4" t="s">
        <v>1815</v>
      </c>
      <c r="E888" s="4" t="s">
        <v>6653</v>
      </c>
      <c r="F888" s="7" t="n">
        <v>-53915.02</v>
      </c>
      <c r="G888" s="24" t="s">
        <v>5951</v>
      </c>
      <c r="H888" s="4" t="s">
        <v>1812</v>
      </c>
      <c r="I888" s="4"/>
    </row>
    <row r="889" customFormat="false" ht="15" hidden="false" customHeight="false" outlineLevel="0" collapsed="false">
      <c r="A889" s="4" t="s">
        <v>4411</v>
      </c>
      <c r="B889" s="23" t="n">
        <v>886</v>
      </c>
      <c r="C889" s="6" t="n">
        <v>46273</v>
      </c>
      <c r="D889" s="4" t="s">
        <v>4413</v>
      </c>
      <c r="E889" s="4" t="s">
        <v>6654</v>
      </c>
      <c r="F889" s="7" t="n">
        <v>-55676.06</v>
      </c>
      <c r="G889" s="24" t="s">
        <v>5951</v>
      </c>
      <c r="H889" s="4" t="s">
        <v>4410</v>
      </c>
      <c r="I889" s="4"/>
    </row>
    <row r="890" customFormat="false" ht="15" hidden="false" customHeight="false" outlineLevel="0" collapsed="false">
      <c r="A890" s="4" t="s">
        <v>5835</v>
      </c>
      <c r="B890" s="23" t="n">
        <v>887</v>
      </c>
      <c r="C890" s="6" t="n">
        <v>46273</v>
      </c>
      <c r="D890" s="4" t="s">
        <v>5782</v>
      </c>
      <c r="E890" s="4"/>
      <c r="F890" s="7" t="n">
        <v>-7043.03</v>
      </c>
      <c r="G890" s="24" t="s">
        <v>5951</v>
      </c>
      <c r="H890" s="4" t="s">
        <v>5834</v>
      </c>
      <c r="I890" s="4"/>
    </row>
    <row r="891" customFormat="false" ht="15" hidden="false" customHeight="false" outlineLevel="0" collapsed="false">
      <c r="A891" s="4" t="s">
        <v>244</v>
      </c>
      <c r="B891" s="23" t="n">
        <v>888</v>
      </c>
      <c r="C891" s="6" t="n">
        <v>46273</v>
      </c>
      <c r="D891" s="4" t="s">
        <v>245</v>
      </c>
      <c r="E891" s="4"/>
      <c r="F891" s="7" t="n">
        <v>-5292.31</v>
      </c>
      <c r="G891" s="26" t="s">
        <v>6043</v>
      </c>
      <c r="H891" s="4"/>
      <c r="I891" s="4" t="s">
        <v>243</v>
      </c>
    </row>
    <row r="892" customFormat="false" ht="15" hidden="false" customHeight="false" outlineLevel="0" collapsed="false">
      <c r="A892" s="4" t="s">
        <v>1818</v>
      </c>
      <c r="B892" s="23" t="n">
        <v>889</v>
      </c>
      <c r="C892" s="6" t="n">
        <v>46274</v>
      </c>
      <c r="D892" s="4" t="s">
        <v>1820</v>
      </c>
      <c r="E892" s="4" t="s">
        <v>6655</v>
      </c>
      <c r="F892" s="7" t="n">
        <v>70443.4</v>
      </c>
      <c r="G892" s="24" t="s">
        <v>5951</v>
      </c>
      <c r="H892" s="4" t="s">
        <v>1817</v>
      </c>
      <c r="I892" s="4"/>
    </row>
    <row r="893" customFormat="false" ht="15" hidden="false" customHeight="false" outlineLevel="0" collapsed="false">
      <c r="A893" s="4" t="s">
        <v>1823</v>
      </c>
      <c r="B893" s="23" t="n">
        <v>890</v>
      </c>
      <c r="C893" s="6" t="n">
        <v>46274</v>
      </c>
      <c r="D893" s="4" t="s">
        <v>1825</v>
      </c>
      <c r="E893" s="4" t="s">
        <v>6656</v>
      </c>
      <c r="F893" s="7" t="n">
        <v>89544.34</v>
      </c>
      <c r="G893" s="24" t="s">
        <v>5951</v>
      </c>
      <c r="H893" s="4" t="s">
        <v>1822</v>
      </c>
      <c r="I893" s="4"/>
    </row>
    <row r="894" customFormat="false" ht="15" hidden="false" customHeight="false" outlineLevel="0" collapsed="false">
      <c r="A894" s="4" t="s">
        <v>1828</v>
      </c>
      <c r="B894" s="23" t="n">
        <v>891</v>
      </c>
      <c r="C894" s="6" t="n">
        <v>46274</v>
      </c>
      <c r="D894" s="4" t="s">
        <v>1830</v>
      </c>
      <c r="E894" s="4" t="s">
        <v>6657</v>
      </c>
      <c r="F894" s="7" t="n">
        <v>77688.04</v>
      </c>
      <c r="G894" s="24" t="s">
        <v>5951</v>
      </c>
      <c r="H894" s="4" t="s">
        <v>1827</v>
      </c>
      <c r="I894" s="4"/>
    </row>
    <row r="895" customFormat="false" ht="15" hidden="false" customHeight="false" outlineLevel="0" collapsed="false">
      <c r="A895" s="4" t="s">
        <v>1833</v>
      </c>
      <c r="B895" s="23" t="n">
        <v>892</v>
      </c>
      <c r="C895" s="6" t="n">
        <v>46274</v>
      </c>
      <c r="D895" s="4" t="s">
        <v>1835</v>
      </c>
      <c r="E895" s="4" t="s">
        <v>6658</v>
      </c>
      <c r="F895" s="7" t="n">
        <v>39367.3</v>
      </c>
      <c r="G895" s="24" t="s">
        <v>5951</v>
      </c>
      <c r="H895" s="4" t="s">
        <v>1832</v>
      </c>
      <c r="I895" s="4"/>
    </row>
    <row r="896" customFormat="false" ht="15" hidden="false" customHeight="false" outlineLevel="0" collapsed="false">
      <c r="A896" s="4" t="s">
        <v>1838</v>
      </c>
      <c r="B896" s="23" t="n">
        <v>893</v>
      </c>
      <c r="C896" s="6" t="n">
        <v>46274</v>
      </c>
      <c r="D896" s="4" t="s">
        <v>1840</v>
      </c>
      <c r="E896" s="4" t="s">
        <v>6659</v>
      </c>
      <c r="F896" s="7" t="n">
        <v>41859.75</v>
      </c>
      <c r="G896" s="24" t="s">
        <v>5951</v>
      </c>
      <c r="H896" s="4" t="s">
        <v>1837</v>
      </c>
      <c r="I896" s="4"/>
    </row>
    <row r="897" customFormat="false" ht="15" hidden="false" customHeight="false" outlineLevel="0" collapsed="false">
      <c r="A897" s="4" t="s">
        <v>5225</v>
      </c>
      <c r="B897" s="23" t="n">
        <v>894</v>
      </c>
      <c r="C897" s="6" t="n">
        <v>46274</v>
      </c>
      <c r="D897" s="4" t="s">
        <v>5227</v>
      </c>
      <c r="E897" s="4" t="s">
        <v>6660</v>
      </c>
      <c r="F897" s="7" t="n">
        <v>-59900.49</v>
      </c>
      <c r="G897" s="24" t="s">
        <v>5951</v>
      </c>
      <c r="H897" s="4" t="s">
        <v>5224</v>
      </c>
      <c r="I897" s="4"/>
    </row>
    <row r="898" customFormat="false" ht="15" hidden="false" customHeight="false" outlineLevel="0" collapsed="false">
      <c r="A898" s="4" t="s">
        <v>1843</v>
      </c>
      <c r="B898" s="23" t="n">
        <v>895</v>
      </c>
      <c r="C898" s="6" t="n">
        <v>46274</v>
      </c>
      <c r="D898" s="4" t="s">
        <v>1845</v>
      </c>
      <c r="E898" s="4" t="s">
        <v>6661</v>
      </c>
      <c r="F898" s="7" t="n">
        <v>-42782.95</v>
      </c>
      <c r="G898" s="24" t="s">
        <v>5951</v>
      </c>
      <c r="H898" s="4" t="s">
        <v>1842</v>
      </c>
      <c r="I898" s="4"/>
    </row>
    <row r="899" customFormat="false" ht="15" hidden="false" customHeight="false" outlineLevel="0" collapsed="false">
      <c r="A899" s="4" t="s">
        <v>5230</v>
      </c>
      <c r="B899" s="23" t="n">
        <v>896</v>
      </c>
      <c r="C899" s="6" t="n">
        <v>46274</v>
      </c>
      <c r="D899" s="4" t="s">
        <v>5232</v>
      </c>
      <c r="E899" s="4" t="s">
        <v>6662</v>
      </c>
      <c r="F899" s="7" t="n">
        <v>-9148.56</v>
      </c>
      <c r="G899" s="24" t="s">
        <v>5951</v>
      </c>
      <c r="H899" s="4" t="s">
        <v>5229</v>
      </c>
      <c r="I899" s="4"/>
    </row>
    <row r="900" customFormat="false" ht="15" hidden="false" customHeight="false" outlineLevel="0" collapsed="false">
      <c r="A900" s="4" t="s">
        <v>5674</v>
      </c>
      <c r="B900" s="23" t="n">
        <v>897</v>
      </c>
      <c r="C900" s="6" t="n">
        <v>46274</v>
      </c>
      <c r="D900" s="4" t="s">
        <v>5676</v>
      </c>
      <c r="E900" s="4" t="s">
        <v>6663</v>
      </c>
      <c r="F900" s="7" t="n">
        <v>-14738.35</v>
      </c>
      <c r="G900" s="24" t="s">
        <v>5951</v>
      </c>
      <c r="H900" s="4" t="s">
        <v>5673</v>
      </c>
      <c r="I900" s="4"/>
    </row>
    <row r="901" customFormat="false" ht="15" hidden="false" customHeight="false" outlineLevel="0" collapsed="false">
      <c r="A901" s="4" t="s">
        <v>5235</v>
      </c>
      <c r="B901" s="23" t="n">
        <v>898</v>
      </c>
      <c r="C901" s="6" t="n">
        <v>46274</v>
      </c>
      <c r="D901" s="4" t="s">
        <v>5237</v>
      </c>
      <c r="E901" s="4" t="s">
        <v>6664</v>
      </c>
      <c r="F901" s="7" t="n">
        <v>-17056.64</v>
      </c>
      <c r="G901" s="24" t="s">
        <v>5951</v>
      </c>
      <c r="H901" s="4" t="s">
        <v>5234</v>
      </c>
      <c r="I901" s="4"/>
    </row>
    <row r="902" customFormat="false" ht="15" hidden="false" customHeight="false" outlineLevel="0" collapsed="false">
      <c r="A902" s="4" t="s">
        <v>4836</v>
      </c>
      <c r="B902" s="23" t="n">
        <v>899</v>
      </c>
      <c r="C902" s="6" t="n">
        <v>46274</v>
      </c>
      <c r="D902" s="4" t="s">
        <v>4838</v>
      </c>
      <c r="E902" s="4" t="s">
        <v>6665</v>
      </c>
      <c r="F902" s="7" t="n">
        <v>-58249.98</v>
      </c>
      <c r="G902" s="24" t="s">
        <v>5951</v>
      </c>
      <c r="H902" s="4" t="s">
        <v>4835</v>
      </c>
      <c r="I902" s="4"/>
    </row>
    <row r="903" customFormat="false" ht="15" hidden="false" customHeight="false" outlineLevel="0" collapsed="false">
      <c r="A903" s="4" t="s">
        <v>5240</v>
      </c>
      <c r="B903" s="23" t="n">
        <v>900</v>
      </c>
      <c r="C903" s="6" t="n">
        <v>46274</v>
      </c>
      <c r="D903" s="4" t="s">
        <v>5242</v>
      </c>
      <c r="E903" s="4" t="s">
        <v>6666</v>
      </c>
      <c r="F903" s="7" t="n">
        <v>-21720.47</v>
      </c>
      <c r="G903" s="24" t="s">
        <v>5951</v>
      </c>
      <c r="H903" s="4" t="s">
        <v>5239</v>
      </c>
      <c r="I903" s="4"/>
    </row>
    <row r="904" customFormat="false" ht="15" hidden="false" customHeight="false" outlineLevel="0" collapsed="false">
      <c r="A904" s="4" t="s">
        <v>4841</v>
      </c>
      <c r="B904" s="23" t="n">
        <v>901</v>
      </c>
      <c r="C904" s="6" t="n">
        <v>46274</v>
      </c>
      <c r="D904" s="4" t="s">
        <v>4843</v>
      </c>
      <c r="E904" s="4" t="s">
        <v>6667</v>
      </c>
      <c r="F904" s="7" t="n">
        <v>-23074.48</v>
      </c>
      <c r="G904" s="24" t="s">
        <v>5951</v>
      </c>
      <c r="H904" s="4" t="s">
        <v>4840</v>
      </c>
      <c r="I904" s="4"/>
    </row>
    <row r="905" customFormat="false" ht="15" hidden="false" customHeight="false" outlineLevel="0" collapsed="false">
      <c r="A905" s="4" t="s">
        <v>1848</v>
      </c>
      <c r="B905" s="23" t="n">
        <v>902</v>
      </c>
      <c r="C905" s="6" t="n">
        <v>46275</v>
      </c>
      <c r="D905" s="4" t="s">
        <v>1850</v>
      </c>
      <c r="E905" s="4"/>
      <c r="F905" s="7" t="n">
        <v>55524.06</v>
      </c>
      <c r="G905" s="24" t="s">
        <v>5951</v>
      </c>
      <c r="H905" s="4" t="s">
        <v>1847</v>
      </c>
      <c r="I905" s="4"/>
    </row>
    <row r="906" customFormat="false" ht="15" hidden="false" customHeight="false" outlineLevel="0" collapsed="false">
      <c r="A906" s="4" t="s">
        <v>1853</v>
      </c>
      <c r="B906" s="23" t="n">
        <v>903</v>
      </c>
      <c r="C906" s="6" t="n">
        <v>46275</v>
      </c>
      <c r="D906" s="4" t="s">
        <v>1855</v>
      </c>
      <c r="E906" s="4"/>
      <c r="F906" s="7" t="n">
        <v>74437.09</v>
      </c>
      <c r="G906" s="24" t="s">
        <v>5951</v>
      </c>
      <c r="H906" s="4" t="s">
        <v>1852</v>
      </c>
      <c r="I906" s="4"/>
    </row>
    <row r="907" customFormat="false" ht="15" hidden="false" customHeight="false" outlineLevel="0" collapsed="false">
      <c r="A907" s="4" t="s">
        <v>3537</v>
      </c>
      <c r="B907" s="23" t="n">
        <v>904</v>
      </c>
      <c r="C907" s="6" t="n">
        <v>46275</v>
      </c>
      <c r="D907" s="4" t="s">
        <v>3539</v>
      </c>
      <c r="E907" s="4"/>
      <c r="F907" s="7" t="n">
        <v>33261.21</v>
      </c>
      <c r="G907" s="24" t="s">
        <v>5951</v>
      </c>
      <c r="H907" s="4" t="s">
        <v>3536</v>
      </c>
      <c r="I907" s="4"/>
    </row>
    <row r="908" customFormat="false" ht="15" hidden="false" customHeight="false" outlineLevel="0" collapsed="false">
      <c r="A908" s="4" t="s">
        <v>3542</v>
      </c>
      <c r="B908" s="23" t="n">
        <v>905</v>
      </c>
      <c r="C908" s="6" t="n">
        <v>46275</v>
      </c>
      <c r="D908" s="4" t="s">
        <v>3544</v>
      </c>
      <c r="E908" s="4" t="s">
        <v>6668</v>
      </c>
      <c r="F908" s="7" t="n">
        <v>58155.82</v>
      </c>
      <c r="G908" s="24" t="s">
        <v>5951</v>
      </c>
      <c r="H908" s="4" t="s">
        <v>3541</v>
      </c>
      <c r="I908" s="4"/>
    </row>
    <row r="909" customFormat="false" ht="15" hidden="false" customHeight="false" outlineLevel="0" collapsed="false">
      <c r="A909" s="4" t="s">
        <v>1858</v>
      </c>
      <c r="B909" s="23" t="n">
        <v>906</v>
      </c>
      <c r="C909" s="6" t="n">
        <v>46275</v>
      </c>
      <c r="D909" s="4" t="s">
        <v>1860</v>
      </c>
      <c r="E909" s="4" t="s">
        <v>6669</v>
      </c>
      <c r="F909" s="7" t="n">
        <v>94182.6</v>
      </c>
      <c r="G909" s="24" t="s">
        <v>5951</v>
      </c>
      <c r="H909" s="4" t="s">
        <v>1857</v>
      </c>
      <c r="I909" s="4"/>
    </row>
    <row r="910" customFormat="false" ht="15" hidden="false" customHeight="false" outlineLevel="0" collapsed="false">
      <c r="A910" s="4" t="s">
        <v>4416</v>
      </c>
      <c r="B910" s="23" t="n">
        <v>907</v>
      </c>
      <c r="C910" s="6" t="n">
        <v>46275</v>
      </c>
      <c r="D910" s="4" t="s">
        <v>4418</v>
      </c>
      <c r="E910" s="4"/>
      <c r="F910" s="7" t="n">
        <v>84475.32</v>
      </c>
      <c r="G910" s="24" t="s">
        <v>5951</v>
      </c>
      <c r="H910" s="4" t="s">
        <v>4415</v>
      </c>
      <c r="I910" s="4"/>
    </row>
    <row r="911" customFormat="false" ht="15" hidden="false" customHeight="false" outlineLevel="0" collapsed="false">
      <c r="A911" s="4" t="s">
        <v>3547</v>
      </c>
      <c r="B911" s="23" t="n">
        <v>908</v>
      </c>
      <c r="C911" s="6" t="n">
        <v>46275</v>
      </c>
      <c r="D911" s="4" t="s">
        <v>3549</v>
      </c>
      <c r="E911" s="4" t="s">
        <v>6670</v>
      </c>
      <c r="F911" s="7" t="n">
        <v>81308.79</v>
      </c>
      <c r="G911" s="24" t="s">
        <v>5951</v>
      </c>
      <c r="H911" s="4" t="s">
        <v>3546</v>
      </c>
      <c r="I911" s="4"/>
    </row>
    <row r="912" customFormat="false" ht="15" hidden="false" customHeight="false" outlineLevel="0" collapsed="false">
      <c r="A912" s="4" t="s">
        <v>3552</v>
      </c>
      <c r="B912" s="23" t="n">
        <v>909</v>
      </c>
      <c r="C912" s="6" t="n">
        <v>46275</v>
      </c>
      <c r="D912" s="4" t="s">
        <v>167</v>
      </c>
      <c r="E912" s="4" t="s">
        <v>166</v>
      </c>
      <c r="F912" s="7" t="n">
        <v>10825.85</v>
      </c>
      <c r="G912" s="24" t="s">
        <v>5951</v>
      </c>
      <c r="H912" s="4" t="s">
        <v>3551</v>
      </c>
      <c r="I912" s="4"/>
    </row>
    <row r="913" customFormat="false" ht="15" hidden="false" customHeight="false" outlineLevel="0" collapsed="false">
      <c r="A913" s="4" t="s">
        <v>1863</v>
      </c>
      <c r="B913" s="23" t="n">
        <v>910</v>
      </c>
      <c r="C913" s="6" t="n">
        <v>46275</v>
      </c>
      <c r="D913" s="4" t="s">
        <v>1865</v>
      </c>
      <c r="E913" s="4" t="s">
        <v>6671</v>
      </c>
      <c r="F913" s="7" t="n">
        <v>-17725.59</v>
      </c>
      <c r="G913" s="24" t="s">
        <v>5951</v>
      </c>
      <c r="H913" s="4" t="s">
        <v>1862</v>
      </c>
      <c r="I913" s="4"/>
    </row>
    <row r="914" customFormat="false" ht="15" hidden="false" customHeight="false" outlineLevel="0" collapsed="false">
      <c r="A914" s="4" t="s">
        <v>4421</v>
      </c>
      <c r="B914" s="23" t="n">
        <v>911</v>
      </c>
      <c r="C914" s="6" t="n">
        <v>46275</v>
      </c>
      <c r="D914" s="4" t="s">
        <v>4423</v>
      </c>
      <c r="E914" s="4" t="s">
        <v>6672</v>
      </c>
      <c r="F914" s="7" t="n">
        <v>-11793.61</v>
      </c>
      <c r="G914" s="24" t="s">
        <v>5951</v>
      </c>
      <c r="H914" s="4" t="s">
        <v>4420</v>
      </c>
      <c r="I914" s="4"/>
    </row>
    <row r="915" customFormat="false" ht="15" hidden="false" customHeight="false" outlineLevel="0" collapsed="false">
      <c r="A915" s="4" t="s">
        <v>5245</v>
      </c>
      <c r="B915" s="23" t="n">
        <v>912</v>
      </c>
      <c r="C915" s="6" t="n">
        <v>46275</v>
      </c>
      <c r="D915" s="4" t="s">
        <v>5247</v>
      </c>
      <c r="E915" s="4" t="s">
        <v>6673</v>
      </c>
      <c r="F915" s="7" t="n">
        <v>-34353.17</v>
      </c>
      <c r="G915" s="24" t="s">
        <v>5951</v>
      </c>
      <c r="H915" s="4" t="s">
        <v>5244</v>
      </c>
      <c r="I915" s="4"/>
    </row>
    <row r="916" customFormat="false" ht="15" hidden="false" customHeight="false" outlineLevel="0" collapsed="false">
      <c r="A916" s="4" t="s">
        <v>4426</v>
      </c>
      <c r="B916" s="23" t="n">
        <v>913</v>
      </c>
      <c r="C916" s="6" t="n">
        <v>46275</v>
      </c>
      <c r="D916" s="4" t="s">
        <v>4428</v>
      </c>
      <c r="E916" s="4" t="s">
        <v>6674</v>
      </c>
      <c r="F916" s="7" t="n">
        <v>-18739.12</v>
      </c>
      <c r="G916" s="24" t="s">
        <v>5951</v>
      </c>
      <c r="H916" s="4" t="s">
        <v>4425</v>
      </c>
      <c r="I916" s="4"/>
    </row>
    <row r="917" customFormat="false" ht="15" hidden="false" customHeight="false" outlineLevel="0" collapsed="false">
      <c r="A917" s="4" t="s">
        <v>5793</v>
      </c>
      <c r="B917" s="23" t="n">
        <v>914</v>
      </c>
      <c r="C917" s="6" t="n">
        <v>46275</v>
      </c>
      <c r="D917" s="4" t="s">
        <v>5787</v>
      </c>
      <c r="E917" s="4"/>
      <c r="F917" s="7" t="n">
        <v>-4064.25</v>
      </c>
      <c r="G917" s="24" t="s">
        <v>5951</v>
      </c>
      <c r="H917" s="4" t="s">
        <v>5792</v>
      </c>
      <c r="I917" s="4"/>
    </row>
    <row r="918" customFormat="false" ht="15" hidden="false" customHeight="false" outlineLevel="0" collapsed="false">
      <c r="A918" s="4" t="s">
        <v>165</v>
      </c>
      <c r="B918" s="23" t="n">
        <v>915</v>
      </c>
      <c r="C918" s="6" t="n">
        <v>46275</v>
      </c>
      <c r="D918" s="4" t="s">
        <v>167</v>
      </c>
      <c r="E918" s="4" t="s">
        <v>166</v>
      </c>
      <c r="F918" s="7" t="n">
        <v>10825.85</v>
      </c>
      <c r="G918" s="26" t="s">
        <v>6043</v>
      </c>
      <c r="H918" s="4"/>
      <c r="I918" s="4" t="s">
        <v>164</v>
      </c>
    </row>
    <row r="919" customFormat="false" ht="15" hidden="false" customHeight="false" outlineLevel="0" collapsed="false">
      <c r="A919" s="4" t="s">
        <v>236</v>
      </c>
      <c r="B919" s="23" t="n">
        <v>916</v>
      </c>
      <c r="C919" s="6" t="n">
        <v>46275</v>
      </c>
      <c r="D919" s="4" t="s">
        <v>237</v>
      </c>
      <c r="E919" s="4"/>
      <c r="F919" s="7" t="n">
        <v>8934.87</v>
      </c>
      <c r="G919" s="26" t="s">
        <v>6043</v>
      </c>
      <c r="H919" s="4"/>
      <c r="I919" s="4" t="s">
        <v>235</v>
      </c>
    </row>
    <row r="920" customFormat="false" ht="15" hidden="false" customHeight="false" outlineLevel="0" collapsed="false">
      <c r="A920" s="4" t="s">
        <v>1868</v>
      </c>
      <c r="B920" s="23" t="n">
        <v>917</v>
      </c>
      <c r="C920" s="6" t="n">
        <v>46276</v>
      </c>
      <c r="D920" s="4" t="s">
        <v>1870</v>
      </c>
      <c r="E920" s="4" t="s">
        <v>6675</v>
      </c>
      <c r="F920" s="7" t="n">
        <v>42055.77</v>
      </c>
      <c r="G920" s="24" t="s">
        <v>5951</v>
      </c>
      <c r="H920" s="4" t="s">
        <v>1867</v>
      </c>
      <c r="I920" s="4"/>
    </row>
    <row r="921" customFormat="false" ht="15" hidden="false" customHeight="false" outlineLevel="0" collapsed="false">
      <c r="A921" s="4" t="s">
        <v>1873</v>
      </c>
      <c r="B921" s="23" t="n">
        <v>918</v>
      </c>
      <c r="C921" s="6" t="n">
        <v>46276</v>
      </c>
      <c r="D921" s="4" t="s">
        <v>1875</v>
      </c>
      <c r="E921" s="4" t="s">
        <v>6676</v>
      </c>
      <c r="F921" s="7" t="n">
        <v>68514.19</v>
      </c>
      <c r="G921" s="24" t="s">
        <v>5951</v>
      </c>
      <c r="H921" s="4" t="s">
        <v>1872</v>
      </c>
      <c r="I921" s="4"/>
    </row>
    <row r="922" customFormat="false" ht="15" hidden="false" customHeight="false" outlineLevel="0" collapsed="false">
      <c r="A922" s="4" t="s">
        <v>3556</v>
      </c>
      <c r="B922" s="23" t="n">
        <v>919</v>
      </c>
      <c r="C922" s="6" t="n">
        <v>46276</v>
      </c>
      <c r="D922" s="4" t="s">
        <v>3558</v>
      </c>
      <c r="E922" s="4" t="s">
        <v>6677</v>
      </c>
      <c r="F922" s="7" t="n">
        <v>74757.19</v>
      </c>
      <c r="G922" s="24" t="s">
        <v>5951</v>
      </c>
      <c r="H922" s="4" t="s">
        <v>3555</v>
      </c>
      <c r="I922" s="4"/>
    </row>
    <row r="923" customFormat="false" ht="15" hidden="false" customHeight="false" outlineLevel="0" collapsed="false">
      <c r="A923" s="4" t="s">
        <v>4431</v>
      </c>
      <c r="B923" s="23" t="n">
        <v>920</v>
      </c>
      <c r="C923" s="6" t="n">
        <v>46276</v>
      </c>
      <c r="D923" s="4" t="s">
        <v>4433</v>
      </c>
      <c r="E923" s="4"/>
      <c r="F923" s="7" t="n">
        <v>35237.49</v>
      </c>
      <c r="G923" s="24" t="s">
        <v>5951</v>
      </c>
      <c r="H923" s="4" t="s">
        <v>4430</v>
      </c>
      <c r="I923" s="4"/>
    </row>
    <row r="924" customFormat="false" ht="15" hidden="false" customHeight="false" outlineLevel="0" collapsed="false">
      <c r="A924" s="4" t="s">
        <v>3561</v>
      </c>
      <c r="B924" s="23" t="n">
        <v>921</v>
      </c>
      <c r="C924" s="6" t="n">
        <v>46276</v>
      </c>
      <c r="D924" s="4" t="s">
        <v>3563</v>
      </c>
      <c r="E924" s="4"/>
      <c r="F924" s="7" t="n">
        <v>30676.94</v>
      </c>
      <c r="G924" s="24" t="s">
        <v>5951</v>
      </c>
      <c r="H924" s="4" t="s">
        <v>3560</v>
      </c>
      <c r="I924" s="4"/>
    </row>
    <row r="925" customFormat="false" ht="15" hidden="false" customHeight="false" outlineLevel="0" collapsed="false">
      <c r="A925" s="4" t="s">
        <v>4436</v>
      </c>
      <c r="B925" s="23" t="n">
        <v>922</v>
      </c>
      <c r="C925" s="6" t="n">
        <v>46276</v>
      </c>
      <c r="D925" s="4" t="s">
        <v>4438</v>
      </c>
      <c r="E925" s="4" t="s">
        <v>6678</v>
      </c>
      <c r="F925" s="7" t="n">
        <v>6115.46</v>
      </c>
      <c r="G925" s="24" t="s">
        <v>5951</v>
      </c>
      <c r="H925" s="4" t="s">
        <v>4435</v>
      </c>
      <c r="I925" s="4"/>
    </row>
    <row r="926" customFormat="false" ht="15" hidden="false" customHeight="false" outlineLevel="0" collapsed="false">
      <c r="A926" s="4" t="s">
        <v>3566</v>
      </c>
      <c r="B926" s="23" t="n">
        <v>923</v>
      </c>
      <c r="C926" s="6" t="n">
        <v>46276</v>
      </c>
      <c r="D926" s="4" t="s">
        <v>3568</v>
      </c>
      <c r="E926" s="4" t="s">
        <v>6679</v>
      </c>
      <c r="F926" s="7" t="n">
        <v>8164.01</v>
      </c>
      <c r="G926" s="24" t="s">
        <v>5951</v>
      </c>
      <c r="H926" s="4" t="s">
        <v>3565</v>
      </c>
      <c r="I926" s="4"/>
    </row>
    <row r="927" customFormat="false" ht="15" hidden="false" customHeight="false" outlineLevel="0" collapsed="false">
      <c r="A927" s="4" t="s">
        <v>1878</v>
      </c>
      <c r="B927" s="23" t="n">
        <v>924</v>
      </c>
      <c r="C927" s="6" t="n">
        <v>46276</v>
      </c>
      <c r="D927" s="4" t="s">
        <v>1880</v>
      </c>
      <c r="E927" s="4" t="s">
        <v>6680</v>
      </c>
      <c r="F927" s="7" t="n">
        <v>7426.77</v>
      </c>
      <c r="G927" s="24" t="s">
        <v>5951</v>
      </c>
      <c r="H927" s="4" t="s">
        <v>1877</v>
      </c>
      <c r="I927" s="4"/>
    </row>
    <row r="928" customFormat="false" ht="15" hidden="false" customHeight="false" outlineLevel="0" collapsed="false">
      <c r="A928" s="4" t="s">
        <v>1883</v>
      </c>
      <c r="B928" s="23" t="n">
        <v>925</v>
      </c>
      <c r="C928" s="6" t="n">
        <v>46276</v>
      </c>
      <c r="D928" s="4" t="s">
        <v>1885</v>
      </c>
      <c r="E928" s="4" t="s">
        <v>6681</v>
      </c>
      <c r="F928" s="7" t="n">
        <v>4635.49</v>
      </c>
      <c r="G928" s="24" t="s">
        <v>5951</v>
      </c>
      <c r="H928" s="4" t="s">
        <v>1882</v>
      </c>
      <c r="I928" s="4"/>
    </row>
    <row r="929" customFormat="false" ht="15" hidden="false" customHeight="false" outlineLevel="0" collapsed="false">
      <c r="A929" s="4" t="s">
        <v>1888</v>
      </c>
      <c r="B929" s="23" t="n">
        <v>926</v>
      </c>
      <c r="C929" s="6" t="n">
        <v>46276</v>
      </c>
      <c r="D929" s="4" t="s">
        <v>1890</v>
      </c>
      <c r="E929" s="4" t="s">
        <v>6682</v>
      </c>
      <c r="F929" s="7" t="n">
        <v>44781.01</v>
      </c>
      <c r="G929" s="24" t="s">
        <v>5951</v>
      </c>
      <c r="H929" s="4" t="s">
        <v>1887</v>
      </c>
      <c r="I929" s="4"/>
    </row>
    <row r="930" customFormat="false" ht="15" hidden="false" customHeight="false" outlineLevel="0" collapsed="false">
      <c r="A930" s="4" t="s">
        <v>4441</v>
      </c>
      <c r="B930" s="23" t="n">
        <v>927</v>
      </c>
      <c r="C930" s="6" t="n">
        <v>46276</v>
      </c>
      <c r="D930" s="4" t="s">
        <v>4443</v>
      </c>
      <c r="E930" s="4"/>
      <c r="F930" s="7" t="n">
        <v>3397.79</v>
      </c>
      <c r="G930" s="24" t="s">
        <v>5951</v>
      </c>
      <c r="H930" s="4" t="s">
        <v>4440</v>
      </c>
      <c r="I930" s="4"/>
    </row>
    <row r="931" customFormat="false" ht="15" hidden="false" customHeight="false" outlineLevel="0" collapsed="false">
      <c r="A931" s="4" t="s">
        <v>5250</v>
      </c>
      <c r="B931" s="23" t="n">
        <v>928</v>
      </c>
      <c r="C931" s="6" t="n">
        <v>46276</v>
      </c>
      <c r="D931" s="4" t="s">
        <v>5252</v>
      </c>
      <c r="E931" s="4" t="s">
        <v>6683</v>
      </c>
      <c r="F931" s="7" t="n">
        <v>-46522.15</v>
      </c>
      <c r="G931" s="24" t="s">
        <v>5951</v>
      </c>
      <c r="H931" s="4" t="s">
        <v>5249</v>
      </c>
      <c r="I931" s="4"/>
    </row>
    <row r="932" customFormat="false" ht="15" hidden="false" customHeight="false" outlineLevel="0" collapsed="false">
      <c r="A932" s="4" t="s">
        <v>4446</v>
      </c>
      <c r="B932" s="23" t="n">
        <v>929</v>
      </c>
      <c r="C932" s="6" t="n">
        <v>46276</v>
      </c>
      <c r="D932" s="4" t="s">
        <v>4448</v>
      </c>
      <c r="E932" s="4" t="s">
        <v>6684</v>
      </c>
      <c r="F932" s="7" t="n">
        <v>-6428.89</v>
      </c>
      <c r="G932" s="24" t="s">
        <v>5951</v>
      </c>
      <c r="H932" s="4" t="s">
        <v>4445</v>
      </c>
      <c r="I932" s="4"/>
    </row>
    <row r="933" customFormat="false" ht="15" hidden="false" customHeight="false" outlineLevel="0" collapsed="false">
      <c r="A933" s="4" t="s">
        <v>3571</v>
      </c>
      <c r="B933" s="23" t="n">
        <v>930</v>
      </c>
      <c r="C933" s="6" t="n">
        <v>46276</v>
      </c>
      <c r="D933" s="4" t="s">
        <v>3573</v>
      </c>
      <c r="E933" s="4" t="s">
        <v>6685</v>
      </c>
      <c r="F933" s="7" t="n">
        <v>-30360.13</v>
      </c>
      <c r="G933" s="24" t="s">
        <v>5951</v>
      </c>
      <c r="H933" s="4" t="s">
        <v>3570</v>
      </c>
      <c r="I933" s="4"/>
    </row>
    <row r="934" customFormat="false" ht="15" hidden="false" customHeight="false" outlineLevel="0" collapsed="false">
      <c r="A934" s="4" t="s">
        <v>82</v>
      </c>
      <c r="B934" s="23" t="n">
        <v>931</v>
      </c>
      <c r="C934" s="6" t="n">
        <v>46276</v>
      </c>
      <c r="D934" s="4" t="s">
        <v>83</v>
      </c>
      <c r="E934" s="4"/>
      <c r="F934" s="7" t="n">
        <v>21883.24</v>
      </c>
      <c r="G934" s="26" t="s">
        <v>6043</v>
      </c>
      <c r="H934" s="4"/>
      <c r="I934" s="4" t="s">
        <v>80</v>
      </c>
    </row>
    <row r="935" customFormat="false" ht="15" hidden="false" customHeight="false" outlineLevel="0" collapsed="false">
      <c r="A935" s="4" t="s">
        <v>3576</v>
      </c>
      <c r="B935" s="23" t="n">
        <v>932</v>
      </c>
      <c r="C935" s="6" t="n">
        <v>46277</v>
      </c>
      <c r="D935" s="4" t="s">
        <v>3578</v>
      </c>
      <c r="E935" s="4" t="s">
        <v>6686</v>
      </c>
      <c r="F935" s="7" t="n">
        <v>7725.18</v>
      </c>
      <c r="G935" s="24" t="s">
        <v>5951</v>
      </c>
      <c r="H935" s="4" t="s">
        <v>3575</v>
      </c>
      <c r="I935" s="4"/>
    </row>
    <row r="936" customFormat="false" ht="15" hidden="false" customHeight="false" outlineLevel="0" collapsed="false">
      <c r="A936" s="4" t="s">
        <v>1893</v>
      </c>
      <c r="B936" s="23" t="n">
        <v>933</v>
      </c>
      <c r="C936" s="6" t="n">
        <v>46277</v>
      </c>
      <c r="D936" s="4" t="s">
        <v>1895</v>
      </c>
      <c r="E936" s="4" t="s">
        <v>6687</v>
      </c>
      <c r="F936" s="7" t="n">
        <v>94125.84</v>
      </c>
      <c r="G936" s="24" t="s">
        <v>5951</v>
      </c>
      <c r="H936" s="4" t="s">
        <v>1892</v>
      </c>
      <c r="I936" s="4"/>
    </row>
    <row r="937" customFormat="false" ht="15" hidden="false" customHeight="false" outlineLevel="0" collapsed="false">
      <c r="A937" s="4" t="s">
        <v>3581</v>
      </c>
      <c r="B937" s="23" t="n">
        <v>934</v>
      </c>
      <c r="C937" s="6" t="n">
        <v>46277</v>
      </c>
      <c r="D937" s="4" t="s">
        <v>3583</v>
      </c>
      <c r="E937" s="4" t="s">
        <v>6688</v>
      </c>
      <c r="F937" s="7" t="n">
        <v>46052.36</v>
      </c>
      <c r="G937" s="24" t="s">
        <v>5951</v>
      </c>
      <c r="H937" s="4" t="s">
        <v>3580</v>
      </c>
      <c r="I937" s="4"/>
    </row>
    <row r="938" customFormat="false" ht="15" hidden="false" customHeight="false" outlineLevel="0" collapsed="false">
      <c r="A938" s="4" t="s">
        <v>1898</v>
      </c>
      <c r="B938" s="23" t="n">
        <v>935</v>
      </c>
      <c r="C938" s="6" t="n">
        <v>46277</v>
      </c>
      <c r="D938" s="4" t="s">
        <v>1900</v>
      </c>
      <c r="E938" s="4" t="s">
        <v>6689</v>
      </c>
      <c r="F938" s="7" t="n">
        <v>77681.22</v>
      </c>
      <c r="G938" s="24" t="s">
        <v>5951</v>
      </c>
      <c r="H938" s="4" t="s">
        <v>1897</v>
      </c>
      <c r="I938" s="4"/>
    </row>
    <row r="939" customFormat="false" ht="15" hidden="false" customHeight="false" outlineLevel="0" collapsed="false">
      <c r="A939" s="4" t="s">
        <v>1903</v>
      </c>
      <c r="B939" s="23" t="n">
        <v>936</v>
      </c>
      <c r="C939" s="6" t="n">
        <v>46277</v>
      </c>
      <c r="D939" s="4" t="s">
        <v>1905</v>
      </c>
      <c r="E939" s="4" t="s">
        <v>6690</v>
      </c>
      <c r="F939" s="7" t="n">
        <v>39569.39</v>
      </c>
      <c r="G939" s="24" t="s">
        <v>5951</v>
      </c>
      <c r="H939" s="4" t="s">
        <v>1902</v>
      </c>
      <c r="I939" s="4"/>
    </row>
    <row r="940" customFormat="false" ht="15" hidden="false" customHeight="false" outlineLevel="0" collapsed="false">
      <c r="A940" s="4" t="s">
        <v>3586</v>
      </c>
      <c r="B940" s="23" t="n">
        <v>937</v>
      </c>
      <c r="C940" s="6" t="n">
        <v>46277</v>
      </c>
      <c r="D940" s="4" t="s">
        <v>3588</v>
      </c>
      <c r="E940" s="4" t="s">
        <v>6691</v>
      </c>
      <c r="F940" s="7" t="n">
        <v>-39622.53</v>
      </c>
      <c r="G940" s="24" t="s">
        <v>5951</v>
      </c>
      <c r="H940" s="4" t="s">
        <v>3585</v>
      </c>
      <c r="I940" s="4"/>
    </row>
    <row r="941" customFormat="false" ht="15" hidden="false" customHeight="false" outlineLevel="0" collapsed="false">
      <c r="A941" s="4" t="s">
        <v>4451</v>
      </c>
      <c r="B941" s="23" t="n">
        <v>938</v>
      </c>
      <c r="C941" s="6" t="n">
        <v>46277</v>
      </c>
      <c r="D941" s="4" t="s">
        <v>4453</v>
      </c>
      <c r="E941" s="4" t="s">
        <v>6692</v>
      </c>
      <c r="F941" s="7" t="n">
        <v>-49597.95</v>
      </c>
      <c r="G941" s="24" t="s">
        <v>5951</v>
      </c>
      <c r="H941" s="4" t="s">
        <v>4450</v>
      </c>
      <c r="I941" s="4"/>
    </row>
    <row r="942" customFormat="false" ht="15" hidden="false" customHeight="false" outlineLevel="0" collapsed="false">
      <c r="A942" s="4" t="s">
        <v>4846</v>
      </c>
      <c r="B942" s="23" t="n">
        <v>939</v>
      </c>
      <c r="C942" s="6" t="n">
        <v>46277</v>
      </c>
      <c r="D942" s="4" t="s">
        <v>4848</v>
      </c>
      <c r="E942" s="4" t="s">
        <v>6693</v>
      </c>
      <c r="F942" s="7" t="n">
        <v>-49015.87</v>
      </c>
      <c r="G942" s="24" t="s">
        <v>5951</v>
      </c>
      <c r="H942" s="4" t="s">
        <v>4845</v>
      </c>
      <c r="I942" s="4"/>
    </row>
    <row r="943" customFormat="false" ht="15" hidden="false" customHeight="false" outlineLevel="0" collapsed="false">
      <c r="A943" s="4" t="s">
        <v>5679</v>
      </c>
      <c r="B943" s="23" t="n">
        <v>940</v>
      </c>
      <c r="C943" s="6" t="n">
        <v>46277</v>
      </c>
      <c r="D943" s="4" t="s">
        <v>5681</v>
      </c>
      <c r="E943" s="4" t="s">
        <v>6694</v>
      </c>
      <c r="F943" s="7" t="n">
        <v>-27898.26</v>
      </c>
      <c r="G943" s="24" t="s">
        <v>5951</v>
      </c>
      <c r="H943" s="4" t="s">
        <v>5678</v>
      </c>
      <c r="I943" s="4"/>
    </row>
    <row r="944" customFormat="false" ht="15" hidden="false" customHeight="false" outlineLevel="0" collapsed="false">
      <c r="A944" s="4" t="s">
        <v>5684</v>
      </c>
      <c r="B944" s="23" t="n">
        <v>941</v>
      </c>
      <c r="C944" s="6" t="n">
        <v>46277</v>
      </c>
      <c r="D944" s="4" t="s">
        <v>5686</v>
      </c>
      <c r="E944" s="4" t="s">
        <v>6695</v>
      </c>
      <c r="F944" s="7" t="n">
        <v>-52586.5</v>
      </c>
      <c r="G944" s="24" t="s">
        <v>5951</v>
      </c>
      <c r="H944" s="4" t="s">
        <v>5683</v>
      </c>
      <c r="I944" s="4"/>
    </row>
    <row r="945" customFormat="false" ht="15" hidden="false" customHeight="false" outlineLevel="0" collapsed="false">
      <c r="A945" s="4" t="s">
        <v>5689</v>
      </c>
      <c r="B945" s="23" t="n">
        <v>942</v>
      </c>
      <c r="C945" s="6" t="n">
        <v>46277</v>
      </c>
      <c r="D945" s="4" t="s">
        <v>5691</v>
      </c>
      <c r="E945" s="4" t="s">
        <v>6696</v>
      </c>
      <c r="F945" s="7" t="n">
        <v>-11696.53</v>
      </c>
      <c r="G945" s="24" t="s">
        <v>5951</v>
      </c>
      <c r="H945" s="4" t="s">
        <v>5688</v>
      </c>
      <c r="I945" s="4"/>
    </row>
    <row r="946" customFormat="false" ht="15" hidden="false" customHeight="false" outlineLevel="0" collapsed="false">
      <c r="A946" s="4" t="s">
        <v>3591</v>
      </c>
      <c r="B946" s="23" t="n">
        <v>943</v>
      </c>
      <c r="C946" s="6" t="n">
        <v>46277</v>
      </c>
      <c r="D946" s="4" t="s">
        <v>3593</v>
      </c>
      <c r="E946" s="4" t="s">
        <v>6697</v>
      </c>
      <c r="F946" s="7" t="n">
        <v>-13388.25</v>
      </c>
      <c r="G946" s="24" t="s">
        <v>5951</v>
      </c>
      <c r="H946" s="4" t="s">
        <v>3590</v>
      </c>
      <c r="I946" s="4"/>
    </row>
    <row r="947" customFormat="false" ht="15" hidden="false" customHeight="false" outlineLevel="0" collapsed="false">
      <c r="A947" s="4" t="s">
        <v>1908</v>
      </c>
      <c r="B947" s="23" t="n">
        <v>944</v>
      </c>
      <c r="C947" s="6" t="n">
        <v>46277</v>
      </c>
      <c r="D947" s="4" t="s">
        <v>1910</v>
      </c>
      <c r="E947" s="4" t="s">
        <v>6698</v>
      </c>
      <c r="F947" s="7" t="n">
        <v>-19279.16</v>
      </c>
      <c r="G947" s="24" t="s">
        <v>5951</v>
      </c>
      <c r="H947" s="4" t="s">
        <v>1907</v>
      </c>
      <c r="I947" s="4"/>
    </row>
    <row r="948" customFormat="false" ht="15" hidden="false" customHeight="false" outlineLevel="0" collapsed="false">
      <c r="A948" s="4" t="s">
        <v>5694</v>
      </c>
      <c r="B948" s="23" t="n">
        <v>945</v>
      </c>
      <c r="C948" s="6" t="n">
        <v>46277</v>
      </c>
      <c r="D948" s="4" t="s">
        <v>5696</v>
      </c>
      <c r="E948" s="4" t="s">
        <v>6699</v>
      </c>
      <c r="F948" s="7" t="n">
        <v>-3600.38</v>
      </c>
      <c r="G948" s="24" t="s">
        <v>5951</v>
      </c>
      <c r="H948" s="4" t="s">
        <v>5693</v>
      </c>
      <c r="I948" s="4"/>
    </row>
    <row r="949" customFormat="false" ht="15" hidden="false" customHeight="false" outlineLevel="0" collapsed="false">
      <c r="A949" s="4" t="s">
        <v>511</v>
      </c>
      <c r="B949" s="23" t="n">
        <v>946</v>
      </c>
      <c r="C949" s="6" t="n">
        <v>46277</v>
      </c>
      <c r="D949" s="4" t="s">
        <v>5896</v>
      </c>
      <c r="E949" s="4" t="s">
        <v>513</v>
      </c>
      <c r="F949" s="7" t="n">
        <v>32551.52</v>
      </c>
      <c r="G949" s="25" t="s">
        <v>5987</v>
      </c>
      <c r="H949" s="4" t="s">
        <v>5895</v>
      </c>
      <c r="I949" s="4" t="s">
        <v>510</v>
      </c>
    </row>
    <row r="950" customFormat="false" ht="15" hidden="false" customHeight="false" outlineLevel="0" collapsed="false">
      <c r="A950" s="4" t="s">
        <v>1913</v>
      </c>
      <c r="B950" s="23" t="n">
        <v>947</v>
      </c>
      <c r="C950" s="6" t="n">
        <v>46278</v>
      </c>
      <c r="D950" s="4" t="s">
        <v>1915</v>
      </c>
      <c r="E950" s="4" t="s">
        <v>6700</v>
      </c>
      <c r="F950" s="7" t="n">
        <v>61017.58</v>
      </c>
      <c r="G950" s="24" t="s">
        <v>5951</v>
      </c>
      <c r="H950" s="4" t="s">
        <v>1912</v>
      </c>
      <c r="I950" s="4"/>
    </row>
    <row r="951" customFormat="false" ht="15" hidden="false" customHeight="false" outlineLevel="0" collapsed="false">
      <c r="A951" s="4" t="s">
        <v>3596</v>
      </c>
      <c r="B951" s="23" t="n">
        <v>948</v>
      </c>
      <c r="C951" s="6" t="n">
        <v>46278</v>
      </c>
      <c r="D951" s="4" t="s">
        <v>137</v>
      </c>
      <c r="E951" s="4" t="s">
        <v>136</v>
      </c>
      <c r="F951" s="7" t="n">
        <v>87563.78</v>
      </c>
      <c r="G951" s="24" t="s">
        <v>5951</v>
      </c>
      <c r="H951" s="4" t="s">
        <v>3595</v>
      </c>
      <c r="I951" s="4"/>
    </row>
    <row r="952" customFormat="false" ht="15" hidden="false" customHeight="false" outlineLevel="0" collapsed="false">
      <c r="A952" s="4" t="s">
        <v>3600</v>
      </c>
      <c r="B952" s="23" t="n">
        <v>949</v>
      </c>
      <c r="C952" s="6" t="n">
        <v>46278</v>
      </c>
      <c r="D952" s="4" t="s">
        <v>3602</v>
      </c>
      <c r="E952" s="4" t="s">
        <v>6701</v>
      </c>
      <c r="F952" s="7" t="n">
        <v>69665.35</v>
      </c>
      <c r="G952" s="24" t="s">
        <v>5951</v>
      </c>
      <c r="H952" s="4" t="s">
        <v>3599</v>
      </c>
      <c r="I952" s="4"/>
    </row>
    <row r="953" customFormat="false" ht="15" hidden="false" customHeight="false" outlineLevel="0" collapsed="false">
      <c r="A953" s="4" t="s">
        <v>1918</v>
      </c>
      <c r="B953" s="23" t="n">
        <v>950</v>
      </c>
      <c r="C953" s="6" t="n">
        <v>46278</v>
      </c>
      <c r="D953" s="4" t="s">
        <v>1920</v>
      </c>
      <c r="E953" s="4" t="s">
        <v>6702</v>
      </c>
      <c r="F953" s="7" t="n">
        <v>39023.8</v>
      </c>
      <c r="G953" s="24" t="s">
        <v>5951</v>
      </c>
      <c r="H953" s="4" t="s">
        <v>1917</v>
      </c>
      <c r="I953" s="4"/>
    </row>
    <row r="954" customFormat="false" ht="15" hidden="false" customHeight="false" outlineLevel="0" collapsed="false">
      <c r="A954" s="4" t="s">
        <v>3605</v>
      </c>
      <c r="B954" s="23" t="n">
        <v>951</v>
      </c>
      <c r="C954" s="6" t="n">
        <v>46278</v>
      </c>
      <c r="D954" s="4" t="s">
        <v>3607</v>
      </c>
      <c r="E954" s="4"/>
      <c r="F954" s="7" t="n">
        <v>79160.34</v>
      </c>
      <c r="G954" s="24" t="s">
        <v>5951</v>
      </c>
      <c r="H954" s="4" t="s">
        <v>3604</v>
      </c>
      <c r="I954" s="4"/>
    </row>
    <row r="955" customFormat="false" ht="15" hidden="false" customHeight="false" outlineLevel="0" collapsed="false">
      <c r="A955" s="4" t="s">
        <v>1923</v>
      </c>
      <c r="B955" s="23" t="n">
        <v>952</v>
      </c>
      <c r="C955" s="6" t="n">
        <v>46278</v>
      </c>
      <c r="D955" s="4" t="s">
        <v>1925</v>
      </c>
      <c r="E955" s="4" t="s">
        <v>6703</v>
      </c>
      <c r="F955" s="7" t="n">
        <v>34753.82</v>
      </c>
      <c r="G955" s="24" t="s">
        <v>5951</v>
      </c>
      <c r="H955" s="4" t="s">
        <v>1922</v>
      </c>
      <c r="I955" s="4"/>
    </row>
    <row r="956" customFormat="false" ht="15" hidden="false" customHeight="false" outlineLevel="0" collapsed="false">
      <c r="A956" s="4" t="s">
        <v>4456</v>
      </c>
      <c r="B956" s="23" t="n">
        <v>953</v>
      </c>
      <c r="C956" s="6" t="n">
        <v>46278</v>
      </c>
      <c r="D956" s="4" t="s">
        <v>4458</v>
      </c>
      <c r="E956" s="4" t="s">
        <v>6704</v>
      </c>
      <c r="F956" s="7" t="n">
        <v>4876.07</v>
      </c>
      <c r="G956" s="24" t="s">
        <v>5951</v>
      </c>
      <c r="H956" s="4" t="s">
        <v>4455</v>
      </c>
      <c r="I956" s="4"/>
    </row>
    <row r="957" customFormat="false" ht="15" hidden="false" customHeight="false" outlineLevel="0" collapsed="false">
      <c r="A957" s="4" t="s">
        <v>4461</v>
      </c>
      <c r="B957" s="23" t="n">
        <v>954</v>
      </c>
      <c r="C957" s="6" t="n">
        <v>46278</v>
      </c>
      <c r="D957" s="4" t="s">
        <v>4463</v>
      </c>
      <c r="E957" s="4"/>
      <c r="F957" s="7" t="n">
        <v>8024.84</v>
      </c>
      <c r="G957" s="24" t="s">
        <v>5951</v>
      </c>
      <c r="H957" s="4" t="s">
        <v>4460</v>
      </c>
      <c r="I957" s="4"/>
    </row>
    <row r="958" customFormat="false" ht="15" hidden="false" customHeight="false" outlineLevel="0" collapsed="false">
      <c r="A958" s="4" t="s">
        <v>3610</v>
      </c>
      <c r="B958" s="23" t="n">
        <v>955</v>
      </c>
      <c r="C958" s="6" t="n">
        <v>46278</v>
      </c>
      <c r="D958" s="4" t="s">
        <v>3612</v>
      </c>
      <c r="E958" s="4" t="s">
        <v>6705</v>
      </c>
      <c r="F958" s="7" t="n">
        <v>58144.64</v>
      </c>
      <c r="G958" s="24" t="s">
        <v>5951</v>
      </c>
      <c r="H958" s="4" t="s">
        <v>3609</v>
      </c>
      <c r="I958" s="4"/>
    </row>
    <row r="959" customFormat="false" ht="15" hidden="false" customHeight="false" outlineLevel="0" collapsed="false">
      <c r="A959" s="4" t="s">
        <v>1928</v>
      </c>
      <c r="B959" s="23" t="n">
        <v>956</v>
      </c>
      <c r="C959" s="6" t="n">
        <v>46278</v>
      </c>
      <c r="D959" s="4" t="s">
        <v>1930</v>
      </c>
      <c r="E959" s="4" t="s">
        <v>6706</v>
      </c>
      <c r="F959" s="7" t="n">
        <v>-37907.55</v>
      </c>
      <c r="G959" s="24" t="s">
        <v>5951</v>
      </c>
      <c r="H959" s="4" t="s">
        <v>1927</v>
      </c>
      <c r="I959" s="4"/>
    </row>
    <row r="960" customFormat="false" ht="15" hidden="false" customHeight="false" outlineLevel="0" collapsed="false">
      <c r="A960" s="4" t="s">
        <v>1933</v>
      </c>
      <c r="B960" s="23" t="n">
        <v>957</v>
      </c>
      <c r="C960" s="6" t="n">
        <v>46278</v>
      </c>
      <c r="D960" s="4" t="s">
        <v>1935</v>
      </c>
      <c r="E960" s="4" t="s">
        <v>6707</v>
      </c>
      <c r="F960" s="7" t="n">
        <v>-53487.17</v>
      </c>
      <c r="G960" s="24" t="s">
        <v>5951</v>
      </c>
      <c r="H960" s="4" t="s">
        <v>1932</v>
      </c>
      <c r="I960" s="4"/>
    </row>
    <row r="961" customFormat="false" ht="15" hidden="false" customHeight="false" outlineLevel="0" collapsed="false">
      <c r="A961" s="4" t="s">
        <v>4466</v>
      </c>
      <c r="B961" s="23" t="n">
        <v>958</v>
      </c>
      <c r="C961" s="6" t="n">
        <v>46278</v>
      </c>
      <c r="D961" s="4" t="s">
        <v>4468</v>
      </c>
      <c r="E961" s="4" t="s">
        <v>6708</v>
      </c>
      <c r="F961" s="7" t="n">
        <v>-26981.81</v>
      </c>
      <c r="G961" s="24" t="s">
        <v>5951</v>
      </c>
      <c r="H961" s="4" t="s">
        <v>4465</v>
      </c>
      <c r="I961" s="4"/>
    </row>
    <row r="962" customFormat="false" ht="15" hidden="false" customHeight="false" outlineLevel="0" collapsed="false">
      <c r="A962" s="4" t="s">
        <v>5255</v>
      </c>
      <c r="B962" s="23" t="n">
        <v>959</v>
      </c>
      <c r="C962" s="6" t="n">
        <v>46278</v>
      </c>
      <c r="D962" s="4" t="s">
        <v>5257</v>
      </c>
      <c r="E962" s="4" t="s">
        <v>6709</v>
      </c>
      <c r="F962" s="7" t="n">
        <v>-51876.88</v>
      </c>
      <c r="G962" s="24" t="s">
        <v>5951</v>
      </c>
      <c r="H962" s="4" t="s">
        <v>5254</v>
      </c>
      <c r="I962" s="4"/>
    </row>
    <row r="963" customFormat="false" ht="15" hidden="false" customHeight="false" outlineLevel="0" collapsed="false">
      <c r="A963" s="4" t="s">
        <v>1938</v>
      </c>
      <c r="B963" s="23" t="n">
        <v>960</v>
      </c>
      <c r="C963" s="6" t="n">
        <v>46278</v>
      </c>
      <c r="D963" s="4" t="s">
        <v>1940</v>
      </c>
      <c r="E963" s="4" t="s">
        <v>6710</v>
      </c>
      <c r="F963" s="7" t="n">
        <v>-55312.85</v>
      </c>
      <c r="G963" s="24" t="s">
        <v>5951</v>
      </c>
      <c r="H963" s="4" t="s">
        <v>1937</v>
      </c>
      <c r="I963" s="4"/>
    </row>
    <row r="964" customFormat="false" ht="15" hidden="false" customHeight="false" outlineLevel="0" collapsed="false">
      <c r="A964" s="4" t="s">
        <v>135</v>
      </c>
      <c r="B964" s="23" t="n">
        <v>961</v>
      </c>
      <c r="C964" s="6" t="n">
        <v>46278</v>
      </c>
      <c r="D964" s="4" t="s">
        <v>137</v>
      </c>
      <c r="E964" s="4" t="s">
        <v>136</v>
      </c>
      <c r="F964" s="7" t="n">
        <v>87563.78</v>
      </c>
      <c r="G964" s="26" t="s">
        <v>6043</v>
      </c>
      <c r="H964" s="4"/>
      <c r="I964" s="4" t="s">
        <v>134</v>
      </c>
    </row>
    <row r="965" customFormat="false" ht="15" hidden="false" customHeight="false" outlineLevel="0" collapsed="false">
      <c r="A965" s="4" t="s">
        <v>3615</v>
      </c>
      <c r="B965" s="23" t="n">
        <v>962</v>
      </c>
      <c r="C965" s="6" t="n">
        <v>46279</v>
      </c>
      <c r="D965" s="4" t="s">
        <v>3617</v>
      </c>
      <c r="E965" s="4"/>
      <c r="F965" s="7" t="n">
        <v>57682.03</v>
      </c>
      <c r="G965" s="24" t="s">
        <v>5951</v>
      </c>
      <c r="H965" s="4" t="s">
        <v>3614</v>
      </c>
      <c r="I965" s="4"/>
    </row>
    <row r="966" customFormat="false" ht="15" hidden="false" customHeight="false" outlineLevel="0" collapsed="false">
      <c r="A966" s="4" t="s">
        <v>1943</v>
      </c>
      <c r="B966" s="23" t="n">
        <v>963</v>
      </c>
      <c r="C966" s="6" t="n">
        <v>46279</v>
      </c>
      <c r="D966" s="4" t="s">
        <v>1945</v>
      </c>
      <c r="E966" s="4" t="s">
        <v>6711</v>
      </c>
      <c r="F966" s="7" t="n">
        <v>39146.74</v>
      </c>
      <c r="G966" s="24" t="s">
        <v>5951</v>
      </c>
      <c r="H966" s="4" t="s">
        <v>1942</v>
      </c>
      <c r="I966" s="4"/>
    </row>
    <row r="967" customFormat="false" ht="15" hidden="false" customHeight="false" outlineLevel="0" collapsed="false">
      <c r="A967" s="4" t="s">
        <v>4471</v>
      </c>
      <c r="B967" s="23" t="n">
        <v>964</v>
      </c>
      <c r="C967" s="6" t="n">
        <v>46279</v>
      </c>
      <c r="D967" s="4" t="s">
        <v>4473</v>
      </c>
      <c r="E967" s="4" t="s">
        <v>6712</v>
      </c>
      <c r="F967" s="7" t="n">
        <v>42562.61</v>
      </c>
      <c r="G967" s="24" t="s">
        <v>5951</v>
      </c>
      <c r="H967" s="4" t="s">
        <v>4470</v>
      </c>
      <c r="I967" s="4"/>
    </row>
    <row r="968" customFormat="false" ht="15" hidden="false" customHeight="false" outlineLevel="0" collapsed="false">
      <c r="A968" s="4" t="s">
        <v>3620</v>
      </c>
      <c r="B968" s="23" t="n">
        <v>965</v>
      </c>
      <c r="C968" s="6" t="n">
        <v>46279</v>
      </c>
      <c r="D968" s="4" t="s">
        <v>3622</v>
      </c>
      <c r="E968" s="4"/>
      <c r="F968" s="7" t="n">
        <v>53224.24</v>
      </c>
      <c r="G968" s="24" t="s">
        <v>5951</v>
      </c>
      <c r="H968" s="4" t="s">
        <v>3619</v>
      </c>
      <c r="I968" s="4"/>
    </row>
    <row r="969" customFormat="false" ht="15" hidden="false" customHeight="false" outlineLevel="0" collapsed="false">
      <c r="A969" s="4" t="s">
        <v>5260</v>
      </c>
      <c r="B969" s="23" t="n">
        <v>966</v>
      </c>
      <c r="C969" s="6" t="n">
        <v>46279</v>
      </c>
      <c r="D969" s="4" t="s">
        <v>5262</v>
      </c>
      <c r="E969" s="4" t="s">
        <v>6713</v>
      </c>
      <c r="F969" s="7" t="n">
        <v>-24353.17</v>
      </c>
      <c r="G969" s="24" t="s">
        <v>5951</v>
      </c>
      <c r="H969" s="4" t="s">
        <v>5259</v>
      </c>
      <c r="I969" s="4"/>
    </row>
    <row r="970" customFormat="false" ht="15" hidden="false" customHeight="false" outlineLevel="0" collapsed="false">
      <c r="A970" s="4" t="s">
        <v>3625</v>
      </c>
      <c r="B970" s="23" t="n">
        <v>967</v>
      </c>
      <c r="C970" s="6" t="n">
        <v>46279</v>
      </c>
      <c r="D970" s="4" t="s">
        <v>3627</v>
      </c>
      <c r="E970" s="4" t="s">
        <v>6714</v>
      </c>
      <c r="F970" s="7" t="n">
        <v>-40798.26</v>
      </c>
      <c r="G970" s="24" t="s">
        <v>5951</v>
      </c>
      <c r="H970" s="4" t="s">
        <v>3624</v>
      </c>
      <c r="I970" s="4"/>
    </row>
    <row r="971" customFormat="false" ht="15" hidden="false" customHeight="false" outlineLevel="0" collapsed="false">
      <c r="A971" s="4" t="s">
        <v>4851</v>
      </c>
      <c r="B971" s="23" t="n">
        <v>968</v>
      </c>
      <c r="C971" s="6" t="n">
        <v>46279</v>
      </c>
      <c r="D971" s="4" t="s">
        <v>4853</v>
      </c>
      <c r="E971" s="4" t="s">
        <v>6715</v>
      </c>
      <c r="F971" s="7" t="n">
        <v>-32033.72</v>
      </c>
      <c r="G971" s="24" t="s">
        <v>5951</v>
      </c>
      <c r="H971" s="4" t="s">
        <v>4850</v>
      </c>
      <c r="I971" s="4"/>
    </row>
    <row r="972" customFormat="false" ht="15" hidden="false" customHeight="false" outlineLevel="0" collapsed="false">
      <c r="A972" s="4" t="s">
        <v>5699</v>
      </c>
      <c r="B972" s="23" t="n">
        <v>969</v>
      </c>
      <c r="C972" s="6" t="n">
        <v>46279</v>
      </c>
      <c r="D972" s="4" t="s">
        <v>5701</v>
      </c>
      <c r="E972" s="4" t="s">
        <v>6716</v>
      </c>
      <c r="F972" s="7" t="n">
        <v>-21350.57</v>
      </c>
      <c r="G972" s="24" t="s">
        <v>5951</v>
      </c>
      <c r="H972" s="4" t="s">
        <v>5698</v>
      </c>
      <c r="I972" s="4"/>
    </row>
    <row r="973" customFormat="false" ht="15" hidden="false" customHeight="false" outlineLevel="0" collapsed="false">
      <c r="A973" s="4" t="s">
        <v>5704</v>
      </c>
      <c r="B973" s="23" t="n">
        <v>970</v>
      </c>
      <c r="C973" s="6" t="n">
        <v>46279</v>
      </c>
      <c r="D973" s="4" t="s">
        <v>5706</v>
      </c>
      <c r="E973" s="4" t="s">
        <v>6717</v>
      </c>
      <c r="F973" s="7" t="n">
        <v>-38950.3</v>
      </c>
      <c r="G973" s="24" t="s">
        <v>5951</v>
      </c>
      <c r="H973" s="4" t="s">
        <v>5703</v>
      </c>
      <c r="I973" s="4"/>
    </row>
    <row r="974" customFormat="false" ht="15" hidden="false" customHeight="false" outlineLevel="0" collapsed="false">
      <c r="A974" s="4" t="s">
        <v>4856</v>
      </c>
      <c r="B974" s="23" t="n">
        <v>971</v>
      </c>
      <c r="C974" s="6" t="n">
        <v>46279</v>
      </c>
      <c r="D974" s="4" t="s">
        <v>4858</v>
      </c>
      <c r="E974" s="4" t="s">
        <v>6718</v>
      </c>
      <c r="F974" s="7" t="n">
        <v>-6914.61</v>
      </c>
      <c r="G974" s="24" t="s">
        <v>5951</v>
      </c>
      <c r="H974" s="4" t="s">
        <v>4855</v>
      </c>
      <c r="I974" s="4"/>
    </row>
    <row r="975" customFormat="false" ht="15" hidden="false" customHeight="false" outlineLevel="0" collapsed="false">
      <c r="A975" s="4" t="s">
        <v>3630</v>
      </c>
      <c r="B975" s="23" t="n">
        <v>972</v>
      </c>
      <c r="C975" s="6" t="n">
        <v>46279</v>
      </c>
      <c r="D975" s="4" t="s">
        <v>3632</v>
      </c>
      <c r="E975" s="4" t="s">
        <v>6719</v>
      </c>
      <c r="F975" s="7" t="n">
        <v>-29594.73</v>
      </c>
      <c r="G975" s="24" t="s">
        <v>5951</v>
      </c>
      <c r="H975" s="4" t="s">
        <v>3629</v>
      </c>
      <c r="I975" s="4"/>
    </row>
    <row r="976" customFormat="false" ht="15" hidden="false" customHeight="false" outlineLevel="0" collapsed="false">
      <c r="A976" s="4" t="s">
        <v>5796</v>
      </c>
      <c r="B976" s="23" t="n">
        <v>973</v>
      </c>
      <c r="C976" s="6" t="n">
        <v>46279</v>
      </c>
      <c r="D976" s="4" t="s">
        <v>5798</v>
      </c>
      <c r="E976" s="4"/>
      <c r="F976" s="7" t="n">
        <v>-5741.14</v>
      </c>
      <c r="G976" s="24" t="s">
        <v>5951</v>
      </c>
      <c r="H976" s="4" t="s">
        <v>5795</v>
      </c>
      <c r="I976" s="4"/>
    </row>
    <row r="977" customFormat="false" ht="15" hidden="false" customHeight="false" outlineLevel="0" collapsed="false">
      <c r="A977" s="4" t="s">
        <v>257</v>
      </c>
      <c r="B977" s="23" t="n">
        <v>974</v>
      </c>
      <c r="C977" s="6" t="n">
        <v>46279</v>
      </c>
      <c r="D977" s="4" t="s">
        <v>258</v>
      </c>
      <c r="E977" s="4"/>
      <c r="F977" s="7" t="n">
        <v>2558.43</v>
      </c>
      <c r="G977" s="26" t="s">
        <v>6043</v>
      </c>
      <c r="H977" s="4"/>
      <c r="I977" s="4" t="s">
        <v>255</v>
      </c>
    </row>
    <row r="978" customFormat="false" ht="15" hidden="false" customHeight="false" outlineLevel="0" collapsed="false">
      <c r="A978" s="4" t="s">
        <v>3634</v>
      </c>
      <c r="B978" s="23" t="n">
        <v>975</v>
      </c>
      <c r="C978" s="6" t="n">
        <v>46280</v>
      </c>
      <c r="D978" s="4" t="s">
        <v>3636</v>
      </c>
      <c r="E978" s="4" t="s">
        <v>6720</v>
      </c>
      <c r="F978" s="7" t="n">
        <v>5534.49</v>
      </c>
      <c r="G978" s="24" t="s">
        <v>5951</v>
      </c>
      <c r="H978" s="4" t="s">
        <v>3633</v>
      </c>
      <c r="I978" s="4"/>
    </row>
    <row r="979" customFormat="false" ht="15" hidden="false" customHeight="false" outlineLevel="0" collapsed="false">
      <c r="A979" s="4" t="s">
        <v>3639</v>
      </c>
      <c r="B979" s="23" t="n">
        <v>976</v>
      </c>
      <c r="C979" s="6" t="n">
        <v>46280</v>
      </c>
      <c r="D979" s="4" t="s">
        <v>3641</v>
      </c>
      <c r="E979" s="4" t="s">
        <v>6721</v>
      </c>
      <c r="F979" s="7" t="n">
        <v>25129.62</v>
      </c>
      <c r="G979" s="24" t="s">
        <v>5951</v>
      </c>
      <c r="H979" s="4" t="s">
        <v>3638</v>
      </c>
      <c r="I979" s="4"/>
    </row>
    <row r="980" customFormat="false" ht="15" hidden="false" customHeight="false" outlineLevel="0" collapsed="false">
      <c r="A980" s="4" t="s">
        <v>1948</v>
      </c>
      <c r="B980" s="23" t="n">
        <v>977</v>
      </c>
      <c r="C980" s="6" t="n">
        <v>46280</v>
      </c>
      <c r="D980" s="4" t="s">
        <v>1950</v>
      </c>
      <c r="E980" s="4"/>
      <c r="F980" s="7" t="n">
        <v>69384.63</v>
      </c>
      <c r="G980" s="24" t="s">
        <v>5951</v>
      </c>
      <c r="H980" s="4" t="s">
        <v>1947</v>
      </c>
      <c r="I980" s="4"/>
    </row>
    <row r="981" customFormat="false" ht="15" hidden="false" customHeight="false" outlineLevel="0" collapsed="false">
      <c r="A981" s="4" t="s">
        <v>1953</v>
      </c>
      <c r="B981" s="23" t="n">
        <v>978</v>
      </c>
      <c r="C981" s="6" t="n">
        <v>46280</v>
      </c>
      <c r="D981" s="4" t="s">
        <v>1955</v>
      </c>
      <c r="E981" s="4" t="s">
        <v>6722</v>
      </c>
      <c r="F981" s="7" t="n">
        <v>26452.06</v>
      </c>
      <c r="G981" s="24" t="s">
        <v>5951</v>
      </c>
      <c r="H981" s="4" t="s">
        <v>1952</v>
      </c>
      <c r="I981" s="4"/>
    </row>
    <row r="982" customFormat="false" ht="15" hidden="false" customHeight="false" outlineLevel="0" collapsed="false">
      <c r="A982" s="4" t="s">
        <v>1958</v>
      </c>
      <c r="B982" s="23" t="n">
        <v>979</v>
      </c>
      <c r="C982" s="6" t="n">
        <v>46280</v>
      </c>
      <c r="D982" s="4" t="s">
        <v>1960</v>
      </c>
      <c r="E982" s="4" t="s">
        <v>6723</v>
      </c>
      <c r="F982" s="7" t="n">
        <v>38761.06</v>
      </c>
      <c r="G982" s="24" t="s">
        <v>5951</v>
      </c>
      <c r="H982" s="4" t="s">
        <v>1957</v>
      </c>
      <c r="I982" s="4"/>
    </row>
    <row r="983" customFormat="false" ht="15" hidden="false" customHeight="false" outlineLevel="0" collapsed="false">
      <c r="A983" s="4" t="s">
        <v>3644</v>
      </c>
      <c r="B983" s="23" t="n">
        <v>980</v>
      </c>
      <c r="C983" s="6" t="n">
        <v>46280</v>
      </c>
      <c r="D983" s="4" t="s">
        <v>3646</v>
      </c>
      <c r="E983" s="4"/>
      <c r="F983" s="7" t="n">
        <v>9050.4</v>
      </c>
      <c r="G983" s="24" t="s">
        <v>5951</v>
      </c>
      <c r="H983" s="4" t="s">
        <v>3643</v>
      </c>
      <c r="I983" s="4"/>
    </row>
    <row r="984" customFormat="false" ht="15" hidden="false" customHeight="false" outlineLevel="0" collapsed="false">
      <c r="A984" s="4" t="s">
        <v>1963</v>
      </c>
      <c r="B984" s="23" t="n">
        <v>981</v>
      </c>
      <c r="C984" s="6" t="n">
        <v>46280</v>
      </c>
      <c r="D984" s="4" t="s">
        <v>1965</v>
      </c>
      <c r="E984" s="4"/>
      <c r="F984" s="7" t="n">
        <v>60666.91</v>
      </c>
      <c r="G984" s="24" t="s">
        <v>5951</v>
      </c>
      <c r="H984" s="4" t="s">
        <v>1962</v>
      </c>
      <c r="I984" s="4"/>
    </row>
    <row r="985" customFormat="false" ht="15" hidden="false" customHeight="false" outlineLevel="0" collapsed="false">
      <c r="A985" s="4" t="s">
        <v>1968</v>
      </c>
      <c r="B985" s="23" t="n">
        <v>982</v>
      </c>
      <c r="C985" s="6" t="n">
        <v>46280</v>
      </c>
      <c r="D985" s="4" t="s">
        <v>1970</v>
      </c>
      <c r="E985" s="4" t="s">
        <v>6724</v>
      </c>
      <c r="F985" s="7" t="n">
        <v>31617.76</v>
      </c>
      <c r="G985" s="24" t="s">
        <v>5951</v>
      </c>
      <c r="H985" s="4" t="s">
        <v>1967</v>
      </c>
      <c r="I985" s="4"/>
    </row>
    <row r="986" customFormat="false" ht="15" hidden="false" customHeight="false" outlineLevel="0" collapsed="false">
      <c r="A986" s="4" t="s">
        <v>3649</v>
      </c>
      <c r="B986" s="23" t="n">
        <v>983</v>
      </c>
      <c r="C986" s="6" t="n">
        <v>46280</v>
      </c>
      <c r="D986" s="4" t="s">
        <v>3651</v>
      </c>
      <c r="E986" s="4" t="s">
        <v>6725</v>
      </c>
      <c r="F986" s="7" t="n">
        <v>30488.93</v>
      </c>
      <c r="G986" s="24" t="s">
        <v>5951</v>
      </c>
      <c r="H986" s="4" t="s">
        <v>3648</v>
      </c>
      <c r="I986" s="4"/>
    </row>
    <row r="987" customFormat="false" ht="15" hidden="false" customHeight="false" outlineLevel="0" collapsed="false">
      <c r="A987" s="4" t="s">
        <v>5265</v>
      </c>
      <c r="B987" s="23" t="n">
        <v>984</v>
      </c>
      <c r="C987" s="6" t="n">
        <v>46280</v>
      </c>
      <c r="D987" s="4" t="s">
        <v>5267</v>
      </c>
      <c r="E987" s="4" t="s">
        <v>6726</v>
      </c>
      <c r="F987" s="7" t="n">
        <v>-4080.11</v>
      </c>
      <c r="G987" s="24" t="s">
        <v>5951</v>
      </c>
      <c r="H987" s="4" t="s">
        <v>5264</v>
      </c>
      <c r="I987" s="4"/>
    </row>
    <row r="988" customFormat="false" ht="15" hidden="false" customHeight="false" outlineLevel="0" collapsed="false">
      <c r="A988" s="4" t="s">
        <v>4476</v>
      </c>
      <c r="B988" s="23" t="n">
        <v>985</v>
      </c>
      <c r="C988" s="6" t="n">
        <v>46280</v>
      </c>
      <c r="D988" s="4" t="s">
        <v>4478</v>
      </c>
      <c r="E988" s="4" t="s">
        <v>6727</v>
      </c>
      <c r="F988" s="7" t="n">
        <v>-1243.23</v>
      </c>
      <c r="G988" s="24" t="s">
        <v>5951</v>
      </c>
      <c r="H988" s="4" t="s">
        <v>4475</v>
      </c>
      <c r="I988" s="4"/>
    </row>
    <row r="989" customFormat="false" ht="15" hidden="false" customHeight="false" outlineLevel="0" collapsed="false">
      <c r="A989" s="4" t="s">
        <v>4861</v>
      </c>
      <c r="B989" s="23" t="n">
        <v>986</v>
      </c>
      <c r="C989" s="6" t="n">
        <v>46280</v>
      </c>
      <c r="D989" s="4" t="s">
        <v>4863</v>
      </c>
      <c r="E989" s="4" t="s">
        <v>6728</v>
      </c>
      <c r="F989" s="7" t="n">
        <v>-18173.8</v>
      </c>
      <c r="G989" s="24" t="s">
        <v>5951</v>
      </c>
      <c r="H989" s="4" t="s">
        <v>4860</v>
      </c>
      <c r="I989" s="4"/>
    </row>
    <row r="990" customFormat="false" ht="15" hidden="false" customHeight="false" outlineLevel="0" collapsed="false">
      <c r="A990" s="4" t="s">
        <v>3654</v>
      </c>
      <c r="B990" s="23" t="n">
        <v>987</v>
      </c>
      <c r="C990" s="6" t="n">
        <v>46280</v>
      </c>
      <c r="D990" s="4" t="s">
        <v>3656</v>
      </c>
      <c r="E990" s="4" t="s">
        <v>6729</v>
      </c>
      <c r="F990" s="7" t="n">
        <v>-15950.2</v>
      </c>
      <c r="G990" s="24" t="s">
        <v>5951</v>
      </c>
      <c r="H990" s="4" t="s">
        <v>3653</v>
      </c>
      <c r="I990" s="4"/>
    </row>
    <row r="991" customFormat="false" ht="15" hidden="false" customHeight="false" outlineLevel="0" collapsed="false">
      <c r="A991" s="4" t="s">
        <v>4481</v>
      </c>
      <c r="B991" s="23" t="n">
        <v>988</v>
      </c>
      <c r="C991" s="6" t="n">
        <v>46280</v>
      </c>
      <c r="D991" s="4" t="s">
        <v>4483</v>
      </c>
      <c r="E991" s="4" t="s">
        <v>6730</v>
      </c>
      <c r="F991" s="7" t="n">
        <v>-58672.49</v>
      </c>
      <c r="G991" s="24" t="s">
        <v>5951</v>
      </c>
      <c r="H991" s="4" t="s">
        <v>4480</v>
      </c>
      <c r="I991" s="4"/>
    </row>
    <row r="992" customFormat="false" ht="15" hidden="false" customHeight="false" outlineLevel="0" collapsed="false">
      <c r="A992" s="4" t="s">
        <v>5709</v>
      </c>
      <c r="B992" s="23" t="n">
        <v>989</v>
      </c>
      <c r="C992" s="6" t="n">
        <v>46280</v>
      </c>
      <c r="D992" s="4" t="s">
        <v>5711</v>
      </c>
      <c r="E992" s="4" t="s">
        <v>6731</v>
      </c>
      <c r="F992" s="7" t="n">
        <v>-27657.62</v>
      </c>
      <c r="G992" s="24" t="s">
        <v>5951</v>
      </c>
      <c r="H992" s="4" t="s">
        <v>5708</v>
      </c>
      <c r="I992" s="4"/>
    </row>
    <row r="993" customFormat="false" ht="15" hidden="false" customHeight="false" outlineLevel="0" collapsed="false">
      <c r="A993" s="4" t="s">
        <v>333</v>
      </c>
      <c r="B993" s="23" t="n">
        <v>990</v>
      </c>
      <c r="C993" s="6" t="n">
        <v>46280</v>
      </c>
      <c r="D993" s="4" t="s">
        <v>5899</v>
      </c>
      <c r="E993" s="4" t="s">
        <v>335</v>
      </c>
      <c r="F993" s="7" t="n">
        <v>64944.33</v>
      </c>
      <c r="G993" s="25" t="s">
        <v>5987</v>
      </c>
      <c r="H993" s="4" t="s">
        <v>5898</v>
      </c>
      <c r="I993" s="4" t="s">
        <v>332</v>
      </c>
    </row>
    <row r="994" customFormat="false" ht="15" hidden="false" customHeight="false" outlineLevel="0" collapsed="false">
      <c r="A994" s="4" t="s">
        <v>443</v>
      </c>
      <c r="B994" s="23" t="n">
        <v>991</v>
      </c>
      <c r="C994" s="6" t="n">
        <v>46280</v>
      </c>
      <c r="D994" s="4" t="s">
        <v>5857</v>
      </c>
      <c r="E994" s="4" t="s">
        <v>445</v>
      </c>
      <c r="F994" s="7" t="n">
        <v>69690.98</v>
      </c>
      <c r="G994" s="25" t="s">
        <v>5987</v>
      </c>
      <c r="H994" s="4" t="s">
        <v>5856</v>
      </c>
      <c r="I994" s="4" t="s">
        <v>442</v>
      </c>
    </row>
    <row r="995" customFormat="false" ht="15" hidden="false" customHeight="false" outlineLevel="0" collapsed="false">
      <c r="A995" s="4" t="s">
        <v>3659</v>
      </c>
      <c r="B995" s="23" t="n">
        <v>992</v>
      </c>
      <c r="C995" s="6" t="n">
        <v>46281</v>
      </c>
      <c r="D995" s="4" t="s">
        <v>3661</v>
      </c>
      <c r="E995" s="4" t="s">
        <v>6732</v>
      </c>
      <c r="F995" s="7" t="n">
        <v>16448.04</v>
      </c>
      <c r="G995" s="24" t="s">
        <v>5951</v>
      </c>
      <c r="H995" s="4" t="s">
        <v>3658</v>
      </c>
      <c r="I995" s="4"/>
    </row>
    <row r="996" customFormat="false" ht="15" hidden="false" customHeight="false" outlineLevel="0" collapsed="false">
      <c r="A996" s="4" t="s">
        <v>1973</v>
      </c>
      <c r="B996" s="23" t="n">
        <v>993</v>
      </c>
      <c r="C996" s="6" t="n">
        <v>46281</v>
      </c>
      <c r="D996" s="4" t="s">
        <v>1975</v>
      </c>
      <c r="E996" s="4" t="s">
        <v>6733</v>
      </c>
      <c r="F996" s="7" t="n">
        <v>87771.68</v>
      </c>
      <c r="G996" s="24" t="s">
        <v>5951</v>
      </c>
      <c r="H996" s="4" t="s">
        <v>1972</v>
      </c>
      <c r="I996" s="4"/>
    </row>
    <row r="997" customFormat="false" ht="15" hidden="false" customHeight="false" outlineLevel="0" collapsed="false">
      <c r="A997" s="4" t="s">
        <v>1978</v>
      </c>
      <c r="B997" s="23" t="n">
        <v>994</v>
      </c>
      <c r="C997" s="6" t="n">
        <v>46281</v>
      </c>
      <c r="D997" s="4" t="s">
        <v>1980</v>
      </c>
      <c r="E997" s="4" t="s">
        <v>6734</v>
      </c>
      <c r="F997" s="7" t="n">
        <v>79812.2</v>
      </c>
      <c r="G997" s="24" t="s">
        <v>5951</v>
      </c>
      <c r="H997" s="4" t="s">
        <v>1977</v>
      </c>
      <c r="I997" s="4"/>
    </row>
    <row r="998" customFormat="false" ht="15" hidden="false" customHeight="false" outlineLevel="0" collapsed="false">
      <c r="A998" s="4" t="s">
        <v>1983</v>
      </c>
      <c r="B998" s="23" t="n">
        <v>995</v>
      </c>
      <c r="C998" s="6" t="n">
        <v>46281</v>
      </c>
      <c r="D998" s="4" t="s">
        <v>1985</v>
      </c>
      <c r="E998" s="4" t="s">
        <v>6735</v>
      </c>
      <c r="F998" s="7" t="n">
        <v>66003.62</v>
      </c>
      <c r="G998" s="24" t="s">
        <v>5951</v>
      </c>
      <c r="H998" s="4" t="s">
        <v>1982</v>
      </c>
      <c r="I998" s="4"/>
    </row>
    <row r="999" customFormat="false" ht="15" hidden="false" customHeight="false" outlineLevel="0" collapsed="false">
      <c r="A999" s="4" t="s">
        <v>4486</v>
      </c>
      <c r="B999" s="23" t="n">
        <v>996</v>
      </c>
      <c r="C999" s="6" t="n">
        <v>46281</v>
      </c>
      <c r="D999" s="4" t="s">
        <v>4488</v>
      </c>
      <c r="E999" s="4" t="s">
        <v>6736</v>
      </c>
      <c r="F999" s="7" t="n">
        <v>44111.28</v>
      </c>
      <c r="G999" s="24" t="s">
        <v>5951</v>
      </c>
      <c r="H999" s="4" t="s">
        <v>4485</v>
      </c>
      <c r="I999" s="4"/>
    </row>
    <row r="1000" customFormat="false" ht="15" hidden="false" customHeight="false" outlineLevel="0" collapsed="false">
      <c r="A1000" s="4" t="s">
        <v>1988</v>
      </c>
      <c r="B1000" s="23" t="n">
        <v>997</v>
      </c>
      <c r="C1000" s="6" t="n">
        <v>46281</v>
      </c>
      <c r="D1000" s="4" t="s">
        <v>1990</v>
      </c>
      <c r="E1000" s="4" t="s">
        <v>6737</v>
      </c>
      <c r="F1000" s="7" t="n">
        <v>33367.45</v>
      </c>
      <c r="G1000" s="24" t="s">
        <v>5951</v>
      </c>
      <c r="H1000" s="4" t="s">
        <v>1987</v>
      </c>
      <c r="I1000" s="4"/>
    </row>
    <row r="1001" customFormat="false" ht="15" hidden="false" customHeight="false" outlineLevel="0" collapsed="false">
      <c r="A1001" s="4" t="s">
        <v>4491</v>
      </c>
      <c r="B1001" s="23" t="n">
        <v>998</v>
      </c>
      <c r="C1001" s="6" t="n">
        <v>46281</v>
      </c>
      <c r="D1001" s="4" t="s">
        <v>4493</v>
      </c>
      <c r="E1001" s="4" t="s">
        <v>6738</v>
      </c>
      <c r="F1001" s="7" t="n">
        <v>-53999.61</v>
      </c>
      <c r="G1001" s="24" t="s">
        <v>5951</v>
      </c>
      <c r="H1001" s="4" t="s">
        <v>4490</v>
      </c>
      <c r="I1001" s="4"/>
    </row>
    <row r="1002" customFormat="false" ht="15" hidden="false" customHeight="false" outlineLevel="0" collapsed="false">
      <c r="A1002" s="4" t="s">
        <v>5714</v>
      </c>
      <c r="B1002" s="23" t="n">
        <v>999</v>
      </c>
      <c r="C1002" s="6" t="n">
        <v>46281</v>
      </c>
      <c r="D1002" s="4" t="s">
        <v>5716</v>
      </c>
      <c r="E1002" s="4" t="s">
        <v>6739</v>
      </c>
      <c r="F1002" s="7" t="n">
        <v>-6843.9</v>
      </c>
      <c r="G1002" s="24" t="s">
        <v>5951</v>
      </c>
      <c r="H1002" s="4" t="s">
        <v>5713</v>
      </c>
      <c r="I1002" s="4"/>
    </row>
    <row r="1003" customFormat="false" ht="15" hidden="false" customHeight="false" outlineLevel="0" collapsed="false">
      <c r="A1003" s="4" t="s">
        <v>1993</v>
      </c>
      <c r="B1003" s="23" t="n">
        <v>1000</v>
      </c>
      <c r="C1003" s="6" t="n">
        <v>46281</v>
      </c>
      <c r="D1003" s="4" t="s">
        <v>1995</v>
      </c>
      <c r="E1003" s="4" t="s">
        <v>6740</v>
      </c>
      <c r="F1003" s="7" t="n">
        <v>-12313.56</v>
      </c>
      <c r="G1003" s="24" t="s">
        <v>5951</v>
      </c>
      <c r="H1003" s="4" t="s">
        <v>1992</v>
      </c>
      <c r="I1003" s="4"/>
    </row>
    <row r="1004" customFormat="false" ht="15" hidden="false" customHeight="false" outlineLevel="0" collapsed="false">
      <c r="A1004" s="4" t="s">
        <v>4496</v>
      </c>
      <c r="B1004" s="23" t="n">
        <v>1001</v>
      </c>
      <c r="C1004" s="6" t="n">
        <v>46281</v>
      </c>
      <c r="D1004" s="4" t="s">
        <v>4498</v>
      </c>
      <c r="E1004" s="4" t="s">
        <v>6741</v>
      </c>
      <c r="F1004" s="7" t="n">
        <v>-54027.23</v>
      </c>
      <c r="G1004" s="24" t="s">
        <v>5951</v>
      </c>
      <c r="H1004" s="4" t="s">
        <v>4495</v>
      </c>
      <c r="I1004" s="4"/>
    </row>
    <row r="1005" customFormat="false" ht="15" hidden="false" customHeight="false" outlineLevel="0" collapsed="false">
      <c r="A1005" s="4" t="s">
        <v>5719</v>
      </c>
      <c r="B1005" s="23" t="n">
        <v>1002</v>
      </c>
      <c r="C1005" s="6" t="n">
        <v>46281</v>
      </c>
      <c r="D1005" s="4" t="s">
        <v>5721</v>
      </c>
      <c r="E1005" s="4" t="s">
        <v>6742</v>
      </c>
      <c r="F1005" s="7" t="n">
        <v>-26867.76</v>
      </c>
      <c r="G1005" s="24" t="s">
        <v>5951</v>
      </c>
      <c r="H1005" s="4" t="s">
        <v>5718</v>
      </c>
      <c r="I1005" s="4"/>
    </row>
    <row r="1006" customFormat="false" ht="15" hidden="false" customHeight="false" outlineLevel="0" collapsed="false">
      <c r="A1006" s="4" t="s">
        <v>3664</v>
      </c>
      <c r="B1006" s="23" t="n">
        <v>1003</v>
      </c>
      <c r="C1006" s="6" t="n">
        <v>46281</v>
      </c>
      <c r="D1006" s="4" t="s">
        <v>3666</v>
      </c>
      <c r="E1006" s="4" t="s">
        <v>6743</v>
      </c>
      <c r="F1006" s="7" t="n">
        <v>-2983.42</v>
      </c>
      <c r="G1006" s="24" t="s">
        <v>5951</v>
      </c>
      <c r="H1006" s="4" t="s">
        <v>3663</v>
      </c>
      <c r="I1006" s="4"/>
    </row>
    <row r="1007" customFormat="false" ht="15" hidden="false" customHeight="false" outlineLevel="0" collapsed="false">
      <c r="A1007" s="4" t="s">
        <v>4866</v>
      </c>
      <c r="B1007" s="23" t="n">
        <v>1004</v>
      </c>
      <c r="C1007" s="6" t="n">
        <v>46281</v>
      </c>
      <c r="D1007" s="4" t="s">
        <v>4868</v>
      </c>
      <c r="E1007" s="4" t="s">
        <v>6744</v>
      </c>
      <c r="F1007" s="7" t="n">
        <v>-50370.66</v>
      </c>
      <c r="G1007" s="24" t="s">
        <v>5951</v>
      </c>
      <c r="H1007" s="4" t="s">
        <v>4865</v>
      </c>
      <c r="I1007" s="4"/>
    </row>
    <row r="1008" customFormat="false" ht="15" hidden="false" customHeight="false" outlineLevel="0" collapsed="false">
      <c r="A1008" s="4" t="s">
        <v>1997</v>
      </c>
      <c r="B1008" s="23" t="n">
        <v>1005</v>
      </c>
      <c r="C1008" s="6" t="n">
        <v>46281</v>
      </c>
      <c r="D1008" s="4" t="s">
        <v>1999</v>
      </c>
      <c r="E1008" s="4" t="s">
        <v>6745</v>
      </c>
      <c r="F1008" s="7" t="n">
        <v>-15300.03</v>
      </c>
      <c r="G1008" s="24" t="s">
        <v>5951</v>
      </c>
      <c r="H1008" s="4" t="s">
        <v>1996</v>
      </c>
      <c r="I1008" s="4"/>
    </row>
    <row r="1009" customFormat="false" ht="15" hidden="false" customHeight="false" outlineLevel="0" collapsed="false">
      <c r="A1009" s="4" t="s">
        <v>5270</v>
      </c>
      <c r="B1009" s="23" t="n">
        <v>1006</v>
      </c>
      <c r="C1009" s="6" t="n">
        <v>46281</v>
      </c>
      <c r="D1009" s="4" t="s">
        <v>5272</v>
      </c>
      <c r="E1009" s="4" t="s">
        <v>6746</v>
      </c>
      <c r="F1009" s="7" t="n">
        <v>-18855.54</v>
      </c>
      <c r="G1009" s="24" t="s">
        <v>5951</v>
      </c>
      <c r="H1009" s="4" t="s">
        <v>5269</v>
      </c>
      <c r="I1009" s="4"/>
    </row>
    <row r="1010" customFormat="false" ht="15" hidden="false" customHeight="false" outlineLevel="0" collapsed="false">
      <c r="A1010" s="4" t="s">
        <v>5724</v>
      </c>
      <c r="B1010" s="23" t="n">
        <v>1007</v>
      </c>
      <c r="C1010" s="6" t="n">
        <v>46281</v>
      </c>
      <c r="D1010" s="4" t="s">
        <v>5726</v>
      </c>
      <c r="E1010" s="4" t="s">
        <v>6747</v>
      </c>
      <c r="F1010" s="7" t="n">
        <v>-55554.69</v>
      </c>
      <c r="G1010" s="24" t="s">
        <v>5951</v>
      </c>
      <c r="H1010" s="4" t="s">
        <v>5723</v>
      </c>
      <c r="I1010" s="4"/>
    </row>
    <row r="1011" customFormat="false" ht="15" hidden="false" customHeight="false" outlineLevel="0" collapsed="false">
      <c r="A1011" s="4" t="s">
        <v>2002</v>
      </c>
      <c r="B1011" s="23" t="n">
        <v>1008</v>
      </c>
      <c r="C1011" s="6" t="n">
        <v>46282</v>
      </c>
      <c r="D1011" s="4" t="s">
        <v>2004</v>
      </c>
      <c r="E1011" s="4" t="s">
        <v>6748</v>
      </c>
      <c r="F1011" s="7" t="n">
        <v>47404.1</v>
      </c>
      <c r="G1011" s="24" t="s">
        <v>5951</v>
      </c>
      <c r="H1011" s="4" t="s">
        <v>2001</v>
      </c>
      <c r="I1011" s="4"/>
    </row>
    <row r="1012" customFormat="false" ht="15" hidden="false" customHeight="false" outlineLevel="0" collapsed="false">
      <c r="A1012" s="4" t="s">
        <v>3669</v>
      </c>
      <c r="B1012" s="23" t="n">
        <v>1009</v>
      </c>
      <c r="C1012" s="6" t="n">
        <v>46282</v>
      </c>
      <c r="D1012" s="4" t="s">
        <v>3671</v>
      </c>
      <c r="E1012" s="4" t="s">
        <v>6749</v>
      </c>
      <c r="F1012" s="7" t="n">
        <v>71750.39</v>
      </c>
      <c r="G1012" s="24" t="s">
        <v>5951</v>
      </c>
      <c r="H1012" s="4" t="s">
        <v>3668</v>
      </c>
      <c r="I1012" s="4"/>
    </row>
    <row r="1013" customFormat="false" ht="15" hidden="false" customHeight="false" outlineLevel="0" collapsed="false">
      <c r="A1013" s="4" t="s">
        <v>2007</v>
      </c>
      <c r="B1013" s="23" t="n">
        <v>1010</v>
      </c>
      <c r="C1013" s="6" t="n">
        <v>46282</v>
      </c>
      <c r="D1013" s="4" t="s">
        <v>2009</v>
      </c>
      <c r="E1013" s="4" t="s">
        <v>6750</v>
      </c>
      <c r="F1013" s="7" t="n">
        <v>33817.32</v>
      </c>
      <c r="G1013" s="24" t="s">
        <v>5951</v>
      </c>
      <c r="H1013" s="4" t="s">
        <v>2006</v>
      </c>
      <c r="I1013" s="4"/>
    </row>
    <row r="1014" customFormat="false" ht="15" hidden="false" customHeight="false" outlineLevel="0" collapsed="false">
      <c r="A1014" s="4" t="s">
        <v>4501</v>
      </c>
      <c r="B1014" s="23" t="n">
        <v>1011</v>
      </c>
      <c r="C1014" s="6" t="n">
        <v>46282</v>
      </c>
      <c r="D1014" s="4" t="s">
        <v>4503</v>
      </c>
      <c r="E1014" s="4"/>
      <c r="F1014" s="7" t="n">
        <v>7635.99</v>
      </c>
      <c r="G1014" s="24" t="s">
        <v>5951</v>
      </c>
      <c r="H1014" s="4" t="s">
        <v>4500</v>
      </c>
      <c r="I1014" s="4"/>
    </row>
    <row r="1015" customFormat="false" ht="15" hidden="false" customHeight="false" outlineLevel="0" collapsed="false">
      <c r="A1015" s="4" t="s">
        <v>2012</v>
      </c>
      <c r="B1015" s="23" t="n">
        <v>1012</v>
      </c>
      <c r="C1015" s="6" t="n">
        <v>46282</v>
      </c>
      <c r="D1015" s="4" t="s">
        <v>2014</v>
      </c>
      <c r="E1015" s="4"/>
      <c r="F1015" s="7" t="n">
        <v>9107.02</v>
      </c>
      <c r="G1015" s="24" t="s">
        <v>5951</v>
      </c>
      <c r="H1015" s="4" t="s">
        <v>2011</v>
      </c>
      <c r="I1015" s="4"/>
    </row>
    <row r="1016" customFormat="false" ht="15" hidden="false" customHeight="false" outlineLevel="0" collapsed="false">
      <c r="A1016" s="4" t="s">
        <v>2017</v>
      </c>
      <c r="B1016" s="23" t="n">
        <v>1013</v>
      </c>
      <c r="C1016" s="6" t="n">
        <v>46282</v>
      </c>
      <c r="D1016" s="4" t="s">
        <v>2019</v>
      </c>
      <c r="E1016" s="4" t="s">
        <v>6751</v>
      </c>
      <c r="F1016" s="7" t="n">
        <v>41202.5</v>
      </c>
      <c r="G1016" s="24" t="s">
        <v>5951</v>
      </c>
      <c r="H1016" s="4" t="s">
        <v>2016</v>
      </c>
      <c r="I1016" s="4"/>
    </row>
    <row r="1017" customFormat="false" ht="15" hidden="false" customHeight="false" outlineLevel="0" collapsed="false">
      <c r="A1017" s="4" t="s">
        <v>4506</v>
      </c>
      <c r="B1017" s="23" t="n">
        <v>1014</v>
      </c>
      <c r="C1017" s="6" t="n">
        <v>46282</v>
      </c>
      <c r="D1017" s="4" t="s">
        <v>4508</v>
      </c>
      <c r="E1017" s="4" t="s">
        <v>6752</v>
      </c>
      <c r="F1017" s="7" t="n">
        <v>14673.01</v>
      </c>
      <c r="G1017" s="24" t="s">
        <v>5951</v>
      </c>
      <c r="H1017" s="4" t="s">
        <v>4505</v>
      </c>
      <c r="I1017" s="4"/>
    </row>
    <row r="1018" customFormat="false" ht="15" hidden="false" customHeight="false" outlineLevel="0" collapsed="false">
      <c r="A1018" s="4" t="s">
        <v>3674</v>
      </c>
      <c r="B1018" s="23" t="n">
        <v>1015</v>
      </c>
      <c r="C1018" s="6" t="n">
        <v>46282</v>
      </c>
      <c r="D1018" s="4" t="s">
        <v>3676</v>
      </c>
      <c r="E1018" s="4" t="s">
        <v>6753</v>
      </c>
      <c r="F1018" s="7" t="n">
        <v>79265.32</v>
      </c>
      <c r="G1018" s="24" t="s">
        <v>5951</v>
      </c>
      <c r="H1018" s="4" t="s">
        <v>3673</v>
      </c>
      <c r="I1018" s="4"/>
    </row>
    <row r="1019" customFormat="false" ht="15" hidden="false" customHeight="false" outlineLevel="0" collapsed="false">
      <c r="A1019" s="4" t="s">
        <v>5275</v>
      </c>
      <c r="B1019" s="23" t="n">
        <v>1016</v>
      </c>
      <c r="C1019" s="6" t="n">
        <v>46282</v>
      </c>
      <c r="D1019" s="4" t="s">
        <v>5277</v>
      </c>
      <c r="E1019" s="4" t="s">
        <v>6754</v>
      </c>
      <c r="F1019" s="7" t="n">
        <v>-54113.71</v>
      </c>
      <c r="G1019" s="24" t="s">
        <v>5951</v>
      </c>
      <c r="H1019" s="4" t="s">
        <v>5274</v>
      </c>
      <c r="I1019" s="4"/>
    </row>
    <row r="1020" customFormat="false" ht="15" hidden="false" customHeight="false" outlineLevel="0" collapsed="false">
      <c r="A1020" s="4" t="s">
        <v>4871</v>
      </c>
      <c r="B1020" s="23" t="n">
        <v>1017</v>
      </c>
      <c r="C1020" s="6" t="n">
        <v>46282</v>
      </c>
      <c r="D1020" s="4" t="s">
        <v>4873</v>
      </c>
      <c r="E1020" s="4" t="s">
        <v>6755</v>
      </c>
      <c r="F1020" s="7" t="n">
        <v>-21192.77</v>
      </c>
      <c r="G1020" s="24" t="s">
        <v>5951</v>
      </c>
      <c r="H1020" s="4" t="s">
        <v>4870</v>
      </c>
      <c r="I1020" s="4"/>
    </row>
    <row r="1021" customFormat="false" ht="15" hidden="false" customHeight="false" outlineLevel="0" collapsed="false">
      <c r="A1021" s="4" t="s">
        <v>4511</v>
      </c>
      <c r="B1021" s="23" t="n">
        <v>1018</v>
      </c>
      <c r="C1021" s="6" t="n">
        <v>46283</v>
      </c>
      <c r="D1021" s="4" t="s">
        <v>4513</v>
      </c>
      <c r="E1021" s="4"/>
      <c r="F1021" s="7" t="n">
        <v>92549.14</v>
      </c>
      <c r="G1021" s="24" t="s">
        <v>5951</v>
      </c>
      <c r="H1021" s="4" t="s">
        <v>4510</v>
      </c>
      <c r="I1021" s="4"/>
    </row>
    <row r="1022" customFormat="false" ht="15" hidden="false" customHeight="false" outlineLevel="0" collapsed="false">
      <c r="A1022" s="4" t="s">
        <v>2022</v>
      </c>
      <c r="B1022" s="23" t="n">
        <v>1019</v>
      </c>
      <c r="C1022" s="6" t="n">
        <v>46283</v>
      </c>
      <c r="D1022" s="4" t="s">
        <v>2024</v>
      </c>
      <c r="E1022" s="4" t="s">
        <v>6756</v>
      </c>
      <c r="F1022" s="7" t="n">
        <v>41349.34</v>
      </c>
      <c r="G1022" s="24" t="s">
        <v>5951</v>
      </c>
      <c r="H1022" s="4" t="s">
        <v>2021</v>
      </c>
      <c r="I1022" s="4"/>
    </row>
    <row r="1023" customFormat="false" ht="15" hidden="false" customHeight="false" outlineLevel="0" collapsed="false">
      <c r="A1023" s="4" t="s">
        <v>4516</v>
      </c>
      <c r="B1023" s="23" t="n">
        <v>1020</v>
      </c>
      <c r="C1023" s="6" t="n">
        <v>46283</v>
      </c>
      <c r="D1023" s="4" t="s">
        <v>4518</v>
      </c>
      <c r="E1023" s="4" t="s">
        <v>6757</v>
      </c>
      <c r="F1023" s="7" t="n">
        <v>56219.47</v>
      </c>
      <c r="G1023" s="24" t="s">
        <v>5951</v>
      </c>
      <c r="H1023" s="4" t="s">
        <v>4515</v>
      </c>
      <c r="I1023" s="4"/>
    </row>
    <row r="1024" customFormat="false" ht="15" hidden="false" customHeight="false" outlineLevel="0" collapsed="false">
      <c r="A1024" s="4" t="s">
        <v>4521</v>
      </c>
      <c r="B1024" s="23" t="n">
        <v>1021</v>
      </c>
      <c r="C1024" s="6" t="n">
        <v>46283</v>
      </c>
      <c r="D1024" s="4" t="s">
        <v>4523</v>
      </c>
      <c r="E1024" s="4" t="s">
        <v>6758</v>
      </c>
      <c r="F1024" s="7" t="n">
        <v>73769.85</v>
      </c>
      <c r="G1024" s="24" t="s">
        <v>5951</v>
      </c>
      <c r="H1024" s="4" t="s">
        <v>4520</v>
      </c>
      <c r="I1024" s="4"/>
    </row>
    <row r="1025" customFormat="false" ht="15" hidden="false" customHeight="false" outlineLevel="0" collapsed="false">
      <c r="A1025" s="4" t="s">
        <v>2027</v>
      </c>
      <c r="B1025" s="23" t="n">
        <v>1022</v>
      </c>
      <c r="C1025" s="6" t="n">
        <v>46283</v>
      </c>
      <c r="D1025" s="4" t="s">
        <v>2029</v>
      </c>
      <c r="E1025" s="4" t="s">
        <v>6759</v>
      </c>
      <c r="F1025" s="7" t="n">
        <v>27608.42</v>
      </c>
      <c r="G1025" s="24" t="s">
        <v>5951</v>
      </c>
      <c r="H1025" s="4" t="s">
        <v>2026</v>
      </c>
      <c r="I1025" s="4"/>
    </row>
    <row r="1026" customFormat="false" ht="15" hidden="false" customHeight="false" outlineLevel="0" collapsed="false">
      <c r="A1026" s="4" t="s">
        <v>3679</v>
      </c>
      <c r="B1026" s="23" t="n">
        <v>1023</v>
      </c>
      <c r="C1026" s="6" t="n">
        <v>46283</v>
      </c>
      <c r="D1026" s="4" t="s">
        <v>3681</v>
      </c>
      <c r="E1026" s="4" t="s">
        <v>6760</v>
      </c>
      <c r="F1026" s="7" t="n">
        <v>86703.64</v>
      </c>
      <c r="G1026" s="24" t="s">
        <v>5951</v>
      </c>
      <c r="H1026" s="4" t="s">
        <v>3678</v>
      </c>
      <c r="I1026" s="4"/>
    </row>
    <row r="1027" customFormat="false" ht="15" hidden="false" customHeight="false" outlineLevel="0" collapsed="false">
      <c r="A1027" s="4" t="s">
        <v>4526</v>
      </c>
      <c r="B1027" s="23" t="n">
        <v>1024</v>
      </c>
      <c r="C1027" s="6" t="n">
        <v>46283</v>
      </c>
      <c r="D1027" s="4" t="s">
        <v>4528</v>
      </c>
      <c r="E1027" s="4"/>
      <c r="F1027" s="7" t="n">
        <v>57927.7</v>
      </c>
      <c r="G1027" s="24" t="s">
        <v>5951</v>
      </c>
      <c r="H1027" s="4" t="s">
        <v>4525</v>
      </c>
      <c r="I1027" s="4"/>
    </row>
    <row r="1028" customFormat="false" ht="15" hidden="false" customHeight="false" outlineLevel="0" collapsed="false">
      <c r="A1028" s="4" t="s">
        <v>3684</v>
      </c>
      <c r="B1028" s="23" t="n">
        <v>1025</v>
      </c>
      <c r="C1028" s="6" t="n">
        <v>46283</v>
      </c>
      <c r="D1028" s="4" t="s">
        <v>3686</v>
      </c>
      <c r="E1028" s="4" t="s">
        <v>6761</v>
      </c>
      <c r="F1028" s="7" t="n">
        <v>-44764.01</v>
      </c>
      <c r="G1028" s="24" t="s">
        <v>5951</v>
      </c>
      <c r="H1028" s="4" t="s">
        <v>3683</v>
      </c>
      <c r="I1028" s="4"/>
    </row>
    <row r="1029" customFormat="false" ht="15" hidden="false" customHeight="false" outlineLevel="0" collapsed="false">
      <c r="A1029" s="4" t="s">
        <v>4876</v>
      </c>
      <c r="B1029" s="23" t="n">
        <v>1026</v>
      </c>
      <c r="C1029" s="6" t="n">
        <v>46283</v>
      </c>
      <c r="D1029" s="4" t="s">
        <v>4878</v>
      </c>
      <c r="E1029" s="4" t="s">
        <v>6762</v>
      </c>
      <c r="F1029" s="7" t="n">
        <v>-40158.68</v>
      </c>
      <c r="G1029" s="24" t="s">
        <v>5951</v>
      </c>
      <c r="H1029" s="4" t="s">
        <v>4875</v>
      </c>
      <c r="I1029" s="4"/>
    </row>
    <row r="1030" customFormat="false" ht="15" hidden="false" customHeight="false" outlineLevel="0" collapsed="false">
      <c r="A1030" s="4" t="s">
        <v>5280</v>
      </c>
      <c r="B1030" s="23" t="n">
        <v>1027</v>
      </c>
      <c r="C1030" s="6" t="n">
        <v>46283</v>
      </c>
      <c r="D1030" s="4" t="s">
        <v>5282</v>
      </c>
      <c r="E1030" s="4" t="s">
        <v>6763</v>
      </c>
      <c r="F1030" s="7" t="n">
        <v>-31034.47</v>
      </c>
      <c r="G1030" s="24" t="s">
        <v>5951</v>
      </c>
      <c r="H1030" s="4" t="s">
        <v>5279</v>
      </c>
      <c r="I1030" s="4"/>
    </row>
    <row r="1031" customFormat="false" ht="15" hidden="false" customHeight="false" outlineLevel="0" collapsed="false">
      <c r="A1031" s="4" t="s">
        <v>2032</v>
      </c>
      <c r="B1031" s="23" t="n">
        <v>1028</v>
      </c>
      <c r="C1031" s="6" t="n">
        <v>46283</v>
      </c>
      <c r="D1031" s="4" t="s">
        <v>2034</v>
      </c>
      <c r="E1031" s="4" t="s">
        <v>6764</v>
      </c>
      <c r="F1031" s="7" t="n">
        <v>-22715.17</v>
      </c>
      <c r="G1031" s="24" t="s">
        <v>5951</v>
      </c>
      <c r="H1031" s="4" t="s">
        <v>2031</v>
      </c>
      <c r="I1031" s="4"/>
    </row>
    <row r="1032" customFormat="false" ht="15" hidden="false" customHeight="false" outlineLevel="0" collapsed="false">
      <c r="A1032" s="4" t="s">
        <v>4531</v>
      </c>
      <c r="B1032" s="23" t="n">
        <v>1029</v>
      </c>
      <c r="C1032" s="6" t="n">
        <v>46283</v>
      </c>
      <c r="D1032" s="4" t="s">
        <v>4533</v>
      </c>
      <c r="E1032" s="4" t="s">
        <v>6765</v>
      </c>
      <c r="F1032" s="7" t="n">
        <v>-29594.79</v>
      </c>
      <c r="G1032" s="24" t="s">
        <v>5951</v>
      </c>
      <c r="H1032" s="4" t="s">
        <v>4530</v>
      </c>
      <c r="I1032" s="4"/>
    </row>
    <row r="1033" customFormat="false" ht="15" hidden="false" customHeight="false" outlineLevel="0" collapsed="false">
      <c r="A1033" s="4" t="s">
        <v>5285</v>
      </c>
      <c r="B1033" s="23" t="n">
        <v>1030</v>
      </c>
      <c r="C1033" s="6" t="n">
        <v>46283</v>
      </c>
      <c r="D1033" s="4" t="s">
        <v>5287</v>
      </c>
      <c r="E1033" s="4" t="s">
        <v>6766</v>
      </c>
      <c r="F1033" s="7" t="n">
        <v>-32550.32</v>
      </c>
      <c r="G1033" s="24" t="s">
        <v>5951</v>
      </c>
      <c r="H1033" s="4" t="s">
        <v>5284</v>
      </c>
      <c r="I1033" s="4"/>
    </row>
    <row r="1034" customFormat="false" ht="15" hidden="false" customHeight="false" outlineLevel="0" collapsed="false">
      <c r="A1034" s="4" t="s">
        <v>4536</v>
      </c>
      <c r="B1034" s="23" t="n">
        <v>1031</v>
      </c>
      <c r="C1034" s="6" t="n">
        <v>46283</v>
      </c>
      <c r="D1034" s="4" t="s">
        <v>4538</v>
      </c>
      <c r="E1034" s="4" t="s">
        <v>6767</v>
      </c>
      <c r="F1034" s="7" t="n">
        <v>-15917.23</v>
      </c>
      <c r="G1034" s="24" t="s">
        <v>5951</v>
      </c>
      <c r="H1034" s="4" t="s">
        <v>4535</v>
      </c>
      <c r="I1034" s="4"/>
    </row>
    <row r="1035" customFormat="false" ht="15" hidden="false" customHeight="false" outlineLevel="0" collapsed="false">
      <c r="A1035" s="4" t="s">
        <v>2037</v>
      </c>
      <c r="B1035" s="23" t="n">
        <v>1032</v>
      </c>
      <c r="C1035" s="6" t="n">
        <v>46283</v>
      </c>
      <c r="D1035" s="4" t="s">
        <v>2039</v>
      </c>
      <c r="E1035" s="4" t="s">
        <v>6768</v>
      </c>
      <c r="F1035" s="7" t="n">
        <v>-5665.38</v>
      </c>
      <c r="G1035" s="24" t="s">
        <v>5951</v>
      </c>
      <c r="H1035" s="4" t="s">
        <v>2036</v>
      </c>
      <c r="I1035" s="4"/>
    </row>
    <row r="1036" customFormat="false" ht="15" hidden="false" customHeight="false" outlineLevel="0" collapsed="false">
      <c r="A1036" s="4" t="s">
        <v>5290</v>
      </c>
      <c r="B1036" s="23" t="n">
        <v>1033</v>
      </c>
      <c r="C1036" s="6" t="n">
        <v>46283</v>
      </c>
      <c r="D1036" s="4" t="s">
        <v>5292</v>
      </c>
      <c r="E1036" s="4" t="s">
        <v>6769</v>
      </c>
      <c r="F1036" s="7" t="n">
        <v>-30852.69</v>
      </c>
      <c r="G1036" s="24" t="s">
        <v>5951</v>
      </c>
      <c r="H1036" s="4" t="s">
        <v>5289</v>
      </c>
      <c r="I1036" s="4"/>
    </row>
    <row r="1037" customFormat="false" ht="15" hidden="false" customHeight="false" outlineLevel="0" collapsed="false">
      <c r="A1037" s="4" t="s">
        <v>4541</v>
      </c>
      <c r="B1037" s="23" t="n">
        <v>1034</v>
      </c>
      <c r="C1037" s="6" t="n">
        <v>46283</v>
      </c>
      <c r="D1037" s="4" t="s">
        <v>4543</v>
      </c>
      <c r="E1037" s="4" t="s">
        <v>6770</v>
      </c>
      <c r="F1037" s="7" t="n">
        <v>-26142.54</v>
      </c>
      <c r="G1037" s="24" t="s">
        <v>5951</v>
      </c>
      <c r="H1037" s="4" t="s">
        <v>4540</v>
      </c>
      <c r="I1037" s="4"/>
    </row>
    <row r="1038" customFormat="false" ht="15" hidden="false" customHeight="false" outlineLevel="0" collapsed="false">
      <c r="A1038" s="4" t="s">
        <v>369</v>
      </c>
      <c r="B1038" s="23" t="n">
        <v>1035</v>
      </c>
      <c r="C1038" s="6" t="n">
        <v>46283</v>
      </c>
      <c r="D1038" s="4" t="s">
        <v>5924</v>
      </c>
      <c r="E1038" s="4"/>
      <c r="F1038" s="7" t="n">
        <v>-3659.96</v>
      </c>
      <c r="G1038" s="25" t="s">
        <v>5987</v>
      </c>
      <c r="H1038" s="4" t="s">
        <v>5923</v>
      </c>
      <c r="I1038" s="4" t="s">
        <v>368</v>
      </c>
    </row>
    <row r="1039" customFormat="false" ht="15" hidden="false" customHeight="false" outlineLevel="0" collapsed="false">
      <c r="A1039" s="4" t="s">
        <v>3689</v>
      </c>
      <c r="B1039" s="23" t="n">
        <v>1036</v>
      </c>
      <c r="C1039" s="6" t="n">
        <v>46284</v>
      </c>
      <c r="D1039" s="4" t="s">
        <v>3691</v>
      </c>
      <c r="E1039" s="4"/>
      <c r="F1039" s="7" t="n">
        <v>57845.53</v>
      </c>
      <c r="G1039" s="24" t="s">
        <v>5951</v>
      </c>
      <c r="H1039" s="4" t="s">
        <v>3688</v>
      </c>
      <c r="I1039" s="4"/>
    </row>
    <row r="1040" customFormat="false" ht="15" hidden="false" customHeight="false" outlineLevel="0" collapsed="false">
      <c r="A1040" s="4" t="s">
        <v>2042</v>
      </c>
      <c r="B1040" s="23" t="n">
        <v>1037</v>
      </c>
      <c r="C1040" s="6" t="n">
        <v>46284</v>
      </c>
      <c r="D1040" s="4" t="s">
        <v>2044</v>
      </c>
      <c r="E1040" s="4" t="s">
        <v>6771</v>
      </c>
      <c r="F1040" s="7" t="n">
        <v>8866.58</v>
      </c>
      <c r="G1040" s="24" t="s">
        <v>5951</v>
      </c>
      <c r="H1040" s="4" t="s">
        <v>2041</v>
      </c>
      <c r="I1040" s="4"/>
    </row>
    <row r="1041" customFormat="false" ht="15" hidden="false" customHeight="false" outlineLevel="0" collapsed="false">
      <c r="A1041" s="4" t="s">
        <v>2047</v>
      </c>
      <c r="B1041" s="23" t="n">
        <v>1038</v>
      </c>
      <c r="C1041" s="6" t="n">
        <v>46284</v>
      </c>
      <c r="D1041" s="4" t="s">
        <v>2049</v>
      </c>
      <c r="E1041" s="4" t="s">
        <v>6772</v>
      </c>
      <c r="F1041" s="7" t="n">
        <v>37896.07</v>
      </c>
      <c r="G1041" s="24" t="s">
        <v>5951</v>
      </c>
      <c r="H1041" s="4" t="s">
        <v>2046</v>
      </c>
      <c r="I1041" s="4"/>
    </row>
    <row r="1042" customFormat="false" ht="15" hidden="false" customHeight="false" outlineLevel="0" collapsed="false">
      <c r="A1042" s="4" t="s">
        <v>2052</v>
      </c>
      <c r="B1042" s="23" t="n">
        <v>1039</v>
      </c>
      <c r="C1042" s="6" t="n">
        <v>46284</v>
      </c>
      <c r="D1042" s="4" t="s">
        <v>2054</v>
      </c>
      <c r="E1042" s="4" t="s">
        <v>6773</v>
      </c>
      <c r="F1042" s="7" t="n">
        <v>31797.31</v>
      </c>
      <c r="G1042" s="24" t="s">
        <v>5951</v>
      </c>
      <c r="H1042" s="4" t="s">
        <v>2051</v>
      </c>
      <c r="I1042" s="4"/>
    </row>
    <row r="1043" customFormat="false" ht="15" hidden="false" customHeight="false" outlineLevel="0" collapsed="false">
      <c r="A1043" s="4" t="s">
        <v>3694</v>
      </c>
      <c r="B1043" s="23" t="n">
        <v>1040</v>
      </c>
      <c r="C1043" s="6" t="n">
        <v>46284</v>
      </c>
      <c r="D1043" s="4" t="s">
        <v>3696</v>
      </c>
      <c r="E1043" s="4" t="s">
        <v>6774</v>
      </c>
      <c r="F1043" s="7" t="n">
        <v>23290.81</v>
      </c>
      <c r="G1043" s="24" t="s">
        <v>5951</v>
      </c>
      <c r="H1043" s="4" t="s">
        <v>3693</v>
      </c>
      <c r="I1043" s="4"/>
    </row>
    <row r="1044" customFormat="false" ht="15" hidden="false" customHeight="false" outlineLevel="0" collapsed="false">
      <c r="A1044" s="4" t="s">
        <v>2057</v>
      </c>
      <c r="B1044" s="23" t="n">
        <v>1041</v>
      </c>
      <c r="C1044" s="6" t="n">
        <v>46284</v>
      </c>
      <c r="D1044" s="4" t="s">
        <v>2059</v>
      </c>
      <c r="E1044" s="4" t="s">
        <v>6775</v>
      </c>
      <c r="F1044" s="7" t="n">
        <v>50238.1</v>
      </c>
      <c r="G1044" s="24" t="s">
        <v>5951</v>
      </c>
      <c r="H1044" s="4" t="s">
        <v>2056</v>
      </c>
      <c r="I1044" s="4"/>
    </row>
    <row r="1045" customFormat="false" ht="15" hidden="false" customHeight="false" outlineLevel="0" collapsed="false">
      <c r="A1045" s="4" t="s">
        <v>3699</v>
      </c>
      <c r="B1045" s="23" t="n">
        <v>1042</v>
      </c>
      <c r="C1045" s="6" t="n">
        <v>46284</v>
      </c>
      <c r="D1045" s="4" t="s">
        <v>3701</v>
      </c>
      <c r="E1045" s="4" t="s">
        <v>6776</v>
      </c>
      <c r="F1045" s="7" t="n">
        <v>60125.18</v>
      </c>
      <c r="G1045" s="24" t="s">
        <v>5951</v>
      </c>
      <c r="H1045" s="4" t="s">
        <v>3698</v>
      </c>
      <c r="I1045" s="4"/>
    </row>
    <row r="1046" customFormat="false" ht="15" hidden="false" customHeight="false" outlineLevel="0" collapsed="false">
      <c r="A1046" s="4" t="s">
        <v>3704</v>
      </c>
      <c r="B1046" s="23" t="n">
        <v>1043</v>
      </c>
      <c r="C1046" s="6" t="n">
        <v>46284</v>
      </c>
      <c r="D1046" s="4" t="s">
        <v>3706</v>
      </c>
      <c r="E1046" s="4" t="s">
        <v>6777</v>
      </c>
      <c r="F1046" s="7" t="n">
        <v>-26658.64</v>
      </c>
      <c r="G1046" s="24" t="s">
        <v>5951</v>
      </c>
      <c r="H1046" s="4" t="s">
        <v>3703</v>
      </c>
      <c r="I1046" s="4"/>
    </row>
    <row r="1047" customFormat="false" ht="15" hidden="false" customHeight="false" outlineLevel="0" collapsed="false">
      <c r="A1047" s="4" t="s">
        <v>2062</v>
      </c>
      <c r="B1047" s="23" t="n">
        <v>1044</v>
      </c>
      <c r="C1047" s="6" t="n">
        <v>46284</v>
      </c>
      <c r="D1047" s="4" t="s">
        <v>2064</v>
      </c>
      <c r="E1047" s="4" t="s">
        <v>6778</v>
      </c>
      <c r="F1047" s="7" t="n">
        <v>-36356.19</v>
      </c>
      <c r="G1047" s="24" t="s">
        <v>5951</v>
      </c>
      <c r="H1047" s="4" t="s">
        <v>2061</v>
      </c>
      <c r="I1047" s="4"/>
    </row>
    <row r="1048" customFormat="false" ht="15" hidden="false" customHeight="false" outlineLevel="0" collapsed="false">
      <c r="A1048" s="4" t="s">
        <v>3709</v>
      </c>
      <c r="B1048" s="23" t="n">
        <v>1045</v>
      </c>
      <c r="C1048" s="6" t="n">
        <v>46284</v>
      </c>
      <c r="D1048" s="4" t="s">
        <v>3711</v>
      </c>
      <c r="E1048" s="4" t="s">
        <v>6779</v>
      </c>
      <c r="F1048" s="7" t="n">
        <v>-8203.69</v>
      </c>
      <c r="G1048" s="24" t="s">
        <v>5951</v>
      </c>
      <c r="H1048" s="4" t="s">
        <v>3708</v>
      </c>
      <c r="I1048" s="4"/>
    </row>
    <row r="1049" customFormat="false" ht="15" hidden="false" customHeight="false" outlineLevel="0" collapsed="false">
      <c r="A1049" s="4" t="s">
        <v>522</v>
      </c>
      <c r="B1049" s="23" t="n">
        <v>1046</v>
      </c>
      <c r="C1049" s="6" t="n">
        <v>46284</v>
      </c>
      <c r="D1049" s="4" t="s">
        <v>5915</v>
      </c>
      <c r="E1049" s="4"/>
      <c r="F1049" s="7" t="n">
        <v>-531.77</v>
      </c>
      <c r="G1049" s="25" t="s">
        <v>5987</v>
      </c>
      <c r="H1049" s="4" t="s">
        <v>5914</v>
      </c>
      <c r="I1049" s="4" t="s">
        <v>521</v>
      </c>
    </row>
    <row r="1050" customFormat="false" ht="15" hidden="false" customHeight="false" outlineLevel="0" collapsed="false">
      <c r="A1050" s="4" t="s">
        <v>2067</v>
      </c>
      <c r="B1050" s="23" t="n">
        <v>1047</v>
      </c>
      <c r="C1050" s="6" t="n">
        <v>46285</v>
      </c>
      <c r="D1050" s="4" t="s">
        <v>2069</v>
      </c>
      <c r="E1050" s="4" t="s">
        <v>6780</v>
      </c>
      <c r="F1050" s="7" t="n">
        <v>68018.74</v>
      </c>
      <c r="G1050" s="24" t="s">
        <v>5951</v>
      </c>
      <c r="H1050" s="4" t="s">
        <v>2066</v>
      </c>
      <c r="I1050" s="4"/>
    </row>
    <row r="1051" customFormat="false" ht="15" hidden="false" customHeight="false" outlineLevel="0" collapsed="false">
      <c r="A1051" s="4" t="s">
        <v>3714</v>
      </c>
      <c r="B1051" s="23" t="n">
        <v>1048</v>
      </c>
      <c r="C1051" s="6" t="n">
        <v>46285</v>
      </c>
      <c r="D1051" s="4" t="s">
        <v>3716</v>
      </c>
      <c r="E1051" s="4" t="s">
        <v>6781</v>
      </c>
      <c r="F1051" s="7" t="n">
        <v>77700.53</v>
      </c>
      <c r="G1051" s="24" t="s">
        <v>5951</v>
      </c>
      <c r="H1051" s="4" t="s">
        <v>3713</v>
      </c>
      <c r="I1051" s="4"/>
    </row>
    <row r="1052" customFormat="false" ht="15" hidden="false" customHeight="false" outlineLevel="0" collapsed="false">
      <c r="A1052" s="4" t="s">
        <v>3719</v>
      </c>
      <c r="B1052" s="23" t="n">
        <v>1049</v>
      </c>
      <c r="C1052" s="6" t="n">
        <v>46285</v>
      </c>
      <c r="D1052" s="4" t="s">
        <v>3721</v>
      </c>
      <c r="E1052" s="4"/>
      <c r="F1052" s="7" t="n">
        <v>25817.2</v>
      </c>
      <c r="G1052" s="24" t="s">
        <v>5951</v>
      </c>
      <c r="H1052" s="4" t="s">
        <v>3718</v>
      </c>
      <c r="I1052" s="4"/>
    </row>
    <row r="1053" customFormat="false" ht="15" hidden="false" customHeight="false" outlineLevel="0" collapsed="false">
      <c r="A1053" s="4" t="s">
        <v>2072</v>
      </c>
      <c r="B1053" s="23" t="n">
        <v>1050</v>
      </c>
      <c r="C1053" s="6" t="n">
        <v>46285</v>
      </c>
      <c r="D1053" s="4" t="s">
        <v>2074</v>
      </c>
      <c r="E1053" s="4"/>
      <c r="F1053" s="7" t="n">
        <v>6750.54</v>
      </c>
      <c r="G1053" s="24" t="s">
        <v>5951</v>
      </c>
      <c r="H1053" s="4" t="s">
        <v>2071</v>
      </c>
      <c r="I1053" s="4"/>
    </row>
    <row r="1054" customFormat="false" ht="15" hidden="false" customHeight="false" outlineLevel="0" collapsed="false">
      <c r="A1054" s="4" t="s">
        <v>3724</v>
      </c>
      <c r="B1054" s="23" t="n">
        <v>1051</v>
      </c>
      <c r="C1054" s="6" t="n">
        <v>46285</v>
      </c>
      <c r="D1054" s="4" t="s">
        <v>3726</v>
      </c>
      <c r="E1054" s="4" t="s">
        <v>6782</v>
      </c>
      <c r="F1054" s="7" t="n">
        <v>29769.39</v>
      </c>
      <c r="G1054" s="24" t="s">
        <v>5951</v>
      </c>
      <c r="H1054" s="4" t="s">
        <v>3723</v>
      </c>
      <c r="I1054" s="4"/>
    </row>
    <row r="1055" customFormat="false" ht="15" hidden="false" customHeight="false" outlineLevel="0" collapsed="false">
      <c r="A1055" s="4" t="s">
        <v>2077</v>
      </c>
      <c r="B1055" s="23" t="n">
        <v>1052</v>
      </c>
      <c r="C1055" s="6" t="n">
        <v>46285</v>
      </c>
      <c r="D1055" s="4" t="s">
        <v>2079</v>
      </c>
      <c r="E1055" s="4" t="s">
        <v>6783</v>
      </c>
      <c r="F1055" s="7" t="n">
        <v>86822.24</v>
      </c>
      <c r="G1055" s="24" t="s">
        <v>5951</v>
      </c>
      <c r="H1055" s="4" t="s">
        <v>2076</v>
      </c>
      <c r="I1055" s="4"/>
    </row>
    <row r="1056" customFormat="false" ht="15" hidden="false" customHeight="false" outlineLevel="0" collapsed="false">
      <c r="A1056" s="4" t="s">
        <v>2082</v>
      </c>
      <c r="B1056" s="23" t="n">
        <v>1053</v>
      </c>
      <c r="C1056" s="6" t="n">
        <v>46285</v>
      </c>
      <c r="D1056" s="4" t="s">
        <v>2084</v>
      </c>
      <c r="E1056" s="4" t="s">
        <v>6784</v>
      </c>
      <c r="F1056" s="7" t="n">
        <v>13112.94</v>
      </c>
      <c r="G1056" s="24" t="s">
        <v>5951</v>
      </c>
      <c r="H1056" s="4" t="s">
        <v>2081</v>
      </c>
      <c r="I1056" s="4"/>
    </row>
    <row r="1057" customFormat="false" ht="15" hidden="false" customHeight="false" outlineLevel="0" collapsed="false">
      <c r="A1057" s="4" t="s">
        <v>2087</v>
      </c>
      <c r="B1057" s="23" t="n">
        <v>1054</v>
      </c>
      <c r="C1057" s="6" t="n">
        <v>46285</v>
      </c>
      <c r="D1057" s="4" t="s">
        <v>2089</v>
      </c>
      <c r="E1057" s="4" t="s">
        <v>6785</v>
      </c>
      <c r="F1057" s="7" t="n">
        <v>59488.21</v>
      </c>
      <c r="G1057" s="24" t="s">
        <v>5951</v>
      </c>
      <c r="H1057" s="4" t="s">
        <v>2086</v>
      </c>
      <c r="I1057" s="4"/>
    </row>
    <row r="1058" customFormat="false" ht="15" hidden="false" customHeight="false" outlineLevel="0" collapsed="false">
      <c r="A1058" s="4" t="s">
        <v>3729</v>
      </c>
      <c r="B1058" s="23" t="n">
        <v>1055</v>
      </c>
      <c r="C1058" s="6" t="n">
        <v>46285</v>
      </c>
      <c r="D1058" s="4" t="s">
        <v>3731</v>
      </c>
      <c r="E1058" s="4" t="s">
        <v>6786</v>
      </c>
      <c r="F1058" s="7" t="n">
        <v>87220.08</v>
      </c>
      <c r="G1058" s="24" t="s">
        <v>5951</v>
      </c>
      <c r="H1058" s="4" t="s">
        <v>3728</v>
      </c>
      <c r="I1058" s="4"/>
    </row>
    <row r="1059" customFormat="false" ht="15" hidden="false" customHeight="false" outlineLevel="0" collapsed="false">
      <c r="A1059" s="4" t="s">
        <v>4546</v>
      </c>
      <c r="B1059" s="23" t="n">
        <v>1056</v>
      </c>
      <c r="C1059" s="6" t="n">
        <v>46285</v>
      </c>
      <c r="D1059" s="4" t="s">
        <v>4548</v>
      </c>
      <c r="E1059" s="4" t="s">
        <v>6787</v>
      </c>
      <c r="F1059" s="7" t="n">
        <v>28751.45</v>
      </c>
      <c r="G1059" s="24" t="s">
        <v>5951</v>
      </c>
      <c r="H1059" s="4" t="s">
        <v>4545</v>
      </c>
      <c r="I1059" s="4"/>
    </row>
    <row r="1060" customFormat="false" ht="15" hidden="false" customHeight="false" outlineLevel="0" collapsed="false">
      <c r="A1060" s="4" t="s">
        <v>2092</v>
      </c>
      <c r="B1060" s="23" t="n">
        <v>1057</v>
      </c>
      <c r="C1060" s="6" t="n">
        <v>46285</v>
      </c>
      <c r="D1060" s="4" t="s">
        <v>2094</v>
      </c>
      <c r="E1060" s="4" t="s">
        <v>6788</v>
      </c>
      <c r="F1060" s="7" t="n">
        <v>89197.99</v>
      </c>
      <c r="G1060" s="24" t="s">
        <v>5951</v>
      </c>
      <c r="H1060" s="4" t="s">
        <v>2091</v>
      </c>
      <c r="I1060" s="4"/>
    </row>
    <row r="1061" customFormat="false" ht="15" hidden="false" customHeight="false" outlineLevel="0" collapsed="false">
      <c r="A1061" s="4" t="s">
        <v>4551</v>
      </c>
      <c r="B1061" s="23" t="n">
        <v>1058</v>
      </c>
      <c r="C1061" s="6" t="n">
        <v>46285</v>
      </c>
      <c r="D1061" s="4" t="s">
        <v>4553</v>
      </c>
      <c r="E1061" s="4"/>
      <c r="F1061" s="7" t="n">
        <v>75099.12</v>
      </c>
      <c r="G1061" s="24" t="s">
        <v>5951</v>
      </c>
      <c r="H1061" s="4" t="s">
        <v>4550</v>
      </c>
      <c r="I1061" s="4"/>
    </row>
    <row r="1062" customFormat="false" ht="15" hidden="false" customHeight="false" outlineLevel="0" collapsed="false">
      <c r="A1062" s="4" t="s">
        <v>4881</v>
      </c>
      <c r="B1062" s="23" t="n">
        <v>1059</v>
      </c>
      <c r="C1062" s="6" t="n">
        <v>46285</v>
      </c>
      <c r="D1062" s="4" t="s">
        <v>4883</v>
      </c>
      <c r="E1062" s="4" t="s">
        <v>6789</v>
      </c>
      <c r="F1062" s="7" t="n">
        <v>-49476.88</v>
      </c>
      <c r="G1062" s="24" t="s">
        <v>5951</v>
      </c>
      <c r="H1062" s="4" t="s">
        <v>4880</v>
      </c>
      <c r="I1062" s="4"/>
    </row>
    <row r="1063" customFormat="false" ht="15" hidden="false" customHeight="false" outlineLevel="0" collapsed="false">
      <c r="A1063" s="4" t="s">
        <v>2097</v>
      </c>
      <c r="B1063" s="23" t="n">
        <v>1060</v>
      </c>
      <c r="C1063" s="6" t="n">
        <v>46285</v>
      </c>
      <c r="D1063" s="4" t="s">
        <v>2099</v>
      </c>
      <c r="E1063" s="4" t="s">
        <v>6790</v>
      </c>
      <c r="F1063" s="7" t="n">
        <v>-32059.04</v>
      </c>
      <c r="G1063" s="24" t="s">
        <v>5951</v>
      </c>
      <c r="H1063" s="4" t="s">
        <v>2096</v>
      </c>
      <c r="I1063" s="4"/>
    </row>
    <row r="1064" customFormat="false" ht="15" hidden="false" customHeight="false" outlineLevel="0" collapsed="false">
      <c r="A1064" s="4" t="s">
        <v>5295</v>
      </c>
      <c r="B1064" s="23" t="n">
        <v>1061</v>
      </c>
      <c r="C1064" s="6" t="n">
        <v>46285</v>
      </c>
      <c r="D1064" s="4" t="s">
        <v>5297</v>
      </c>
      <c r="E1064" s="4" t="s">
        <v>6791</v>
      </c>
      <c r="F1064" s="7" t="n">
        <v>-9627.89</v>
      </c>
      <c r="G1064" s="24" t="s">
        <v>5951</v>
      </c>
      <c r="H1064" s="4" t="s">
        <v>5294</v>
      </c>
      <c r="I1064" s="4"/>
    </row>
    <row r="1065" customFormat="false" ht="15" hidden="false" customHeight="false" outlineLevel="0" collapsed="false">
      <c r="A1065" s="4" t="s">
        <v>4556</v>
      </c>
      <c r="B1065" s="23" t="n">
        <v>1062</v>
      </c>
      <c r="C1065" s="6" t="n">
        <v>46285</v>
      </c>
      <c r="D1065" s="4" t="s">
        <v>4558</v>
      </c>
      <c r="E1065" s="4" t="s">
        <v>6792</v>
      </c>
      <c r="F1065" s="7" t="n">
        <v>-20184.94</v>
      </c>
      <c r="G1065" s="24" t="s">
        <v>5951</v>
      </c>
      <c r="H1065" s="4" t="s">
        <v>4555</v>
      </c>
      <c r="I1065" s="4"/>
    </row>
    <row r="1066" customFormat="false" ht="15" hidden="false" customHeight="false" outlineLevel="0" collapsed="false">
      <c r="A1066" s="4" t="s">
        <v>3734</v>
      </c>
      <c r="B1066" s="23" t="n">
        <v>1063</v>
      </c>
      <c r="C1066" s="6" t="n">
        <v>46285</v>
      </c>
      <c r="D1066" s="4" t="s">
        <v>3736</v>
      </c>
      <c r="E1066" s="4" t="s">
        <v>6793</v>
      </c>
      <c r="F1066" s="7" t="n">
        <v>-56724.56</v>
      </c>
      <c r="G1066" s="24" t="s">
        <v>5951</v>
      </c>
      <c r="H1066" s="4" t="s">
        <v>3733</v>
      </c>
      <c r="I1066" s="4"/>
    </row>
    <row r="1067" customFormat="false" ht="15" hidden="false" customHeight="false" outlineLevel="0" collapsed="false">
      <c r="A1067" s="4" t="s">
        <v>5300</v>
      </c>
      <c r="B1067" s="23" t="n">
        <v>1064</v>
      </c>
      <c r="C1067" s="6" t="n">
        <v>46285</v>
      </c>
      <c r="D1067" s="4" t="s">
        <v>5302</v>
      </c>
      <c r="E1067" s="4" t="s">
        <v>6794</v>
      </c>
      <c r="F1067" s="7" t="n">
        <v>-812.43</v>
      </c>
      <c r="G1067" s="24" t="s">
        <v>5951</v>
      </c>
      <c r="H1067" s="4" t="s">
        <v>5299</v>
      </c>
      <c r="I1067" s="4"/>
    </row>
    <row r="1068" customFormat="false" ht="15" hidden="false" customHeight="false" outlineLevel="0" collapsed="false">
      <c r="A1068" s="4" t="s">
        <v>5838</v>
      </c>
      <c r="B1068" s="23" t="n">
        <v>1065</v>
      </c>
      <c r="C1068" s="6" t="n">
        <v>46285</v>
      </c>
      <c r="D1068" s="4" t="s">
        <v>5814</v>
      </c>
      <c r="E1068" s="4"/>
      <c r="F1068" s="7" t="n">
        <v>-3020.43</v>
      </c>
      <c r="G1068" s="24" t="s">
        <v>5951</v>
      </c>
      <c r="H1068" s="4" t="s">
        <v>5837</v>
      </c>
      <c r="I1068" s="4"/>
    </row>
    <row r="1069" customFormat="false" ht="15" hidden="false" customHeight="false" outlineLevel="0" collapsed="false">
      <c r="A1069" s="4" t="s">
        <v>2102</v>
      </c>
      <c r="B1069" s="23" t="n">
        <v>1066</v>
      </c>
      <c r="C1069" s="6" t="n">
        <v>46286</v>
      </c>
      <c r="D1069" s="4" t="s">
        <v>2104</v>
      </c>
      <c r="E1069" s="4" t="s">
        <v>6795</v>
      </c>
      <c r="F1069" s="7" t="n">
        <v>63073.98</v>
      </c>
      <c r="G1069" s="24" t="s">
        <v>5951</v>
      </c>
      <c r="H1069" s="4" t="s">
        <v>2101</v>
      </c>
      <c r="I1069" s="4"/>
    </row>
    <row r="1070" customFormat="false" ht="15" hidden="false" customHeight="false" outlineLevel="0" collapsed="false">
      <c r="A1070" s="4" t="s">
        <v>2107</v>
      </c>
      <c r="B1070" s="23" t="n">
        <v>1067</v>
      </c>
      <c r="C1070" s="6" t="n">
        <v>46286</v>
      </c>
      <c r="D1070" s="4" t="s">
        <v>2109</v>
      </c>
      <c r="E1070" s="4"/>
      <c r="F1070" s="7" t="n">
        <v>68429.13</v>
      </c>
      <c r="G1070" s="24" t="s">
        <v>5951</v>
      </c>
      <c r="H1070" s="4" t="s">
        <v>2106</v>
      </c>
      <c r="I1070" s="4"/>
    </row>
    <row r="1071" customFormat="false" ht="15" hidden="false" customHeight="false" outlineLevel="0" collapsed="false">
      <c r="A1071" s="4" t="s">
        <v>3739</v>
      </c>
      <c r="B1071" s="23" t="n">
        <v>1068</v>
      </c>
      <c r="C1071" s="6" t="n">
        <v>46286</v>
      </c>
      <c r="D1071" s="4" t="s">
        <v>3741</v>
      </c>
      <c r="E1071" s="4" t="s">
        <v>6796</v>
      </c>
      <c r="F1071" s="7" t="n">
        <v>6851.31</v>
      </c>
      <c r="G1071" s="24" t="s">
        <v>5951</v>
      </c>
      <c r="H1071" s="4" t="s">
        <v>3738</v>
      </c>
      <c r="I1071" s="4"/>
    </row>
    <row r="1072" customFormat="false" ht="15" hidden="false" customHeight="false" outlineLevel="0" collapsed="false">
      <c r="A1072" s="4" t="s">
        <v>2112</v>
      </c>
      <c r="B1072" s="23" t="n">
        <v>1069</v>
      </c>
      <c r="C1072" s="6" t="n">
        <v>46286</v>
      </c>
      <c r="D1072" s="4" t="s">
        <v>2114</v>
      </c>
      <c r="E1072" s="4"/>
      <c r="F1072" s="7" t="n">
        <v>59761.61</v>
      </c>
      <c r="G1072" s="24" t="s">
        <v>5951</v>
      </c>
      <c r="H1072" s="4" t="s">
        <v>2111</v>
      </c>
      <c r="I1072" s="4"/>
    </row>
    <row r="1073" customFormat="false" ht="15" hidden="false" customHeight="false" outlineLevel="0" collapsed="false">
      <c r="A1073" s="4" t="s">
        <v>4561</v>
      </c>
      <c r="B1073" s="23" t="n">
        <v>1070</v>
      </c>
      <c r="C1073" s="6" t="n">
        <v>46286</v>
      </c>
      <c r="D1073" s="4" t="s">
        <v>4563</v>
      </c>
      <c r="E1073" s="4" t="s">
        <v>6797</v>
      </c>
      <c r="F1073" s="7" t="n">
        <v>15199.67</v>
      </c>
      <c r="G1073" s="24" t="s">
        <v>5951</v>
      </c>
      <c r="H1073" s="4" t="s">
        <v>4560</v>
      </c>
      <c r="I1073" s="4"/>
    </row>
    <row r="1074" customFormat="false" ht="15" hidden="false" customHeight="false" outlineLevel="0" collapsed="false">
      <c r="A1074" s="4" t="s">
        <v>2117</v>
      </c>
      <c r="B1074" s="23" t="n">
        <v>1071</v>
      </c>
      <c r="C1074" s="6" t="n">
        <v>46286</v>
      </c>
      <c r="D1074" s="4" t="s">
        <v>2119</v>
      </c>
      <c r="E1074" s="4" t="s">
        <v>6798</v>
      </c>
      <c r="F1074" s="7" t="n">
        <v>12003.29</v>
      </c>
      <c r="G1074" s="24" t="s">
        <v>5951</v>
      </c>
      <c r="H1074" s="4" t="s">
        <v>2116</v>
      </c>
      <c r="I1074" s="4"/>
    </row>
    <row r="1075" customFormat="false" ht="15" hidden="false" customHeight="false" outlineLevel="0" collapsed="false">
      <c r="A1075" s="4" t="s">
        <v>2122</v>
      </c>
      <c r="B1075" s="23" t="n">
        <v>1072</v>
      </c>
      <c r="C1075" s="6" t="n">
        <v>46286</v>
      </c>
      <c r="D1075" s="4" t="s">
        <v>2124</v>
      </c>
      <c r="E1075" s="4" t="s">
        <v>6799</v>
      </c>
      <c r="F1075" s="7" t="n">
        <v>65522.88</v>
      </c>
      <c r="G1075" s="24" t="s">
        <v>5951</v>
      </c>
      <c r="H1075" s="4" t="s">
        <v>2121</v>
      </c>
      <c r="I1075" s="4"/>
    </row>
    <row r="1076" customFormat="false" ht="15" hidden="false" customHeight="false" outlineLevel="0" collapsed="false">
      <c r="A1076" s="4" t="s">
        <v>3744</v>
      </c>
      <c r="B1076" s="23" t="n">
        <v>1073</v>
      </c>
      <c r="C1076" s="6" t="n">
        <v>46286</v>
      </c>
      <c r="D1076" s="4" t="s">
        <v>3746</v>
      </c>
      <c r="E1076" s="4" t="s">
        <v>6800</v>
      </c>
      <c r="F1076" s="7" t="n">
        <v>-18999.56</v>
      </c>
      <c r="G1076" s="24" t="s">
        <v>5951</v>
      </c>
      <c r="H1076" s="4" t="s">
        <v>3743</v>
      </c>
      <c r="I1076" s="4"/>
    </row>
    <row r="1077" customFormat="false" ht="15" hidden="false" customHeight="false" outlineLevel="0" collapsed="false">
      <c r="A1077" s="4" t="s">
        <v>5729</v>
      </c>
      <c r="B1077" s="23" t="n">
        <v>1074</v>
      </c>
      <c r="C1077" s="6" t="n">
        <v>46286</v>
      </c>
      <c r="D1077" s="4" t="s">
        <v>5731</v>
      </c>
      <c r="E1077" s="4" t="s">
        <v>6801</v>
      </c>
      <c r="F1077" s="7" t="n">
        <v>-40748.55</v>
      </c>
      <c r="G1077" s="24" t="s">
        <v>5951</v>
      </c>
      <c r="H1077" s="4" t="s">
        <v>5728</v>
      </c>
      <c r="I1077" s="4"/>
    </row>
    <row r="1078" customFormat="false" ht="15" hidden="false" customHeight="false" outlineLevel="0" collapsed="false">
      <c r="A1078" s="4" t="s">
        <v>5305</v>
      </c>
      <c r="B1078" s="23" t="n">
        <v>1075</v>
      </c>
      <c r="C1078" s="6" t="n">
        <v>46286</v>
      </c>
      <c r="D1078" s="4" t="s">
        <v>5307</v>
      </c>
      <c r="E1078" s="4" t="s">
        <v>6802</v>
      </c>
      <c r="F1078" s="7" t="n">
        <v>-14137.94</v>
      </c>
      <c r="G1078" s="24" t="s">
        <v>5951</v>
      </c>
      <c r="H1078" s="4" t="s">
        <v>5304</v>
      </c>
      <c r="I1078" s="4"/>
    </row>
    <row r="1079" customFormat="false" ht="15" hidden="false" customHeight="false" outlineLevel="0" collapsed="false">
      <c r="A1079" s="4" t="s">
        <v>3749</v>
      </c>
      <c r="B1079" s="23" t="n">
        <v>1076</v>
      </c>
      <c r="C1079" s="6" t="n">
        <v>46286</v>
      </c>
      <c r="D1079" s="4" t="s">
        <v>3751</v>
      </c>
      <c r="E1079" s="4" t="s">
        <v>6803</v>
      </c>
      <c r="F1079" s="7" t="n">
        <v>-22077.86</v>
      </c>
      <c r="G1079" s="24" t="s">
        <v>5951</v>
      </c>
      <c r="H1079" s="4" t="s">
        <v>3748</v>
      </c>
      <c r="I1079" s="4"/>
    </row>
    <row r="1080" customFormat="false" ht="15" hidden="false" customHeight="false" outlineLevel="0" collapsed="false">
      <c r="A1080" s="4" t="s">
        <v>4566</v>
      </c>
      <c r="B1080" s="23" t="n">
        <v>1077</v>
      </c>
      <c r="C1080" s="6" t="n">
        <v>46286</v>
      </c>
      <c r="D1080" s="4" t="s">
        <v>4568</v>
      </c>
      <c r="E1080" s="4" t="s">
        <v>6804</v>
      </c>
      <c r="F1080" s="7" t="n">
        <v>-45630.26</v>
      </c>
      <c r="G1080" s="24" t="s">
        <v>5951</v>
      </c>
      <c r="H1080" s="4" t="s">
        <v>4565</v>
      </c>
      <c r="I1080" s="4"/>
    </row>
    <row r="1081" customFormat="false" ht="15" hidden="false" customHeight="false" outlineLevel="0" collapsed="false">
      <c r="A1081" s="4" t="s">
        <v>5310</v>
      </c>
      <c r="B1081" s="23" t="n">
        <v>1078</v>
      </c>
      <c r="C1081" s="6" t="n">
        <v>46286</v>
      </c>
      <c r="D1081" s="4" t="s">
        <v>5312</v>
      </c>
      <c r="E1081" s="4" t="s">
        <v>6805</v>
      </c>
      <c r="F1081" s="7" t="n">
        <v>-10115.06</v>
      </c>
      <c r="G1081" s="24" t="s">
        <v>5951</v>
      </c>
      <c r="H1081" s="4" t="s">
        <v>5309</v>
      </c>
      <c r="I1081" s="4"/>
    </row>
    <row r="1082" customFormat="false" ht="15" hidden="false" customHeight="false" outlineLevel="0" collapsed="false">
      <c r="A1082" s="4" t="s">
        <v>2127</v>
      </c>
      <c r="B1082" s="23" t="n">
        <v>1079</v>
      </c>
      <c r="C1082" s="6" t="n">
        <v>46286</v>
      </c>
      <c r="D1082" s="4" t="s">
        <v>2129</v>
      </c>
      <c r="E1082" s="4" t="s">
        <v>6806</v>
      </c>
      <c r="F1082" s="7" t="n">
        <v>-30047.68</v>
      </c>
      <c r="G1082" s="24" t="s">
        <v>5951</v>
      </c>
      <c r="H1082" s="4" t="s">
        <v>2126</v>
      </c>
      <c r="I1082" s="4"/>
    </row>
    <row r="1083" customFormat="false" ht="15" hidden="false" customHeight="false" outlineLevel="0" collapsed="false">
      <c r="A1083" s="4" t="s">
        <v>2132</v>
      </c>
      <c r="B1083" s="23" t="n">
        <v>1080</v>
      </c>
      <c r="C1083" s="6" t="n">
        <v>46287</v>
      </c>
      <c r="D1083" s="4" t="s">
        <v>2134</v>
      </c>
      <c r="E1083" s="4" t="s">
        <v>6807</v>
      </c>
      <c r="F1083" s="7" t="n">
        <v>4310.35</v>
      </c>
      <c r="G1083" s="24" t="s">
        <v>5951</v>
      </c>
      <c r="H1083" s="4" t="s">
        <v>2131</v>
      </c>
      <c r="I1083" s="4"/>
    </row>
    <row r="1084" customFormat="false" ht="15" hidden="false" customHeight="false" outlineLevel="0" collapsed="false">
      <c r="A1084" s="4" t="s">
        <v>3754</v>
      </c>
      <c r="B1084" s="23" t="n">
        <v>1081</v>
      </c>
      <c r="C1084" s="6" t="n">
        <v>46287</v>
      </c>
      <c r="D1084" s="4" t="s">
        <v>3756</v>
      </c>
      <c r="E1084" s="4" t="s">
        <v>6808</v>
      </c>
      <c r="F1084" s="7" t="n">
        <v>87632.65</v>
      </c>
      <c r="G1084" s="24" t="s">
        <v>5951</v>
      </c>
      <c r="H1084" s="4" t="s">
        <v>3753</v>
      </c>
      <c r="I1084" s="4"/>
    </row>
    <row r="1085" customFormat="false" ht="15" hidden="false" customHeight="false" outlineLevel="0" collapsed="false">
      <c r="A1085" s="4" t="s">
        <v>3759</v>
      </c>
      <c r="B1085" s="23" t="n">
        <v>1082</v>
      </c>
      <c r="C1085" s="6" t="n">
        <v>46287</v>
      </c>
      <c r="D1085" s="4" t="s">
        <v>3761</v>
      </c>
      <c r="E1085" s="4"/>
      <c r="F1085" s="7" t="n">
        <v>48844.54</v>
      </c>
      <c r="G1085" s="24" t="s">
        <v>5951</v>
      </c>
      <c r="H1085" s="4" t="s">
        <v>3758</v>
      </c>
      <c r="I1085" s="4"/>
    </row>
    <row r="1086" customFormat="false" ht="15" hidden="false" customHeight="false" outlineLevel="0" collapsed="false">
      <c r="A1086" s="4" t="s">
        <v>3764</v>
      </c>
      <c r="B1086" s="23" t="n">
        <v>1083</v>
      </c>
      <c r="C1086" s="6" t="n">
        <v>46287</v>
      </c>
      <c r="D1086" s="4" t="s">
        <v>3766</v>
      </c>
      <c r="E1086" s="4"/>
      <c r="F1086" s="7" t="n">
        <v>53742.4</v>
      </c>
      <c r="G1086" s="24" t="s">
        <v>5951</v>
      </c>
      <c r="H1086" s="4" t="s">
        <v>3763</v>
      </c>
      <c r="I1086" s="4"/>
    </row>
    <row r="1087" customFormat="false" ht="15" hidden="false" customHeight="false" outlineLevel="0" collapsed="false">
      <c r="A1087" s="4" t="s">
        <v>4571</v>
      </c>
      <c r="B1087" s="23" t="n">
        <v>1084</v>
      </c>
      <c r="C1087" s="6" t="n">
        <v>46287</v>
      </c>
      <c r="D1087" s="4" t="s">
        <v>4573</v>
      </c>
      <c r="E1087" s="4" t="s">
        <v>6809</v>
      </c>
      <c r="F1087" s="7" t="n">
        <v>26336.03</v>
      </c>
      <c r="G1087" s="24" t="s">
        <v>5951</v>
      </c>
      <c r="H1087" s="4" t="s">
        <v>4570</v>
      </c>
      <c r="I1087" s="4"/>
    </row>
    <row r="1088" customFormat="false" ht="15" hidden="false" customHeight="false" outlineLevel="0" collapsed="false">
      <c r="A1088" s="4" t="s">
        <v>2137</v>
      </c>
      <c r="B1088" s="23" t="n">
        <v>1085</v>
      </c>
      <c r="C1088" s="6" t="n">
        <v>46287</v>
      </c>
      <c r="D1088" s="4" t="s">
        <v>2139</v>
      </c>
      <c r="E1088" s="4" t="s">
        <v>6810</v>
      </c>
      <c r="F1088" s="7" t="n">
        <v>72909.69</v>
      </c>
      <c r="G1088" s="24" t="s">
        <v>5951</v>
      </c>
      <c r="H1088" s="4" t="s">
        <v>2136</v>
      </c>
      <c r="I1088" s="4"/>
    </row>
    <row r="1089" customFormat="false" ht="15" hidden="false" customHeight="false" outlineLevel="0" collapsed="false">
      <c r="A1089" s="4" t="s">
        <v>2142</v>
      </c>
      <c r="B1089" s="23" t="n">
        <v>1086</v>
      </c>
      <c r="C1089" s="6" t="n">
        <v>46287</v>
      </c>
      <c r="D1089" s="4" t="s">
        <v>2144</v>
      </c>
      <c r="E1089" s="4" t="s">
        <v>6811</v>
      </c>
      <c r="F1089" s="7" t="n">
        <v>87095.62</v>
      </c>
      <c r="G1089" s="24" t="s">
        <v>5951</v>
      </c>
      <c r="H1089" s="4" t="s">
        <v>2141</v>
      </c>
      <c r="I1089" s="4"/>
    </row>
    <row r="1090" customFormat="false" ht="15" hidden="false" customHeight="false" outlineLevel="0" collapsed="false">
      <c r="A1090" s="4" t="s">
        <v>3769</v>
      </c>
      <c r="B1090" s="23" t="n">
        <v>1087</v>
      </c>
      <c r="C1090" s="6" t="n">
        <v>46287</v>
      </c>
      <c r="D1090" s="4" t="s">
        <v>3771</v>
      </c>
      <c r="E1090" s="4"/>
      <c r="F1090" s="7" t="n">
        <v>68283.96</v>
      </c>
      <c r="G1090" s="24" t="s">
        <v>5951</v>
      </c>
      <c r="H1090" s="4" t="s">
        <v>3768</v>
      </c>
      <c r="I1090" s="4"/>
    </row>
    <row r="1091" customFormat="false" ht="15" hidden="false" customHeight="false" outlineLevel="0" collapsed="false">
      <c r="A1091" s="4" t="s">
        <v>5734</v>
      </c>
      <c r="B1091" s="23" t="n">
        <v>1088</v>
      </c>
      <c r="C1091" s="6" t="n">
        <v>46287</v>
      </c>
      <c r="D1091" s="4" t="s">
        <v>5736</v>
      </c>
      <c r="E1091" s="4" t="s">
        <v>6812</v>
      </c>
      <c r="F1091" s="7" t="n">
        <v>-17515.4</v>
      </c>
      <c r="G1091" s="24" t="s">
        <v>5951</v>
      </c>
      <c r="H1091" s="4" t="s">
        <v>5733</v>
      </c>
      <c r="I1091" s="4"/>
    </row>
    <row r="1092" customFormat="false" ht="15" hidden="false" customHeight="false" outlineLevel="0" collapsed="false">
      <c r="A1092" s="4" t="s">
        <v>4576</v>
      </c>
      <c r="B1092" s="23" t="n">
        <v>1089</v>
      </c>
      <c r="C1092" s="6" t="n">
        <v>46287</v>
      </c>
      <c r="D1092" s="4" t="s">
        <v>4578</v>
      </c>
      <c r="E1092" s="4" t="s">
        <v>6813</v>
      </c>
      <c r="F1092" s="7" t="n">
        <v>-52588.81</v>
      </c>
      <c r="G1092" s="24" t="s">
        <v>5951</v>
      </c>
      <c r="H1092" s="4" t="s">
        <v>4575</v>
      </c>
      <c r="I1092" s="4"/>
    </row>
    <row r="1093" customFormat="false" ht="15" hidden="false" customHeight="false" outlineLevel="0" collapsed="false">
      <c r="A1093" s="4" t="s">
        <v>5739</v>
      </c>
      <c r="B1093" s="23" t="n">
        <v>1090</v>
      </c>
      <c r="C1093" s="6" t="n">
        <v>46287</v>
      </c>
      <c r="D1093" s="4" t="s">
        <v>5741</v>
      </c>
      <c r="E1093" s="4" t="s">
        <v>6814</v>
      </c>
      <c r="F1093" s="7" t="n">
        <v>-29436.29</v>
      </c>
      <c r="G1093" s="24" t="s">
        <v>5951</v>
      </c>
      <c r="H1093" s="4" t="s">
        <v>5738</v>
      </c>
      <c r="I1093" s="4"/>
    </row>
    <row r="1094" customFormat="false" ht="15" hidden="false" customHeight="false" outlineLevel="0" collapsed="false">
      <c r="A1094" s="4" t="s">
        <v>2147</v>
      </c>
      <c r="B1094" s="23" t="n">
        <v>1091</v>
      </c>
      <c r="C1094" s="6" t="n">
        <v>46287</v>
      </c>
      <c r="D1094" s="4" t="s">
        <v>2149</v>
      </c>
      <c r="E1094" s="4" t="s">
        <v>6815</v>
      </c>
      <c r="F1094" s="7" t="n">
        <v>-11073.96</v>
      </c>
      <c r="G1094" s="24" t="s">
        <v>5951</v>
      </c>
      <c r="H1094" s="4" t="s">
        <v>2146</v>
      </c>
      <c r="I1094" s="4"/>
    </row>
    <row r="1095" customFormat="false" ht="15" hidden="false" customHeight="false" outlineLevel="0" collapsed="false">
      <c r="A1095" s="4" t="s">
        <v>5801</v>
      </c>
      <c r="B1095" s="23" t="n">
        <v>1092</v>
      </c>
      <c r="C1095" s="6" t="n">
        <v>46287</v>
      </c>
      <c r="D1095" s="4" t="s">
        <v>5777</v>
      </c>
      <c r="E1095" s="4"/>
      <c r="F1095" s="7" t="n">
        <v>-3448.35</v>
      </c>
      <c r="G1095" s="24" t="s">
        <v>5951</v>
      </c>
      <c r="H1095" s="4" t="s">
        <v>5800</v>
      </c>
      <c r="I1095" s="4"/>
    </row>
    <row r="1096" customFormat="false" ht="15" hidden="false" customHeight="false" outlineLevel="0" collapsed="false">
      <c r="A1096" s="4" t="s">
        <v>2152</v>
      </c>
      <c r="B1096" s="23" t="n">
        <v>1093</v>
      </c>
      <c r="C1096" s="6" t="n">
        <v>46288</v>
      </c>
      <c r="D1096" s="4" t="s">
        <v>2154</v>
      </c>
      <c r="E1096" s="4"/>
      <c r="F1096" s="7" t="n">
        <v>16919.45</v>
      </c>
      <c r="G1096" s="24" t="s">
        <v>5951</v>
      </c>
      <c r="H1096" s="4" t="s">
        <v>2151</v>
      </c>
      <c r="I1096" s="4"/>
    </row>
    <row r="1097" customFormat="false" ht="15" hidden="false" customHeight="false" outlineLevel="0" collapsed="false">
      <c r="A1097" s="4" t="s">
        <v>4581</v>
      </c>
      <c r="B1097" s="23" t="n">
        <v>1094</v>
      </c>
      <c r="C1097" s="6" t="n">
        <v>46288</v>
      </c>
      <c r="D1097" s="4" t="s">
        <v>4583</v>
      </c>
      <c r="E1097" s="4" t="s">
        <v>6816</v>
      </c>
      <c r="F1097" s="7" t="n">
        <v>50679.74</v>
      </c>
      <c r="G1097" s="24" t="s">
        <v>5951</v>
      </c>
      <c r="H1097" s="4" t="s">
        <v>4580</v>
      </c>
      <c r="I1097" s="4"/>
    </row>
    <row r="1098" customFormat="false" ht="15" hidden="false" customHeight="false" outlineLevel="0" collapsed="false">
      <c r="A1098" s="4" t="s">
        <v>2157</v>
      </c>
      <c r="B1098" s="23" t="n">
        <v>1095</v>
      </c>
      <c r="C1098" s="6" t="n">
        <v>46288</v>
      </c>
      <c r="D1098" s="4" t="s">
        <v>2159</v>
      </c>
      <c r="E1098" s="4" t="s">
        <v>6817</v>
      </c>
      <c r="F1098" s="7" t="n">
        <v>40659.71</v>
      </c>
      <c r="G1098" s="24" t="s">
        <v>5951</v>
      </c>
      <c r="H1098" s="4" t="s">
        <v>2156</v>
      </c>
      <c r="I1098" s="4"/>
    </row>
    <row r="1099" customFormat="false" ht="15" hidden="false" customHeight="false" outlineLevel="0" collapsed="false">
      <c r="A1099" s="4" t="s">
        <v>2162</v>
      </c>
      <c r="B1099" s="23" t="n">
        <v>1096</v>
      </c>
      <c r="C1099" s="6" t="n">
        <v>46288</v>
      </c>
      <c r="D1099" s="4" t="s">
        <v>2164</v>
      </c>
      <c r="E1099" s="4" t="s">
        <v>6818</v>
      </c>
      <c r="F1099" s="7" t="n">
        <v>57635.37</v>
      </c>
      <c r="G1099" s="24" t="s">
        <v>5951</v>
      </c>
      <c r="H1099" s="4" t="s">
        <v>2161</v>
      </c>
      <c r="I1099" s="4"/>
    </row>
    <row r="1100" customFormat="false" ht="15" hidden="false" customHeight="false" outlineLevel="0" collapsed="false">
      <c r="A1100" s="4" t="s">
        <v>5315</v>
      </c>
      <c r="B1100" s="23" t="n">
        <v>1097</v>
      </c>
      <c r="C1100" s="6" t="n">
        <v>46288</v>
      </c>
      <c r="D1100" s="4" t="s">
        <v>5317</v>
      </c>
      <c r="E1100" s="4" t="s">
        <v>6819</v>
      </c>
      <c r="F1100" s="7" t="n">
        <v>-24606.55</v>
      </c>
      <c r="G1100" s="24" t="s">
        <v>5951</v>
      </c>
      <c r="H1100" s="4" t="s">
        <v>5314</v>
      </c>
      <c r="I1100" s="4"/>
    </row>
    <row r="1101" customFormat="false" ht="15" hidden="false" customHeight="false" outlineLevel="0" collapsed="false">
      <c r="A1101" s="4" t="s">
        <v>2167</v>
      </c>
      <c r="B1101" s="23" t="n">
        <v>1098</v>
      </c>
      <c r="C1101" s="6" t="n">
        <v>46288</v>
      </c>
      <c r="D1101" s="4" t="s">
        <v>2169</v>
      </c>
      <c r="E1101" s="4" t="s">
        <v>6820</v>
      </c>
      <c r="F1101" s="7" t="n">
        <v>-19601.71</v>
      </c>
      <c r="G1101" s="24" t="s">
        <v>5951</v>
      </c>
      <c r="H1101" s="4" t="s">
        <v>2166</v>
      </c>
      <c r="I1101" s="4"/>
    </row>
    <row r="1102" customFormat="false" ht="15" hidden="false" customHeight="false" outlineLevel="0" collapsed="false">
      <c r="A1102" s="4" t="s">
        <v>4886</v>
      </c>
      <c r="B1102" s="23" t="n">
        <v>1099</v>
      </c>
      <c r="C1102" s="6" t="n">
        <v>46288</v>
      </c>
      <c r="D1102" s="4" t="s">
        <v>4888</v>
      </c>
      <c r="E1102" s="4" t="s">
        <v>6821</v>
      </c>
      <c r="F1102" s="7" t="n">
        <v>-8728.86</v>
      </c>
      <c r="G1102" s="24" t="s">
        <v>5951</v>
      </c>
      <c r="H1102" s="4" t="s">
        <v>4885</v>
      </c>
      <c r="I1102" s="4"/>
    </row>
    <row r="1103" customFormat="false" ht="15" hidden="false" customHeight="false" outlineLevel="0" collapsed="false">
      <c r="A1103" s="4" t="s">
        <v>2172</v>
      </c>
      <c r="B1103" s="23" t="n">
        <v>1100</v>
      </c>
      <c r="C1103" s="6" t="n">
        <v>46288</v>
      </c>
      <c r="D1103" s="4" t="s">
        <v>2174</v>
      </c>
      <c r="E1103" s="4" t="s">
        <v>6822</v>
      </c>
      <c r="F1103" s="7" t="n">
        <v>-17353.78</v>
      </c>
      <c r="G1103" s="24" t="s">
        <v>5951</v>
      </c>
      <c r="H1103" s="4" t="s">
        <v>2171</v>
      </c>
      <c r="I1103" s="4"/>
    </row>
    <row r="1104" customFormat="false" ht="15" hidden="false" customHeight="false" outlineLevel="0" collapsed="false">
      <c r="A1104" s="4" t="s">
        <v>2177</v>
      </c>
      <c r="B1104" s="23" t="n">
        <v>1101</v>
      </c>
      <c r="C1104" s="6" t="n">
        <v>46288</v>
      </c>
      <c r="D1104" s="4" t="s">
        <v>2179</v>
      </c>
      <c r="E1104" s="4" t="s">
        <v>6823</v>
      </c>
      <c r="F1104" s="7" t="n">
        <v>-49620.57</v>
      </c>
      <c r="G1104" s="24" t="s">
        <v>5951</v>
      </c>
      <c r="H1104" s="4" t="s">
        <v>2176</v>
      </c>
      <c r="I1104" s="4"/>
    </row>
    <row r="1105" customFormat="false" ht="15" hidden="false" customHeight="false" outlineLevel="0" collapsed="false">
      <c r="A1105" s="4" t="s">
        <v>2182</v>
      </c>
      <c r="B1105" s="23" t="n">
        <v>1102</v>
      </c>
      <c r="C1105" s="6" t="n">
        <v>46288</v>
      </c>
      <c r="D1105" s="4" t="s">
        <v>2184</v>
      </c>
      <c r="E1105" s="4" t="s">
        <v>6824</v>
      </c>
      <c r="F1105" s="7" t="n">
        <v>-18492.84</v>
      </c>
      <c r="G1105" s="24" t="s">
        <v>5951</v>
      </c>
      <c r="H1105" s="4" t="s">
        <v>2181</v>
      </c>
      <c r="I1105" s="4"/>
    </row>
    <row r="1106" customFormat="false" ht="15" hidden="false" customHeight="false" outlineLevel="0" collapsed="false">
      <c r="A1106" s="4" t="s">
        <v>3774</v>
      </c>
      <c r="B1106" s="23" t="n">
        <v>1103</v>
      </c>
      <c r="C1106" s="6" t="n">
        <v>46289</v>
      </c>
      <c r="D1106" s="4" t="s">
        <v>3776</v>
      </c>
      <c r="E1106" s="4" t="s">
        <v>6825</v>
      </c>
      <c r="F1106" s="7" t="n">
        <v>62809.75</v>
      </c>
      <c r="G1106" s="24" t="s">
        <v>5951</v>
      </c>
      <c r="H1106" s="4" t="s">
        <v>3773</v>
      </c>
      <c r="I1106" s="4"/>
    </row>
    <row r="1107" customFormat="false" ht="15" hidden="false" customHeight="false" outlineLevel="0" collapsed="false">
      <c r="A1107" s="4" t="s">
        <v>3779</v>
      </c>
      <c r="B1107" s="23" t="n">
        <v>1104</v>
      </c>
      <c r="C1107" s="6" t="n">
        <v>46289</v>
      </c>
      <c r="D1107" s="4" t="s">
        <v>3781</v>
      </c>
      <c r="E1107" s="4" t="s">
        <v>6826</v>
      </c>
      <c r="F1107" s="7" t="n">
        <v>7748.81</v>
      </c>
      <c r="G1107" s="24" t="s">
        <v>5951</v>
      </c>
      <c r="H1107" s="4" t="s">
        <v>3778</v>
      </c>
      <c r="I1107" s="4"/>
    </row>
    <row r="1108" customFormat="false" ht="15" hidden="false" customHeight="false" outlineLevel="0" collapsed="false">
      <c r="A1108" s="4" t="s">
        <v>2187</v>
      </c>
      <c r="B1108" s="23" t="n">
        <v>1105</v>
      </c>
      <c r="C1108" s="6" t="n">
        <v>46289</v>
      </c>
      <c r="D1108" s="4" t="s">
        <v>2189</v>
      </c>
      <c r="E1108" s="4" t="s">
        <v>6827</v>
      </c>
      <c r="F1108" s="7" t="n">
        <v>80922.81</v>
      </c>
      <c r="G1108" s="24" t="s">
        <v>5951</v>
      </c>
      <c r="H1108" s="4" t="s">
        <v>2186</v>
      </c>
      <c r="I1108" s="4"/>
    </row>
    <row r="1109" customFormat="false" ht="15" hidden="false" customHeight="false" outlineLevel="0" collapsed="false">
      <c r="A1109" s="4" t="s">
        <v>2192</v>
      </c>
      <c r="B1109" s="23" t="n">
        <v>1106</v>
      </c>
      <c r="C1109" s="6" t="n">
        <v>46289</v>
      </c>
      <c r="D1109" s="4" t="s">
        <v>2194</v>
      </c>
      <c r="E1109" s="4"/>
      <c r="F1109" s="7" t="n">
        <v>26915.24</v>
      </c>
      <c r="G1109" s="24" t="s">
        <v>5951</v>
      </c>
      <c r="H1109" s="4" t="s">
        <v>2191</v>
      </c>
      <c r="I1109" s="4"/>
    </row>
    <row r="1110" customFormat="false" ht="15" hidden="false" customHeight="false" outlineLevel="0" collapsed="false">
      <c r="A1110" s="4" t="s">
        <v>3784</v>
      </c>
      <c r="B1110" s="23" t="n">
        <v>1107</v>
      </c>
      <c r="C1110" s="6" t="n">
        <v>46289</v>
      </c>
      <c r="D1110" s="4" t="s">
        <v>3786</v>
      </c>
      <c r="E1110" s="4"/>
      <c r="F1110" s="7" t="n">
        <v>61631.71</v>
      </c>
      <c r="G1110" s="24" t="s">
        <v>5951</v>
      </c>
      <c r="H1110" s="4" t="s">
        <v>3783</v>
      </c>
      <c r="I1110" s="4"/>
    </row>
    <row r="1111" customFormat="false" ht="15" hidden="false" customHeight="false" outlineLevel="0" collapsed="false">
      <c r="A1111" s="4" t="s">
        <v>2197</v>
      </c>
      <c r="B1111" s="23" t="n">
        <v>1108</v>
      </c>
      <c r="C1111" s="6" t="n">
        <v>46289</v>
      </c>
      <c r="D1111" s="4" t="s">
        <v>2199</v>
      </c>
      <c r="E1111" s="4" t="s">
        <v>6828</v>
      </c>
      <c r="F1111" s="7" t="n">
        <v>3858.13</v>
      </c>
      <c r="G1111" s="24" t="s">
        <v>5951</v>
      </c>
      <c r="H1111" s="4" t="s">
        <v>2196</v>
      </c>
      <c r="I1111" s="4"/>
    </row>
    <row r="1112" customFormat="false" ht="15" hidden="false" customHeight="false" outlineLevel="0" collapsed="false">
      <c r="A1112" s="4" t="s">
        <v>4586</v>
      </c>
      <c r="B1112" s="23" t="n">
        <v>1109</v>
      </c>
      <c r="C1112" s="6" t="n">
        <v>46289</v>
      </c>
      <c r="D1112" s="4" t="s">
        <v>4588</v>
      </c>
      <c r="E1112" s="4"/>
      <c r="F1112" s="7" t="n">
        <v>4355.12</v>
      </c>
      <c r="G1112" s="24" t="s">
        <v>5951</v>
      </c>
      <c r="H1112" s="4" t="s">
        <v>4585</v>
      </c>
      <c r="I1112" s="4"/>
    </row>
    <row r="1113" customFormat="false" ht="15" hidden="false" customHeight="false" outlineLevel="0" collapsed="false">
      <c r="A1113" s="4" t="s">
        <v>2202</v>
      </c>
      <c r="B1113" s="23" t="n">
        <v>1110</v>
      </c>
      <c r="C1113" s="6" t="n">
        <v>46289</v>
      </c>
      <c r="D1113" s="4" t="s">
        <v>2204</v>
      </c>
      <c r="E1113" s="4" t="s">
        <v>6829</v>
      </c>
      <c r="F1113" s="7" t="n">
        <v>-35378.93</v>
      </c>
      <c r="G1113" s="24" t="s">
        <v>5951</v>
      </c>
      <c r="H1113" s="4" t="s">
        <v>2201</v>
      </c>
      <c r="I1113" s="4"/>
    </row>
    <row r="1114" customFormat="false" ht="15" hidden="false" customHeight="false" outlineLevel="0" collapsed="false">
      <c r="A1114" s="4" t="s">
        <v>2207</v>
      </c>
      <c r="B1114" s="23" t="n">
        <v>1111</v>
      </c>
      <c r="C1114" s="6" t="n">
        <v>46289</v>
      </c>
      <c r="D1114" s="4" t="s">
        <v>2209</v>
      </c>
      <c r="E1114" s="4" t="s">
        <v>6830</v>
      </c>
      <c r="F1114" s="7" t="n">
        <v>-2577.49</v>
      </c>
      <c r="G1114" s="24" t="s">
        <v>5951</v>
      </c>
      <c r="H1114" s="4" t="s">
        <v>2206</v>
      </c>
      <c r="I1114" s="4"/>
    </row>
    <row r="1115" customFormat="false" ht="15" hidden="false" customHeight="false" outlineLevel="0" collapsed="false">
      <c r="A1115" s="4" t="s">
        <v>4591</v>
      </c>
      <c r="B1115" s="23" t="n">
        <v>1112</v>
      </c>
      <c r="C1115" s="6" t="n">
        <v>46289</v>
      </c>
      <c r="D1115" s="4" t="s">
        <v>4593</v>
      </c>
      <c r="E1115" s="4" t="s">
        <v>6831</v>
      </c>
      <c r="F1115" s="7" t="n">
        <v>-50139.34</v>
      </c>
      <c r="G1115" s="24" t="s">
        <v>5951</v>
      </c>
      <c r="H1115" s="4" t="s">
        <v>4590</v>
      </c>
      <c r="I1115" s="4"/>
    </row>
    <row r="1116" customFormat="false" ht="15" hidden="false" customHeight="false" outlineLevel="0" collapsed="false">
      <c r="A1116" s="4" t="s">
        <v>5744</v>
      </c>
      <c r="B1116" s="23" t="n">
        <v>1113</v>
      </c>
      <c r="C1116" s="6" t="n">
        <v>46289</v>
      </c>
      <c r="D1116" s="4" t="s">
        <v>5746</v>
      </c>
      <c r="E1116" s="4" t="s">
        <v>6832</v>
      </c>
      <c r="F1116" s="7" t="n">
        <v>-41460.66</v>
      </c>
      <c r="G1116" s="24" t="s">
        <v>5951</v>
      </c>
      <c r="H1116" s="4" t="s">
        <v>5743</v>
      </c>
      <c r="I1116" s="4"/>
    </row>
    <row r="1117" customFormat="false" ht="15" hidden="false" customHeight="false" outlineLevel="0" collapsed="false">
      <c r="A1117" s="4" t="s">
        <v>5320</v>
      </c>
      <c r="B1117" s="23" t="n">
        <v>1114</v>
      </c>
      <c r="C1117" s="6" t="n">
        <v>46289</v>
      </c>
      <c r="D1117" s="4" t="s">
        <v>5322</v>
      </c>
      <c r="E1117" s="4" t="s">
        <v>6833</v>
      </c>
      <c r="F1117" s="7" t="n">
        <v>-46570.76</v>
      </c>
      <c r="G1117" s="24" t="s">
        <v>5951</v>
      </c>
      <c r="H1117" s="4" t="s">
        <v>5319</v>
      </c>
      <c r="I1117" s="4"/>
    </row>
    <row r="1118" customFormat="false" ht="15" hidden="false" customHeight="false" outlineLevel="0" collapsed="false">
      <c r="A1118" s="4" t="s">
        <v>4891</v>
      </c>
      <c r="B1118" s="23" t="n">
        <v>1115</v>
      </c>
      <c r="C1118" s="6" t="n">
        <v>46289</v>
      </c>
      <c r="D1118" s="4" t="s">
        <v>4893</v>
      </c>
      <c r="E1118" s="4" t="s">
        <v>6834</v>
      </c>
      <c r="F1118" s="7" t="n">
        <v>-28671.47</v>
      </c>
      <c r="G1118" s="24" t="s">
        <v>5951</v>
      </c>
      <c r="H1118" s="4" t="s">
        <v>4890</v>
      </c>
      <c r="I1118" s="4"/>
    </row>
    <row r="1119" customFormat="false" ht="15" hidden="false" customHeight="false" outlineLevel="0" collapsed="false">
      <c r="A1119" s="4" t="s">
        <v>3789</v>
      </c>
      <c r="B1119" s="23" t="n">
        <v>1116</v>
      </c>
      <c r="C1119" s="6" t="n">
        <v>46289</v>
      </c>
      <c r="D1119" s="4" t="s">
        <v>3791</v>
      </c>
      <c r="E1119" s="4" t="s">
        <v>6835</v>
      </c>
      <c r="F1119" s="7" t="n">
        <v>-29582.19</v>
      </c>
      <c r="G1119" s="24" t="s">
        <v>5951</v>
      </c>
      <c r="H1119" s="4" t="s">
        <v>3788</v>
      </c>
      <c r="I1119" s="4"/>
    </row>
    <row r="1120" customFormat="false" ht="15" hidden="false" customHeight="false" outlineLevel="0" collapsed="false">
      <c r="A1120" s="4" t="s">
        <v>4596</v>
      </c>
      <c r="B1120" s="23" t="n">
        <v>1117</v>
      </c>
      <c r="C1120" s="6" t="n">
        <v>46290</v>
      </c>
      <c r="D1120" s="4" t="s">
        <v>4598</v>
      </c>
      <c r="E1120" s="4" t="s">
        <v>6836</v>
      </c>
      <c r="F1120" s="7" t="n">
        <v>80565.76</v>
      </c>
      <c r="G1120" s="24" t="s">
        <v>5951</v>
      </c>
      <c r="H1120" s="4" t="s">
        <v>4595</v>
      </c>
      <c r="I1120" s="4"/>
    </row>
    <row r="1121" customFormat="false" ht="15" hidden="false" customHeight="false" outlineLevel="0" collapsed="false">
      <c r="A1121" s="4" t="s">
        <v>5325</v>
      </c>
      <c r="B1121" s="23" t="n">
        <v>1118</v>
      </c>
      <c r="C1121" s="6" t="n">
        <v>46290</v>
      </c>
      <c r="D1121" s="4" t="s">
        <v>5327</v>
      </c>
      <c r="E1121" s="4" t="s">
        <v>6837</v>
      </c>
      <c r="F1121" s="7" t="n">
        <v>-34238.08</v>
      </c>
      <c r="G1121" s="24" t="s">
        <v>5951</v>
      </c>
      <c r="H1121" s="4" t="s">
        <v>5324</v>
      </c>
      <c r="I1121" s="4"/>
    </row>
    <row r="1122" customFormat="false" ht="15" hidden="false" customHeight="false" outlineLevel="0" collapsed="false">
      <c r="A1122" s="4" t="s">
        <v>3794</v>
      </c>
      <c r="B1122" s="23" t="n">
        <v>1119</v>
      </c>
      <c r="C1122" s="6" t="n">
        <v>46290</v>
      </c>
      <c r="D1122" s="4" t="s">
        <v>3796</v>
      </c>
      <c r="E1122" s="4" t="s">
        <v>6838</v>
      </c>
      <c r="F1122" s="7" t="n">
        <v>-38037.03</v>
      </c>
      <c r="G1122" s="24" t="s">
        <v>5951</v>
      </c>
      <c r="H1122" s="4" t="s">
        <v>3793</v>
      </c>
      <c r="I1122" s="4"/>
    </row>
    <row r="1123" customFormat="false" ht="15" hidden="false" customHeight="false" outlineLevel="0" collapsed="false">
      <c r="A1123" s="4" t="s">
        <v>5749</v>
      </c>
      <c r="B1123" s="23" t="n">
        <v>1120</v>
      </c>
      <c r="C1123" s="6" t="n">
        <v>46290</v>
      </c>
      <c r="D1123" s="4" t="s">
        <v>5751</v>
      </c>
      <c r="E1123" s="4" t="s">
        <v>6839</v>
      </c>
      <c r="F1123" s="7" t="n">
        <v>-32656.1</v>
      </c>
      <c r="G1123" s="24" t="s">
        <v>5951</v>
      </c>
      <c r="H1123" s="4" t="s">
        <v>5748</v>
      </c>
      <c r="I1123" s="4"/>
    </row>
    <row r="1124" customFormat="false" ht="15" hidden="false" customHeight="false" outlineLevel="0" collapsed="false">
      <c r="A1124" s="4" t="s">
        <v>3799</v>
      </c>
      <c r="B1124" s="23" t="n">
        <v>1121</v>
      </c>
      <c r="C1124" s="6" t="n">
        <v>46290</v>
      </c>
      <c r="D1124" s="4" t="s">
        <v>3801</v>
      </c>
      <c r="E1124" s="4" t="s">
        <v>6840</v>
      </c>
      <c r="F1124" s="7" t="n">
        <v>-47940.36</v>
      </c>
      <c r="G1124" s="24" t="s">
        <v>5951</v>
      </c>
      <c r="H1124" s="4" t="s">
        <v>3798</v>
      </c>
      <c r="I1124" s="4"/>
    </row>
    <row r="1125" customFormat="false" ht="15" hidden="false" customHeight="false" outlineLevel="0" collapsed="false">
      <c r="A1125" s="4" t="s">
        <v>4601</v>
      </c>
      <c r="B1125" s="23" t="n">
        <v>1122</v>
      </c>
      <c r="C1125" s="6" t="n">
        <v>46291</v>
      </c>
      <c r="D1125" s="4" t="s">
        <v>4603</v>
      </c>
      <c r="E1125" s="4" t="s">
        <v>6841</v>
      </c>
      <c r="F1125" s="7" t="n">
        <v>81377.37</v>
      </c>
      <c r="G1125" s="24" t="s">
        <v>5951</v>
      </c>
      <c r="H1125" s="4" t="s">
        <v>4600</v>
      </c>
      <c r="I1125" s="4"/>
    </row>
    <row r="1126" customFormat="false" ht="15" hidden="false" customHeight="false" outlineLevel="0" collapsed="false">
      <c r="A1126" s="4" t="s">
        <v>5754</v>
      </c>
      <c r="B1126" s="23" t="n">
        <v>1123</v>
      </c>
      <c r="C1126" s="6" t="n">
        <v>46291</v>
      </c>
      <c r="D1126" s="4" t="s">
        <v>5756</v>
      </c>
      <c r="E1126" s="4" t="s">
        <v>6842</v>
      </c>
      <c r="F1126" s="7" t="n">
        <v>-11345.97</v>
      </c>
      <c r="G1126" s="24" t="s">
        <v>5951</v>
      </c>
      <c r="H1126" s="4" t="s">
        <v>5753</v>
      </c>
      <c r="I1126" s="4"/>
    </row>
    <row r="1127" customFormat="false" ht="15" hidden="false" customHeight="false" outlineLevel="0" collapsed="false">
      <c r="A1127" s="4" t="s">
        <v>5759</v>
      </c>
      <c r="B1127" s="23" t="n">
        <v>1124</v>
      </c>
      <c r="C1127" s="6" t="n">
        <v>46291</v>
      </c>
      <c r="D1127" s="4" t="s">
        <v>5761</v>
      </c>
      <c r="E1127" s="4" t="s">
        <v>6843</v>
      </c>
      <c r="F1127" s="7" t="n">
        <v>-25144.99</v>
      </c>
      <c r="G1127" s="24" t="s">
        <v>5951</v>
      </c>
      <c r="H1127" s="4" t="s">
        <v>5758</v>
      </c>
      <c r="I1127" s="4"/>
    </row>
    <row r="1128" customFormat="false" ht="15" hidden="false" customHeight="false" outlineLevel="0" collapsed="false">
      <c r="A1128" s="4" t="s">
        <v>4896</v>
      </c>
      <c r="B1128" s="23" t="n">
        <v>1125</v>
      </c>
      <c r="C1128" s="6" t="n">
        <v>46291</v>
      </c>
      <c r="D1128" s="4" t="s">
        <v>4898</v>
      </c>
      <c r="E1128" s="4" t="s">
        <v>6844</v>
      </c>
      <c r="F1128" s="7" t="n">
        <v>-10754.96</v>
      </c>
      <c r="G1128" s="24" t="s">
        <v>5951</v>
      </c>
      <c r="H1128" s="4" t="s">
        <v>4895</v>
      </c>
      <c r="I1128" s="4"/>
    </row>
    <row r="1129" customFormat="false" ht="15" hidden="false" customHeight="false" outlineLevel="0" collapsed="false">
      <c r="A1129" s="4" t="s">
        <v>4901</v>
      </c>
      <c r="B1129" s="23" t="n">
        <v>1126</v>
      </c>
      <c r="C1129" s="6" t="n">
        <v>46292</v>
      </c>
      <c r="D1129" s="4" t="s">
        <v>4903</v>
      </c>
      <c r="E1129" s="4" t="s">
        <v>6845</v>
      </c>
      <c r="F1129" s="7" t="n">
        <v>-12719.05</v>
      </c>
      <c r="G1129" s="24" t="s">
        <v>5951</v>
      </c>
      <c r="H1129" s="4" t="s">
        <v>4900</v>
      </c>
      <c r="I1129" s="4"/>
    </row>
    <row r="1130" customFormat="false" ht="15" hidden="false" customHeight="false" outlineLevel="0" collapsed="false">
      <c r="A1130" s="4" t="s">
        <v>5764</v>
      </c>
      <c r="B1130" s="23" t="n">
        <v>1127</v>
      </c>
      <c r="C1130" s="6" t="n">
        <v>46293</v>
      </c>
      <c r="D1130" s="4" t="s">
        <v>5766</v>
      </c>
      <c r="E1130" s="4" t="s">
        <v>6846</v>
      </c>
      <c r="F1130" s="7" t="n">
        <v>-16351.37</v>
      </c>
      <c r="G1130" s="24" t="s">
        <v>5951</v>
      </c>
      <c r="H1130" s="4" t="s">
        <v>5763</v>
      </c>
      <c r="I1130" s="4"/>
    </row>
    <row r="1131" customFormat="false" ht="15" hidden="false" customHeight="false" outlineLevel="0" collapsed="false">
      <c r="A1131" s="4" t="s">
        <v>5769</v>
      </c>
      <c r="B1131" s="23" t="n">
        <v>1128</v>
      </c>
      <c r="C1131" s="6" t="n">
        <v>46294</v>
      </c>
      <c r="D1131" s="4" t="s">
        <v>5771</v>
      </c>
      <c r="E1131" s="4" t="s">
        <v>6847</v>
      </c>
      <c r="F1131" s="7" t="n">
        <v>-55578.73</v>
      </c>
      <c r="G1131" s="24" t="s">
        <v>5951</v>
      </c>
      <c r="H1131" s="4" t="s">
        <v>5768</v>
      </c>
      <c r="I1131" s="4"/>
    </row>
    <row r="1132" customFormat="false" ht="15" hidden="false" customHeight="false" outlineLevel="0" collapsed="false">
      <c r="A1132" s="4" t="s">
        <v>432</v>
      </c>
      <c r="B1132" s="23" t="n">
        <v>1129</v>
      </c>
      <c r="C1132" s="6" t="n">
        <v>46295</v>
      </c>
      <c r="D1132" s="4" t="s">
        <v>411</v>
      </c>
      <c r="E1132" s="4"/>
      <c r="F1132" s="7" t="n">
        <v>-189.3</v>
      </c>
      <c r="G1132" s="26" t="s">
        <v>6043</v>
      </c>
      <c r="H1132" s="4"/>
      <c r="I1132" s="4" t="s">
        <v>431</v>
      </c>
    </row>
    <row r="1133" customFormat="false" ht="15" hidden="false" customHeight="false" outlineLevel="0" collapsed="false">
      <c r="A1133" s="4" t="s">
        <v>428</v>
      </c>
      <c r="B1133" s="23" t="n">
        <v>1130</v>
      </c>
      <c r="C1133" s="6" t="n">
        <v>46295</v>
      </c>
      <c r="D1133" s="4" t="s">
        <v>429</v>
      </c>
      <c r="E1133" s="4"/>
      <c r="F1133" s="7" t="n">
        <v>-194.24</v>
      </c>
      <c r="G1133" s="26" t="s">
        <v>6043</v>
      </c>
      <c r="H1133" s="4"/>
      <c r="I1133" s="4" t="s">
        <v>427</v>
      </c>
    </row>
    <row r="1134" customFormat="false" ht="15" hidden="false" customHeight="false" outlineLevel="0" collapsed="false">
      <c r="A1134" s="4" t="s">
        <v>410</v>
      </c>
      <c r="B1134" s="23" t="n">
        <v>1131</v>
      </c>
      <c r="C1134" s="6" t="n">
        <v>46295</v>
      </c>
      <c r="D1134" s="4" t="s">
        <v>411</v>
      </c>
      <c r="E1134" s="4"/>
      <c r="F1134" s="7" t="n">
        <v>-792.42</v>
      </c>
      <c r="G1134" s="26" t="s">
        <v>6043</v>
      </c>
      <c r="H1134" s="4"/>
      <c r="I1134" s="4" t="s">
        <v>409</v>
      </c>
    </row>
  </sheetData>
  <autoFilter ref="A4:I11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5" t="s">
        <v>6848</v>
      </c>
    </row>
    <row r="2" customFormat="false" ht="15" hidden="false" customHeight="false" outlineLevel="0" collapsed="false">
      <c r="A2" s="2" t="s">
        <v>5946</v>
      </c>
    </row>
    <row r="4" customFormat="false" ht="31.5" hidden="false" customHeight="true" outlineLevel="0" collapsed="false">
      <c r="A4" s="11" t="s">
        <v>5947</v>
      </c>
      <c r="B4" s="11" t="s">
        <v>5948</v>
      </c>
      <c r="C4" s="11" t="s">
        <v>53</v>
      </c>
      <c r="D4" s="11" t="s">
        <v>70</v>
      </c>
      <c r="E4" s="11" t="s">
        <v>69</v>
      </c>
      <c r="F4" s="11" t="s">
        <v>5949</v>
      </c>
      <c r="G4" s="11" t="s">
        <v>5950</v>
      </c>
      <c r="H4" s="11" t="s">
        <v>528</v>
      </c>
      <c r="I4" s="11" t="s">
        <v>61</v>
      </c>
    </row>
    <row r="5" customFormat="false" ht="15" hidden="false" customHeight="false" outlineLevel="0" collapsed="false">
      <c r="A5" s="4" t="s">
        <v>2213</v>
      </c>
      <c r="B5" s="23" t="n">
        <v>2</v>
      </c>
      <c r="C5" s="6" t="n">
        <v>46204</v>
      </c>
      <c r="D5" s="4" t="s">
        <v>2215</v>
      </c>
      <c r="E5" s="4" t="s">
        <v>5957</v>
      </c>
      <c r="F5" s="7" t="n">
        <v>80301.26</v>
      </c>
      <c r="G5" s="24" t="s">
        <v>5951</v>
      </c>
      <c r="H5" s="4" t="s">
        <v>2211</v>
      </c>
      <c r="I5" s="4"/>
    </row>
    <row r="6" customFormat="false" ht="15" hidden="false" customHeight="false" outlineLevel="0" collapsed="false">
      <c r="A6" s="4" t="s">
        <v>541</v>
      </c>
      <c r="B6" s="23" t="n">
        <v>3</v>
      </c>
      <c r="C6" s="6" t="n">
        <v>46204</v>
      </c>
      <c r="D6" s="4" t="s">
        <v>543</v>
      </c>
      <c r="E6" s="4" t="s">
        <v>6849</v>
      </c>
      <c r="F6" s="7" t="n">
        <v>74471.27</v>
      </c>
      <c r="G6" s="24" t="s">
        <v>5951</v>
      </c>
      <c r="H6" s="4" t="s">
        <v>538</v>
      </c>
      <c r="I6" s="4"/>
    </row>
    <row r="7" customFormat="false" ht="15" hidden="false" customHeight="false" outlineLevel="0" collapsed="false">
      <c r="A7" s="4" t="s">
        <v>2218</v>
      </c>
      <c r="B7" s="23" t="n">
        <v>4</v>
      </c>
      <c r="C7" s="6" t="n">
        <v>46204</v>
      </c>
      <c r="D7" s="4" t="s">
        <v>2220</v>
      </c>
      <c r="E7" s="4" t="s">
        <v>5958</v>
      </c>
      <c r="F7" s="7" t="n">
        <v>39464.96</v>
      </c>
      <c r="G7" s="24" t="s">
        <v>5951</v>
      </c>
      <c r="H7" s="4" t="s">
        <v>2216</v>
      </c>
      <c r="I7" s="4"/>
    </row>
    <row r="8" customFormat="false" ht="15" hidden="false" customHeight="false" outlineLevel="0" collapsed="false">
      <c r="A8" s="4" t="s">
        <v>2223</v>
      </c>
      <c r="B8" s="23" t="n">
        <v>5</v>
      </c>
      <c r="C8" s="6" t="n">
        <v>46204</v>
      </c>
      <c r="D8" s="4" t="s">
        <v>2225</v>
      </c>
      <c r="E8" s="4" t="s">
        <v>5959</v>
      </c>
      <c r="F8" s="7" t="n">
        <v>40257.56</v>
      </c>
      <c r="G8" s="24" t="s">
        <v>5951</v>
      </c>
      <c r="H8" s="4" t="s">
        <v>2221</v>
      </c>
      <c r="I8" s="4"/>
    </row>
    <row r="9" customFormat="false" ht="15" hidden="false" customHeight="false" outlineLevel="0" collapsed="false">
      <c r="A9" s="4" t="s">
        <v>546</v>
      </c>
      <c r="B9" s="23" t="n">
        <v>6</v>
      </c>
      <c r="C9" s="6" t="n">
        <v>46204</v>
      </c>
      <c r="D9" s="4" t="s">
        <v>548</v>
      </c>
      <c r="E9" s="4" t="s">
        <v>6850</v>
      </c>
      <c r="F9" s="7" t="n">
        <v>85406.51</v>
      </c>
      <c r="G9" s="24" t="s">
        <v>5951</v>
      </c>
      <c r="H9" s="4" t="s">
        <v>544</v>
      </c>
      <c r="I9" s="4"/>
    </row>
    <row r="10" customFormat="false" ht="15" hidden="false" customHeight="false" outlineLevel="0" collapsed="false">
      <c r="A10" s="4" t="s">
        <v>551</v>
      </c>
      <c r="B10" s="23" t="n">
        <v>7</v>
      </c>
      <c r="C10" s="6" t="n">
        <v>46204</v>
      </c>
      <c r="D10" s="4" t="s">
        <v>553</v>
      </c>
      <c r="E10" s="4" t="s">
        <v>6851</v>
      </c>
      <c r="F10" s="7" t="n">
        <v>25861.73</v>
      </c>
      <c r="G10" s="24" t="s">
        <v>5951</v>
      </c>
      <c r="H10" s="4" t="s">
        <v>549</v>
      </c>
      <c r="I10" s="4"/>
    </row>
    <row r="11" customFormat="false" ht="15" hidden="false" customHeight="false" outlineLevel="0" collapsed="false">
      <c r="A11" s="4" t="s">
        <v>556</v>
      </c>
      <c r="B11" s="23" t="n">
        <v>8</v>
      </c>
      <c r="C11" s="6" t="n">
        <v>46204</v>
      </c>
      <c r="D11" s="4" t="s">
        <v>558</v>
      </c>
      <c r="E11" s="4" t="s">
        <v>5952</v>
      </c>
      <c r="F11" s="7" t="n">
        <v>80253.44</v>
      </c>
      <c r="G11" s="24" t="s">
        <v>5951</v>
      </c>
      <c r="H11" s="4" t="s">
        <v>554</v>
      </c>
      <c r="I11" s="4"/>
    </row>
    <row r="12" customFormat="false" ht="15" hidden="false" customHeight="false" outlineLevel="0" collapsed="false">
      <c r="A12" s="4" t="s">
        <v>2228</v>
      </c>
      <c r="B12" s="23" t="n">
        <v>9</v>
      </c>
      <c r="C12" s="6" t="n">
        <v>46204</v>
      </c>
      <c r="D12" s="4" t="s">
        <v>2230</v>
      </c>
      <c r="E12" s="4" t="s">
        <v>5961</v>
      </c>
      <c r="F12" s="7" t="n">
        <v>92963.64</v>
      </c>
      <c r="G12" s="24" t="s">
        <v>5951</v>
      </c>
      <c r="H12" s="4" t="s">
        <v>2226</v>
      </c>
      <c r="I12" s="4"/>
    </row>
    <row r="13" customFormat="false" ht="15" hidden="false" customHeight="false" outlineLevel="0" collapsed="false">
      <c r="A13" s="4" t="s">
        <v>561</v>
      </c>
      <c r="B13" s="23" t="n">
        <v>10</v>
      </c>
      <c r="C13" s="6" t="n">
        <v>46204</v>
      </c>
      <c r="D13" s="4" t="s">
        <v>563</v>
      </c>
      <c r="E13" s="4" t="s">
        <v>5953</v>
      </c>
      <c r="F13" s="7" t="n">
        <v>70918.12</v>
      </c>
      <c r="G13" s="24" t="s">
        <v>5951</v>
      </c>
      <c r="H13" s="4" t="s">
        <v>559</v>
      </c>
      <c r="I13" s="4"/>
    </row>
    <row r="14" customFormat="false" ht="15" hidden="false" customHeight="false" outlineLevel="0" collapsed="false">
      <c r="A14" s="4" t="s">
        <v>566</v>
      </c>
      <c r="B14" s="23" t="n">
        <v>11</v>
      </c>
      <c r="C14" s="6" t="n">
        <v>46204</v>
      </c>
      <c r="D14" s="4" t="s">
        <v>568</v>
      </c>
      <c r="E14" s="4" t="s">
        <v>5954</v>
      </c>
      <c r="F14" s="7" t="n">
        <v>58163.35</v>
      </c>
      <c r="G14" s="24" t="s">
        <v>5951</v>
      </c>
      <c r="H14" s="4" t="s">
        <v>564</v>
      </c>
      <c r="I14" s="4"/>
    </row>
    <row r="15" customFormat="false" ht="15" hidden="false" customHeight="false" outlineLevel="0" collapsed="false">
      <c r="A15" s="4" t="s">
        <v>571</v>
      </c>
      <c r="B15" s="23" t="n">
        <v>12</v>
      </c>
      <c r="C15" s="6" t="n">
        <v>46204</v>
      </c>
      <c r="D15" s="4" t="s">
        <v>573</v>
      </c>
      <c r="E15" s="4" t="s">
        <v>6852</v>
      </c>
      <c r="F15" s="7" t="n">
        <v>30637.39</v>
      </c>
      <c r="G15" s="24" t="s">
        <v>5951</v>
      </c>
      <c r="H15" s="4" t="s">
        <v>569</v>
      </c>
      <c r="I15" s="4"/>
    </row>
    <row r="16" customFormat="false" ht="15" hidden="false" customHeight="false" outlineLevel="0" collapsed="false">
      <c r="A16" s="4" t="s">
        <v>2233</v>
      </c>
      <c r="B16" s="23" t="n">
        <v>13</v>
      </c>
      <c r="C16" s="6" t="n">
        <v>46204</v>
      </c>
      <c r="D16" s="4" t="s">
        <v>2235</v>
      </c>
      <c r="E16" s="4" t="s">
        <v>5963</v>
      </c>
      <c r="F16" s="7" t="n">
        <v>29064.46</v>
      </c>
      <c r="G16" s="24" t="s">
        <v>5951</v>
      </c>
      <c r="H16" s="4" t="s">
        <v>2231</v>
      </c>
      <c r="I16" s="4"/>
    </row>
    <row r="17" customFormat="false" ht="15" hidden="false" customHeight="false" outlineLevel="0" collapsed="false">
      <c r="A17" s="4" t="s">
        <v>576</v>
      </c>
      <c r="B17" s="23" t="n">
        <v>14</v>
      </c>
      <c r="C17" s="6" t="n">
        <v>46204</v>
      </c>
      <c r="D17" s="4" t="s">
        <v>578</v>
      </c>
      <c r="E17" s="4" t="s">
        <v>5955</v>
      </c>
      <c r="F17" s="7" t="n">
        <v>16321.38</v>
      </c>
      <c r="G17" s="24" t="s">
        <v>5951</v>
      </c>
      <c r="H17" s="4" t="s">
        <v>574</v>
      </c>
      <c r="I17" s="4"/>
    </row>
    <row r="18" customFormat="false" ht="15" hidden="false" customHeight="false" outlineLevel="0" collapsed="false">
      <c r="A18" s="4" t="s">
        <v>3805</v>
      </c>
      <c r="B18" s="23" t="n">
        <v>15</v>
      </c>
      <c r="C18" s="6" t="n">
        <v>46204</v>
      </c>
      <c r="D18" s="4" t="s">
        <v>3807</v>
      </c>
      <c r="E18" s="4" t="s">
        <v>5974</v>
      </c>
      <c r="F18" s="7" t="n">
        <v>15893.2</v>
      </c>
      <c r="G18" s="24" t="s">
        <v>5951</v>
      </c>
      <c r="H18" s="4" t="s">
        <v>3803</v>
      </c>
      <c r="I18" s="4"/>
    </row>
    <row r="19" customFormat="false" ht="15" hidden="false" customHeight="false" outlineLevel="0" collapsed="false">
      <c r="A19" s="4" t="s">
        <v>3810</v>
      </c>
      <c r="B19" s="23" t="n">
        <v>16</v>
      </c>
      <c r="C19" s="6" t="n">
        <v>46204</v>
      </c>
      <c r="D19" s="4" t="s">
        <v>3812</v>
      </c>
      <c r="E19" s="4" t="s">
        <v>6853</v>
      </c>
      <c r="F19" s="7" t="n">
        <v>-24979.35</v>
      </c>
      <c r="G19" s="24" t="s">
        <v>5951</v>
      </c>
      <c r="H19" s="4" t="s">
        <v>3808</v>
      </c>
      <c r="I19" s="4"/>
    </row>
    <row r="20" customFormat="false" ht="15" hidden="false" customHeight="false" outlineLevel="0" collapsed="false">
      <c r="A20" s="4" t="s">
        <v>581</v>
      </c>
      <c r="B20" s="23" t="n">
        <v>17</v>
      </c>
      <c r="C20" s="6" t="n">
        <v>46204</v>
      </c>
      <c r="D20" s="4" t="s">
        <v>583</v>
      </c>
      <c r="E20" s="4" t="s">
        <v>6854</v>
      </c>
      <c r="F20" s="7" t="n">
        <v>-34728.88</v>
      </c>
      <c r="G20" s="24" t="s">
        <v>5951</v>
      </c>
      <c r="H20" s="4" t="s">
        <v>579</v>
      </c>
      <c r="I20" s="4"/>
    </row>
    <row r="21" customFormat="false" ht="15" hidden="false" customHeight="false" outlineLevel="0" collapsed="false">
      <c r="A21" s="4" t="s">
        <v>4907</v>
      </c>
      <c r="B21" s="23" t="n">
        <v>18</v>
      </c>
      <c r="C21" s="6" t="n">
        <v>46204</v>
      </c>
      <c r="D21" s="4" t="s">
        <v>4909</v>
      </c>
      <c r="E21" s="4" t="s">
        <v>6855</v>
      </c>
      <c r="F21" s="7" t="n">
        <v>-33593.93</v>
      </c>
      <c r="G21" s="24" t="s">
        <v>5951</v>
      </c>
      <c r="H21" s="4" t="s">
        <v>4905</v>
      </c>
      <c r="I21" s="4"/>
    </row>
    <row r="22" customFormat="false" ht="15" hidden="false" customHeight="false" outlineLevel="0" collapsed="false">
      <c r="A22" s="4" t="s">
        <v>2238</v>
      </c>
      <c r="B22" s="23" t="n">
        <v>19</v>
      </c>
      <c r="C22" s="6" t="n">
        <v>46204</v>
      </c>
      <c r="D22" s="4" t="s">
        <v>2240</v>
      </c>
      <c r="E22" s="4" t="s">
        <v>6856</v>
      </c>
      <c r="F22" s="7" t="n">
        <v>-31334.04</v>
      </c>
      <c r="G22" s="24" t="s">
        <v>5951</v>
      </c>
      <c r="H22" s="4" t="s">
        <v>2236</v>
      </c>
      <c r="I22" s="4"/>
    </row>
    <row r="23" customFormat="false" ht="15" hidden="false" customHeight="false" outlineLevel="0" collapsed="false">
      <c r="A23" s="4" t="s">
        <v>2243</v>
      </c>
      <c r="B23" s="23" t="n">
        <v>20</v>
      </c>
      <c r="C23" s="6" t="n">
        <v>46205</v>
      </c>
      <c r="D23" s="4" t="s">
        <v>2245</v>
      </c>
      <c r="E23" s="4" t="s">
        <v>5969</v>
      </c>
      <c r="F23" s="7" t="n">
        <v>14194.34</v>
      </c>
      <c r="G23" s="24" t="s">
        <v>5951</v>
      </c>
      <c r="H23" s="4" t="s">
        <v>2241</v>
      </c>
      <c r="I23" s="4"/>
    </row>
    <row r="24" customFormat="false" ht="15" hidden="false" customHeight="false" outlineLevel="0" collapsed="false">
      <c r="A24" s="4" t="s">
        <v>3815</v>
      </c>
      <c r="B24" s="23" t="n">
        <v>21</v>
      </c>
      <c r="C24" s="6" t="n">
        <v>46205</v>
      </c>
      <c r="D24" s="4" t="s">
        <v>3817</v>
      </c>
      <c r="E24" s="4" t="s">
        <v>5982</v>
      </c>
      <c r="F24" s="7" t="n">
        <v>58297.6</v>
      </c>
      <c r="G24" s="24" t="s">
        <v>5951</v>
      </c>
      <c r="H24" s="4" t="s">
        <v>3813</v>
      </c>
      <c r="I24" s="4"/>
    </row>
    <row r="25" customFormat="false" ht="15" hidden="false" customHeight="false" outlineLevel="0" collapsed="false">
      <c r="A25" s="4" t="s">
        <v>586</v>
      </c>
      <c r="B25" s="23" t="n">
        <v>22</v>
      </c>
      <c r="C25" s="6" t="n">
        <v>46205</v>
      </c>
      <c r="D25" s="4" t="s">
        <v>588</v>
      </c>
      <c r="E25" s="4" t="s">
        <v>5960</v>
      </c>
      <c r="F25" s="7" t="n">
        <v>17593.36</v>
      </c>
      <c r="G25" s="24" t="s">
        <v>5951</v>
      </c>
      <c r="H25" s="4" t="s">
        <v>584</v>
      </c>
      <c r="I25" s="4"/>
    </row>
    <row r="26" customFormat="false" ht="15" hidden="false" customHeight="false" outlineLevel="0" collapsed="false">
      <c r="A26" s="4" t="s">
        <v>2248</v>
      </c>
      <c r="B26" s="23" t="n">
        <v>23</v>
      </c>
      <c r="C26" s="6" t="n">
        <v>46205</v>
      </c>
      <c r="D26" s="4" t="s">
        <v>2250</v>
      </c>
      <c r="E26" s="4" t="s">
        <v>5971</v>
      </c>
      <c r="F26" s="7" t="n">
        <v>33180.93</v>
      </c>
      <c r="G26" s="24" t="s">
        <v>5951</v>
      </c>
      <c r="H26" s="4" t="s">
        <v>2246</v>
      </c>
      <c r="I26" s="4"/>
    </row>
    <row r="27" customFormat="false" ht="15" hidden="false" customHeight="false" outlineLevel="0" collapsed="false">
      <c r="A27" s="4" t="s">
        <v>591</v>
      </c>
      <c r="B27" s="23" t="n">
        <v>24</v>
      </c>
      <c r="C27" s="6" t="n">
        <v>46205</v>
      </c>
      <c r="D27" s="4" t="s">
        <v>593</v>
      </c>
      <c r="E27" s="4" t="s">
        <v>5962</v>
      </c>
      <c r="F27" s="7" t="n">
        <v>58735.72</v>
      </c>
      <c r="G27" s="24" t="s">
        <v>5951</v>
      </c>
      <c r="H27" s="4" t="s">
        <v>589</v>
      </c>
      <c r="I27" s="4"/>
    </row>
    <row r="28" customFormat="false" ht="15" hidden="false" customHeight="false" outlineLevel="0" collapsed="false">
      <c r="A28" s="4" t="s">
        <v>2253</v>
      </c>
      <c r="B28" s="23" t="n">
        <v>25</v>
      </c>
      <c r="C28" s="6" t="n">
        <v>46205</v>
      </c>
      <c r="D28" s="4" t="s">
        <v>2255</v>
      </c>
      <c r="E28" s="4" t="s">
        <v>5972</v>
      </c>
      <c r="F28" s="7" t="n">
        <v>56947.73</v>
      </c>
      <c r="G28" s="24" t="s">
        <v>5951</v>
      </c>
      <c r="H28" s="4" t="s">
        <v>2251</v>
      </c>
      <c r="I28" s="4"/>
    </row>
    <row r="29" customFormat="false" ht="15" hidden="false" customHeight="false" outlineLevel="0" collapsed="false">
      <c r="A29" s="4" t="s">
        <v>2258</v>
      </c>
      <c r="B29" s="23" t="n">
        <v>26</v>
      </c>
      <c r="C29" s="6" t="n">
        <v>46205</v>
      </c>
      <c r="D29" s="4" t="s">
        <v>2260</v>
      </c>
      <c r="E29" s="4" t="s">
        <v>6857</v>
      </c>
      <c r="F29" s="7" t="n">
        <v>14196.36</v>
      </c>
      <c r="G29" s="24" t="s">
        <v>5951</v>
      </c>
      <c r="H29" s="4" t="s">
        <v>2256</v>
      </c>
      <c r="I29" s="4"/>
    </row>
    <row r="30" customFormat="false" ht="15" hidden="false" customHeight="false" outlineLevel="0" collapsed="false">
      <c r="A30" s="4" t="s">
        <v>5331</v>
      </c>
      <c r="B30" s="23" t="n">
        <v>27</v>
      </c>
      <c r="C30" s="6" t="n">
        <v>46205</v>
      </c>
      <c r="D30" s="4" t="s">
        <v>5333</v>
      </c>
      <c r="E30" s="4" t="s">
        <v>6858</v>
      </c>
      <c r="F30" s="7" t="n">
        <v>-4231.7</v>
      </c>
      <c r="G30" s="24" t="s">
        <v>5951</v>
      </c>
      <c r="H30" s="4" t="s">
        <v>5329</v>
      </c>
      <c r="I30" s="4"/>
    </row>
    <row r="31" customFormat="false" ht="15" hidden="false" customHeight="false" outlineLevel="0" collapsed="false">
      <c r="A31" s="4" t="s">
        <v>596</v>
      </c>
      <c r="B31" s="23" t="n">
        <v>28</v>
      </c>
      <c r="C31" s="6" t="n">
        <v>46205</v>
      </c>
      <c r="D31" s="4" t="s">
        <v>598</v>
      </c>
      <c r="E31" s="4" t="s">
        <v>6859</v>
      </c>
      <c r="F31" s="7" t="n">
        <v>-56444.22</v>
      </c>
      <c r="G31" s="24" t="s">
        <v>5951</v>
      </c>
      <c r="H31" s="4" t="s">
        <v>594</v>
      </c>
      <c r="I31" s="4"/>
    </row>
    <row r="32" customFormat="false" ht="15" hidden="false" customHeight="false" outlineLevel="0" collapsed="false">
      <c r="A32" s="4" t="s">
        <v>601</v>
      </c>
      <c r="B32" s="23" t="n">
        <v>29</v>
      </c>
      <c r="C32" s="6" t="n">
        <v>46205</v>
      </c>
      <c r="D32" s="4" t="s">
        <v>603</v>
      </c>
      <c r="E32" s="4" t="s">
        <v>6860</v>
      </c>
      <c r="F32" s="7" t="n">
        <v>-6914.35</v>
      </c>
      <c r="G32" s="24" t="s">
        <v>5951</v>
      </c>
      <c r="H32" s="4" t="s">
        <v>599</v>
      </c>
      <c r="I32" s="4"/>
    </row>
    <row r="33" customFormat="false" ht="15" hidden="false" customHeight="false" outlineLevel="0" collapsed="false">
      <c r="A33" s="4" t="s">
        <v>2263</v>
      </c>
      <c r="B33" s="23" t="n">
        <v>30</v>
      </c>
      <c r="C33" s="6" t="n">
        <v>46205</v>
      </c>
      <c r="D33" s="4" t="s">
        <v>2265</v>
      </c>
      <c r="E33" s="4" t="s">
        <v>6861</v>
      </c>
      <c r="F33" s="7" t="n">
        <v>-58473.02</v>
      </c>
      <c r="G33" s="24" t="s">
        <v>5951</v>
      </c>
      <c r="H33" s="4" t="s">
        <v>2261</v>
      </c>
      <c r="I33" s="4"/>
    </row>
    <row r="34" customFormat="false" ht="15" hidden="false" customHeight="false" outlineLevel="0" collapsed="false">
      <c r="A34" s="4" t="s">
        <v>5336</v>
      </c>
      <c r="B34" s="23" t="n">
        <v>31</v>
      </c>
      <c r="C34" s="6" t="n">
        <v>46205</v>
      </c>
      <c r="D34" s="4" t="s">
        <v>5338</v>
      </c>
      <c r="E34" s="4" t="s">
        <v>6862</v>
      </c>
      <c r="F34" s="7" t="n">
        <v>-30951.66</v>
      </c>
      <c r="G34" s="24" t="s">
        <v>5951</v>
      </c>
      <c r="H34" s="4" t="s">
        <v>5334</v>
      </c>
      <c r="I34" s="4"/>
    </row>
    <row r="35" customFormat="false" ht="15" hidden="false" customHeight="false" outlineLevel="0" collapsed="false">
      <c r="A35" s="4" t="s">
        <v>606</v>
      </c>
      <c r="B35" s="23" t="n">
        <v>32</v>
      </c>
      <c r="C35" s="6" t="n">
        <v>46205</v>
      </c>
      <c r="D35" s="4" t="s">
        <v>608</v>
      </c>
      <c r="E35" s="4" t="s">
        <v>6863</v>
      </c>
      <c r="F35" s="7" t="n">
        <v>-34476.01</v>
      </c>
      <c r="G35" s="24" t="s">
        <v>5951</v>
      </c>
      <c r="H35" s="4" t="s">
        <v>604</v>
      </c>
      <c r="I35" s="4"/>
    </row>
    <row r="36" customFormat="false" ht="15" hidden="false" customHeight="false" outlineLevel="0" collapsed="false">
      <c r="A36" s="4" t="s">
        <v>2268</v>
      </c>
      <c r="B36" s="23" t="n">
        <v>33</v>
      </c>
      <c r="C36" s="6" t="n">
        <v>46206</v>
      </c>
      <c r="D36" s="4" t="s">
        <v>2270</v>
      </c>
      <c r="E36" s="4" t="s">
        <v>5979</v>
      </c>
      <c r="F36" s="7" t="n">
        <v>51162.61</v>
      </c>
      <c r="G36" s="24" t="s">
        <v>5951</v>
      </c>
      <c r="H36" s="4" t="s">
        <v>2266</v>
      </c>
      <c r="I36" s="4"/>
    </row>
    <row r="37" customFormat="false" ht="15" hidden="false" customHeight="false" outlineLevel="0" collapsed="false">
      <c r="A37" s="4" t="s">
        <v>2273</v>
      </c>
      <c r="B37" s="23" t="n">
        <v>34</v>
      </c>
      <c r="C37" s="6" t="n">
        <v>46206</v>
      </c>
      <c r="D37" s="4" t="s">
        <v>2275</v>
      </c>
      <c r="E37" s="4" t="s">
        <v>5980</v>
      </c>
      <c r="F37" s="7" t="n">
        <v>45197.71</v>
      </c>
      <c r="G37" s="24" t="s">
        <v>5951</v>
      </c>
      <c r="H37" s="4" t="s">
        <v>2271</v>
      </c>
      <c r="I37" s="4"/>
    </row>
    <row r="38" customFormat="false" ht="15" hidden="false" customHeight="false" outlineLevel="0" collapsed="false">
      <c r="A38" s="4" t="s">
        <v>611</v>
      </c>
      <c r="B38" s="23" t="n">
        <v>35</v>
      </c>
      <c r="C38" s="6" t="n">
        <v>46206</v>
      </c>
      <c r="D38" s="4" t="s">
        <v>613</v>
      </c>
      <c r="E38" s="4" t="s">
        <v>5968</v>
      </c>
      <c r="F38" s="7" t="n">
        <v>9662.1</v>
      </c>
      <c r="G38" s="24" t="s">
        <v>5951</v>
      </c>
      <c r="H38" s="4" t="s">
        <v>609</v>
      </c>
      <c r="I38" s="4"/>
    </row>
    <row r="39" customFormat="false" ht="15" hidden="false" customHeight="false" outlineLevel="0" collapsed="false">
      <c r="A39" s="4" t="s">
        <v>3820</v>
      </c>
      <c r="B39" s="23" t="n">
        <v>36</v>
      </c>
      <c r="C39" s="6" t="n">
        <v>46206</v>
      </c>
      <c r="D39" s="4" t="s">
        <v>3822</v>
      </c>
      <c r="E39" s="4" t="s">
        <v>5988</v>
      </c>
      <c r="F39" s="7" t="n">
        <v>55300.11</v>
      </c>
      <c r="G39" s="24" t="s">
        <v>5951</v>
      </c>
      <c r="H39" s="4" t="s">
        <v>3818</v>
      </c>
      <c r="I39" s="4"/>
    </row>
    <row r="40" customFormat="false" ht="15" hidden="false" customHeight="false" outlineLevel="0" collapsed="false">
      <c r="A40" s="4" t="s">
        <v>2278</v>
      </c>
      <c r="B40" s="23" t="n">
        <v>37</v>
      </c>
      <c r="C40" s="6" t="n">
        <v>46206</v>
      </c>
      <c r="D40" s="4" t="s">
        <v>2280</v>
      </c>
      <c r="E40" s="4" t="s">
        <v>5981</v>
      </c>
      <c r="F40" s="7" t="n">
        <v>55404.83</v>
      </c>
      <c r="G40" s="24" t="s">
        <v>5951</v>
      </c>
      <c r="H40" s="4" t="s">
        <v>2276</v>
      </c>
      <c r="I40" s="4"/>
    </row>
    <row r="41" customFormat="false" ht="15" hidden="false" customHeight="false" outlineLevel="0" collapsed="false">
      <c r="A41" s="4" t="s">
        <v>616</v>
      </c>
      <c r="B41" s="23" t="n">
        <v>38</v>
      </c>
      <c r="C41" s="6" t="n">
        <v>46206</v>
      </c>
      <c r="D41" s="4" t="s">
        <v>618</v>
      </c>
      <c r="E41" s="4" t="s">
        <v>6864</v>
      </c>
      <c r="F41" s="7" t="n">
        <v>31705.47</v>
      </c>
      <c r="G41" s="24" t="s">
        <v>5951</v>
      </c>
      <c r="H41" s="4" t="s">
        <v>614</v>
      </c>
      <c r="I41" s="4"/>
    </row>
    <row r="42" customFormat="false" ht="15" hidden="false" customHeight="false" outlineLevel="0" collapsed="false">
      <c r="A42" s="4" t="s">
        <v>621</v>
      </c>
      <c r="B42" s="23" t="n">
        <v>39</v>
      </c>
      <c r="C42" s="6" t="n">
        <v>46206</v>
      </c>
      <c r="D42" s="4" t="s">
        <v>623</v>
      </c>
      <c r="E42" s="4" t="s">
        <v>5970</v>
      </c>
      <c r="F42" s="7" t="n">
        <v>30251.62</v>
      </c>
      <c r="G42" s="24" t="s">
        <v>5951</v>
      </c>
      <c r="H42" s="4" t="s">
        <v>619</v>
      </c>
      <c r="I42" s="4"/>
    </row>
    <row r="43" customFormat="false" ht="15" hidden="false" customHeight="false" outlineLevel="0" collapsed="false">
      <c r="A43" s="4" t="s">
        <v>2283</v>
      </c>
      <c r="B43" s="23" t="n">
        <v>40</v>
      </c>
      <c r="C43" s="6" t="n">
        <v>46206</v>
      </c>
      <c r="D43" s="4" t="s">
        <v>2285</v>
      </c>
      <c r="E43" s="4" t="s">
        <v>5983</v>
      </c>
      <c r="F43" s="7" t="n">
        <v>46767.67</v>
      </c>
      <c r="G43" s="24" t="s">
        <v>5951</v>
      </c>
      <c r="H43" s="4" t="s">
        <v>2281</v>
      </c>
      <c r="I43" s="4"/>
    </row>
    <row r="44" customFormat="false" ht="15" hidden="false" customHeight="false" outlineLevel="0" collapsed="false">
      <c r="A44" s="4" t="s">
        <v>626</v>
      </c>
      <c r="B44" s="23" t="n">
        <v>41</v>
      </c>
      <c r="C44" s="6" t="n">
        <v>46206</v>
      </c>
      <c r="D44" s="4" t="s">
        <v>628</v>
      </c>
      <c r="E44" s="4" t="s">
        <v>5973</v>
      </c>
      <c r="F44" s="7" t="n">
        <v>38427.28</v>
      </c>
      <c r="G44" s="24" t="s">
        <v>5951</v>
      </c>
      <c r="H44" s="4" t="s">
        <v>624</v>
      </c>
      <c r="I44" s="4"/>
    </row>
    <row r="45" customFormat="false" ht="15" hidden="false" customHeight="false" outlineLevel="0" collapsed="false">
      <c r="A45" s="4" t="s">
        <v>631</v>
      </c>
      <c r="B45" s="23" t="n">
        <v>42</v>
      </c>
      <c r="C45" s="6" t="n">
        <v>46206</v>
      </c>
      <c r="D45" s="4" t="s">
        <v>633</v>
      </c>
      <c r="E45" s="4" t="s">
        <v>5975</v>
      </c>
      <c r="F45" s="7" t="n">
        <v>52434.49</v>
      </c>
      <c r="G45" s="24" t="s">
        <v>5951</v>
      </c>
      <c r="H45" s="4" t="s">
        <v>629</v>
      </c>
      <c r="I45" s="4"/>
    </row>
    <row r="46" customFormat="false" ht="15" hidden="false" customHeight="false" outlineLevel="0" collapsed="false">
      <c r="A46" s="4" t="s">
        <v>2288</v>
      </c>
      <c r="B46" s="23" t="n">
        <v>43</v>
      </c>
      <c r="C46" s="6" t="n">
        <v>46206</v>
      </c>
      <c r="D46" s="4" t="s">
        <v>2290</v>
      </c>
      <c r="E46" s="4" t="s">
        <v>5985</v>
      </c>
      <c r="F46" s="7" t="n">
        <v>39488.33</v>
      </c>
      <c r="G46" s="24" t="s">
        <v>5951</v>
      </c>
      <c r="H46" s="4" t="s">
        <v>2286</v>
      </c>
      <c r="I46" s="4"/>
    </row>
    <row r="47" customFormat="false" ht="15" hidden="false" customHeight="false" outlineLevel="0" collapsed="false">
      <c r="A47" s="4" t="s">
        <v>4607</v>
      </c>
      <c r="B47" s="23" t="n">
        <v>44</v>
      </c>
      <c r="C47" s="6" t="n">
        <v>46206</v>
      </c>
      <c r="D47" s="4" t="s">
        <v>4609</v>
      </c>
      <c r="E47" s="4" t="s">
        <v>6865</v>
      </c>
      <c r="F47" s="7" t="n">
        <v>-7257.78</v>
      </c>
      <c r="G47" s="24" t="s">
        <v>5951</v>
      </c>
      <c r="H47" s="4" t="s">
        <v>4605</v>
      </c>
      <c r="I47" s="4"/>
    </row>
    <row r="48" customFormat="false" ht="15" hidden="false" customHeight="false" outlineLevel="0" collapsed="false">
      <c r="A48" s="4" t="s">
        <v>2293</v>
      </c>
      <c r="B48" s="23" t="n">
        <v>45</v>
      </c>
      <c r="C48" s="6" t="n">
        <v>46206</v>
      </c>
      <c r="D48" s="4" t="s">
        <v>2295</v>
      </c>
      <c r="E48" s="4" t="s">
        <v>6866</v>
      </c>
      <c r="F48" s="7" t="n">
        <v>-14595.64</v>
      </c>
      <c r="G48" s="24" t="s">
        <v>5951</v>
      </c>
      <c r="H48" s="4" t="s">
        <v>2291</v>
      </c>
      <c r="I48" s="4"/>
    </row>
    <row r="49" customFormat="false" ht="15" hidden="false" customHeight="false" outlineLevel="0" collapsed="false">
      <c r="A49" s="4" t="s">
        <v>3825</v>
      </c>
      <c r="B49" s="23" t="n">
        <v>46</v>
      </c>
      <c r="C49" s="6" t="n">
        <v>46206</v>
      </c>
      <c r="D49" s="4" t="s">
        <v>3827</v>
      </c>
      <c r="E49" s="4" t="s">
        <v>6867</v>
      </c>
      <c r="F49" s="7" t="n">
        <v>-2327.04</v>
      </c>
      <c r="G49" s="24" t="s">
        <v>5951</v>
      </c>
      <c r="H49" s="4" t="s">
        <v>3823</v>
      </c>
      <c r="I49" s="4"/>
    </row>
    <row r="50" customFormat="false" ht="15" hidden="false" customHeight="false" outlineLevel="0" collapsed="false">
      <c r="A50" s="4" t="s">
        <v>437</v>
      </c>
      <c r="B50" s="23" t="n">
        <v>47</v>
      </c>
      <c r="C50" s="6" t="n">
        <v>46206</v>
      </c>
      <c r="D50" s="4" t="s">
        <v>5861</v>
      </c>
      <c r="E50" s="4" t="s">
        <v>438</v>
      </c>
      <c r="F50" s="7" t="n">
        <v>41743.69</v>
      </c>
      <c r="G50" s="25" t="s">
        <v>5987</v>
      </c>
      <c r="H50" s="4" t="s">
        <v>5859</v>
      </c>
      <c r="I50" s="4" t="s">
        <v>434</v>
      </c>
    </row>
    <row r="51" customFormat="false" ht="15" hidden="false" customHeight="false" outlineLevel="0" collapsed="false">
      <c r="A51" s="4" t="s">
        <v>3830</v>
      </c>
      <c r="B51" s="23" t="n">
        <v>48</v>
      </c>
      <c r="C51" s="6" t="n">
        <v>46207</v>
      </c>
      <c r="D51" s="4" t="s">
        <v>3832</v>
      </c>
      <c r="E51" s="4" t="s">
        <v>5997</v>
      </c>
      <c r="F51" s="7" t="n">
        <v>52971.86</v>
      </c>
      <c r="G51" s="24" t="s">
        <v>5951</v>
      </c>
      <c r="H51" s="4" t="s">
        <v>3828</v>
      </c>
      <c r="I51" s="4"/>
    </row>
    <row r="52" customFormat="false" ht="15" hidden="false" customHeight="false" outlineLevel="0" collapsed="false">
      <c r="A52" s="4" t="s">
        <v>636</v>
      </c>
      <c r="B52" s="23" t="n">
        <v>49</v>
      </c>
      <c r="C52" s="6" t="n">
        <v>46207</v>
      </c>
      <c r="D52" s="4" t="s">
        <v>638</v>
      </c>
      <c r="E52" s="4" t="s">
        <v>5978</v>
      </c>
      <c r="F52" s="7" t="n">
        <v>35711.75</v>
      </c>
      <c r="G52" s="24" t="s">
        <v>5951</v>
      </c>
      <c r="H52" s="4" t="s">
        <v>634</v>
      </c>
      <c r="I52" s="4"/>
    </row>
    <row r="53" customFormat="false" ht="15" hidden="false" customHeight="false" outlineLevel="0" collapsed="false">
      <c r="A53" s="4" t="s">
        <v>641</v>
      </c>
      <c r="B53" s="23" t="n">
        <v>50</v>
      </c>
      <c r="C53" s="6" t="n">
        <v>46207</v>
      </c>
      <c r="D53" s="4" t="s">
        <v>643</v>
      </c>
      <c r="E53" s="4" t="s">
        <v>6868</v>
      </c>
      <c r="F53" s="7" t="n">
        <v>67468.06</v>
      </c>
      <c r="G53" s="24" t="s">
        <v>5951</v>
      </c>
      <c r="H53" s="4" t="s">
        <v>639</v>
      </c>
      <c r="I53" s="4"/>
    </row>
    <row r="54" customFormat="false" ht="15" hidden="false" customHeight="false" outlineLevel="0" collapsed="false">
      <c r="A54" s="4" t="s">
        <v>2298</v>
      </c>
      <c r="B54" s="23" t="n">
        <v>51</v>
      </c>
      <c r="C54" s="6" t="n">
        <v>46207</v>
      </c>
      <c r="D54" s="4" t="s">
        <v>2300</v>
      </c>
      <c r="E54" s="4" t="s">
        <v>6869</v>
      </c>
      <c r="F54" s="7" t="n">
        <v>29463.69</v>
      </c>
      <c r="G54" s="24" t="s">
        <v>5951</v>
      </c>
      <c r="H54" s="4" t="s">
        <v>2296</v>
      </c>
      <c r="I54" s="4"/>
    </row>
    <row r="55" customFormat="false" ht="15" hidden="false" customHeight="false" outlineLevel="0" collapsed="false">
      <c r="A55" s="4" t="s">
        <v>646</v>
      </c>
      <c r="B55" s="23" t="n">
        <v>52</v>
      </c>
      <c r="C55" s="6" t="n">
        <v>46207</v>
      </c>
      <c r="D55" s="4" t="s">
        <v>648</v>
      </c>
      <c r="E55" s="4" t="s">
        <v>5984</v>
      </c>
      <c r="F55" s="7" t="n">
        <v>61523.6</v>
      </c>
      <c r="G55" s="24" t="s">
        <v>5951</v>
      </c>
      <c r="H55" s="4" t="s">
        <v>644</v>
      </c>
      <c r="I55" s="4"/>
    </row>
    <row r="56" customFormat="false" ht="15" hidden="false" customHeight="false" outlineLevel="0" collapsed="false">
      <c r="A56" s="4" t="s">
        <v>2303</v>
      </c>
      <c r="B56" s="23" t="n">
        <v>53</v>
      </c>
      <c r="C56" s="6" t="n">
        <v>46207</v>
      </c>
      <c r="D56" s="4" t="s">
        <v>2305</v>
      </c>
      <c r="E56" s="4" t="s">
        <v>5993</v>
      </c>
      <c r="F56" s="7" t="n">
        <v>25701.64</v>
      </c>
      <c r="G56" s="24" t="s">
        <v>5951</v>
      </c>
      <c r="H56" s="4" t="s">
        <v>2301</v>
      </c>
      <c r="I56" s="4"/>
    </row>
    <row r="57" customFormat="false" ht="15" hidden="false" customHeight="false" outlineLevel="0" collapsed="false">
      <c r="A57" s="4" t="s">
        <v>651</v>
      </c>
      <c r="B57" s="23" t="n">
        <v>54</v>
      </c>
      <c r="C57" s="6" t="n">
        <v>46207</v>
      </c>
      <c r="D57" s="4" t="s">
        <v>653</v>
      </c>
      <c r="E57" s="4" t="s">
        <v>6870</v>
      </c>
      <c r="F57" s="7" t="n">
        <v>26042.14</v>
      </c>
      <c r="G57" s="24" t="s">
        <v>5951</v>
      </c>
      <c r="H57" s="4" t="s">
        <v>649</v>
      </c>
      <c r="I57" s="4"/>
    </row>
    <row r="58" customFormat="false" ht="15" hidden="false" customHeight="false" outlineLevel="0" collapsed="false">
      <c r="A58" s="4" t="s">
        <v>5341</v>
      </c>
      <c r="B58" s="23" t="n">
        <v>55</v>
      </c>
      <c r="C58" s="6" t="n">
        <v>46207</v>
      </c>
      <c r="D58" s="4" t="s">
        <v>5343</v>
      </c>
      <c r="E58" s="4" t="s">
        <v>6871</v>
      </c>
      <c r="F58" s="7" t="n">
        <v>-19941.63</v>
      </c>
      <c r="G58" s="24" t="s">
        <v>5951</v>
      </c>
      <c r="H58" s="4" t="s">
        <v>5339</v>
      </c>
      <c r="I58" s="4"/>
    </row>
    <row r="59" customFormat="false" ht="15" hidden="false" customHeight="false" outlineLevel="0" collapsed="false">
      <c r="A59" s="4" t="s">
        <v>4912</v>
      </c>
      <c r="B59" s="23" t="n">
        <v>56</v>
      </c>
      <c r="C59" s="6" t="n">
        <v>46207</v>
      </c>
      <c r="D59" s="4" t="s">
        <v>4914</v>
      </c>
      <c r="E59" s="4" t="s">
        <v>6872</v>
      </c>
      <c r="F59" s="7" t="n">
        <v>-5849.78</v>
      </c>
      <c r="G59" s="24" t="s">
        <v>5951</v>
      </c>
      <c r="H59" s="4" t="s">
        <v>4910</v>
      </c>
      <c r="I59" s="4"/>
    </row>
    <row r="60" customFormat="false" ht="15" hidden="false" customHeight="false" outlineLevel="0" collapsed="false">
      <c r="A60" s="4" t="s">
        <v>5805</v>
      </c>
      <c r="B60" s="23" t="n">
        <v>57</v>
      </c>
      <c r="C60" s="6" t="n">
        <v>46207</v>
      </c>
      <c r="D60" s="4" t="s">
        <v>5807</v>
      </c>
      <c r="E60" s="4"/>
      <c r="F60" s="7" t="n">
        <v>-3537.85</v>
      </c>
      <c r="G60" s="24" t="s">
        <v>5951</v>
      </c>
      <c r="H60" s="4" t="s">
        <v>5803</v>
      </c>
      <c r="I60" s="4"/>
    </row>
    <row r="61" customFormat="false" ht="15" hidden="false" customHeight="false" outlineLevel="0" collapsed="false">
      <c r="A61" s="4" t="s">
        <v>2308</v>
      </c>
      <c r="B61" s="23" t="n">
        <v>58</v>
      </c>
      <c r="C61" s="6" t="n">
        <v>46208</v>
      </c>
      <c r="D61" s="4" t="s">
        <v>2310</v>
      </c>
      <c r="E61" s="4" t="s">
        <v>6873</v>
      </c>
      <c r="F61" s="7" t="n">
        <v>80508.62</v>
      </c>
      <c r="G61" s="24" t="s">
        <v>5951</v>
      </c>
      <c r="H61" s="4" t="s">
        <v>2306</v>
      </c>
      <c r="I61" s="4"/>
    </row>
    <row r="62" customFormat="false" ht="15" hidden="false" customHeight="false" outlineLevel="0" collapsed="false">
      <c r="A62" s="4" t="s">
        <v>656</v>
      </c>
      <c r="B62" s="23" t="n">
        <v>59</v>
      </c>
      <c r="C62" s="6" t="n">
        <v>46208</v>
      </c>
      <c r="D62" s="4" t="s">
        <v>658</v>
      </c>
      <c r="E62" s="4" t="s">
        <v>6874</v>
      </c>
      <c r="F62" s="7" t="n">
        <v>18782.24</v>
      </c>
      <c r="G62" s="24" t="s">
        <v>5951</v>
      </c>
      <c r="H62" s="4" t="s">
        <v>654</v>
      </c>
      <c r="I62" s="4"/>
    </row>
    <row r="63" customFormat="false" ht="15" hidden="false" customHeight="false" outlineLevel="0" collapsed="false">
      <c r="A63" s="4" t="s">
        <v>661</v>
      </c>
      <c r="B63" s="23" t="n">
        <v>60</v>
      </c>
      <c r="C63" s="6" t="n">
        <v>46208</v>
      </c>
      <c r="D63" s="4" t="s">
        <v>663</v>
      </c>
      <c r="E63" s="4" t="s">
        <v>5989</v>
      </c>
      <c r="F63" s="7" t="n">
        <v>21690.76</v>
      </c>
      <c r="G63" s="24" t="s">
        <v>5951</v>
      </c>
      <c r="H63" s="4" t="s">
        <v>659</v>
      </c>
      <c r="I63" s="4"/>
    </row>
    <row r="64" customFormat="false" ht="15" hidden="false" customHeight="false" outlineLevel="0" collapsed="false">
      <c r="A64" s="4" t="s">
        <v>666</v>
      </c>
      <c r="B64" s="23" t="n">
        <v>61</v>
      </c>
      <c r="C64" s="6" t="n">
        <v>46208</v>
      </c>
      <c r="D64" s="4" t="s">
        <v>668</v>
      </c>
      <c r="E64" s="4" t="s">
        <v>5990</v>
      </c>
      <c r="F64" s="7" t="n">
        <v>38727.39</v>
      </c>
      <c r="G64" s="24" t="s">
        <v>5951</v>
      </c>
      <c r="H64" s="4" t="s">
        <v>664</v>
      </c>
      <c r="I64" s="4"/>
    </row>
    <row r="65" customFormat="false" ht="15" hidden="false" customHeight="false" outlineLevel="0" collapsed="false">
      <c r="A65" s="4" t="s">
        <v>2313</v>
      </c>
      <c r="B65" s="23" t="n">
        <v>62</v>
      </c>
      <c r="C65" s="6" t="n">
        <v>46208</v>
      </c>
      <c r="D65" s="4" t="s">
        <v>2315</v>
      </c>
      <c r="E65" s="4" t="s">
        <v>5999</v>
      </c>
      <c r="F65" s="7" t="n">
        <v>19679.43</v>
      </c>
      <c r="G65" s="24" t="s">
        <v>5951</v>
      </c>
      <c r="H65" s="4" t="s">
        <v>2311</v>
      </c>
      <c r="I65" s="4"/>
    </row>
    <row r="66" customFormat="false" ht="15" hidden="false" customHeight="false" outlineLevel="0" collapsed="false">
      <c r="A66" s="4" t="s">
        <v>671</v>
      </c>
      <c r="B66" s="23" t="n">
        <v>63</v>
      </c>
      <c r="C66" s="6" t="n">
        <v>46208</v>
      </c>
      <c r="D66" s="4" t="s">
        <v>673</v>
      </c>
      <c r="E66" s="4" t="s">
        <v>5991</v>
      </c>
      <c r="F66" s="7" t="n">
        <v>4892.45</v>
      </c>
      <c r="G66" s="24" t="s">
        <v>5951</v>
      </c>
      <c r="H66" s="4" t="s">
        <v>669</v>
      </c>
      <c r="I66" s="4"/>
    </row>
    <row r="67" customFormat="false" ht="15" hidden="false" customHeight="false" outlineLevel="0" collapsed="false">
      <c r="A67" s="4" t="s">
        <v>2318</v>
      </c>
      <c r="B67" s="23" t="n">
        <v>64</v>
      </c>
      <c r="C67" s="6" t="n">
        <v>46208</v>
      </c>
      <c r="D67" s="4" t="s">
        <v>2320</v>
      </c>
      <c r="E67" s="4" t="s">
        <v>6875</v>
      </c>
      <c r="F67" s="7" t="n">
        <v>26367.59</v>
      </c>
      <c r="G67" s="24" t="s">
        <v>5951</v>
      </c>
      <c r="H67" s="4" t="s">
        <v>2316</v>
      </c>
      <c r="I67" s="4"/>
    </row>
    <row r="68" customFormat="false" ht="15" hidden="false" customHeight="false" outlineLevel="0" collapsed="false">
      <c r="A68" s="4" t="s">
        <v>676</v>
      </c>
      <c r="B68" s="23" t="n">
        <v>65</v>
      </c>
      <c r="C68" s="6" t="n">
        <v>46208</v>
      </c>
      <c r="D68" s="4" t="s">
        <v>678</v>
      </c>
      <c r="E68" s="4" t="s">
        <v>5992</v>
      </c>
      <c r="F68" s="7" t="n">
        <v>86957.99</v>
      </c>
      <c r="G68" s="24" t="s">
        <v>5951</v>
      </c>
      <c r="H68" s="4" t="s">
        <v>674</v>
      </c>
      <c r="I68" s="4"/>
    </row>
    <row r="69" customFormat="false" ht="15" hidden="false" customHeight="false" outlineLevel="0" collapsed="false">
      <c r="A69" s="4" t="s">
        <v>3835</v>
      </c>
      <c r="B69" s="23" t="n">
        <v>66</v>
      </c>
      <c r="C69" s="6" t="n">
        <v>46208</v>
      </c>
      <c r="D69" s="4" t="s">
        <v>3837</v>
      </c>
      <c r="E69" s="4" t="s">
        <v>6876</v>
      </c>
      <c r="F69" s="7" t="n">
        <v>77182.34</v>
      </c>
      <c r="G69" s="24" t="s">
        <v>5951</v>
      </c>
      <c r="H69" s="4" t="s">
        <v>3833</v>
      </c>
      <c r="I69" s="4"/>
    </row>
    <row r="70" customFormat="false" ht="15" hidden="false" customHeight="false" outlineLevel="0" collapsed="false">
      <c r="A70" s="4" t="s">
        <v>3840</v>
      </c>
      <c r="B70" s="23" t="n">
        <v>67</v>
      </c>
      <c r="C70" s="6" t="n">
        <v>46208</v>
      </c>
      <c r="D70" s="4" t="s">
        <v>3842</v>
      </c>
      <c r="E70" s="4" t="s">
        <v>6877</v>
      </c>
      <c r="F70" s="7" t="n">
        <v>-16889.14</v>
      </c>
      <c r="G70" s="24" t="s">
        <v>5951</v>
      </c>
      <c r="H70" s="4" t="s">
        <v>3838</v>
      </c>
      <c r="I70" s="4"/>
    </row>
    <row r="71" customFormat="false" ht="15" hidden="false" customHeight="false" outlineLevel="0" collapsed="false">
      <c r="A71" s="4" t="s">
        <v>4917</v>
      </c>
      <c r="B71" s="23" t="n">
        <v>68</v>
      </c>
      <c r="C71" s="6" t="n">
        <v>46208</v>
      </c>
      <c r="D71" s="4" t="s">
        <v>4919</v>
      </c>
      <c r="E71" s="4" t="s">
        <v>6878</v>
      </c>
      <c r="F71" s="7" t="n">
        <v>-22663.12</v>
      </c>
      <c r="G71" s="24" t="s">
        <v>5951</v>
      </c>
      <c r="H71" s="4" t="s">
        <v>4915</v>
      </c>
      <c r="I71" s="4"/>
    </row>
    <row r="72" customFormat="false" ht="15" hidden="false" customHeight="false" outlineLevel="0" collapsed="false">
      <c r="A72" s="4" t="s">
        <v>681</v>
      </c>
      <c r="B72" s="23" t="n">
        <v>69</v>
      </c>
      <c r="C72" s="6" t="n">
        <v>46208</v>
      </c>
      <c r="D72" s="4" t="s">
        <v>683</v>
      </c>
      <c r="E72" s="4" t="s">
        <v>6879</v>
      </c>
      <c r="F72" s="7" t="n">
        <v>-48127.03</v>
      </c>
      <c r="G72" s="24" t="s">
        <v>5951</v>
      </c>
      <c r="H72" s="4" t="s">
        <v>679</v>
      </c>
      <c r="I72" s="4"/>
    </row>
    <row r="73" customFormat="false" ht="15" hidden="false" customHeight="false" outlineLevel="0" collapsed="false">
      <c r="A73" s="4" t="s">
        <v>4922</v>
      </c>
      <c r="B73" s="23" t="n">
        <v>70</v>
      </c>
      <c r="C73" s="6" t="n">
        <v>46208</v>
      </c>
      <c r="D73" s="4" t="s">
        <v>4924</v>
      </c>
      <c r="E73" s="4" t="s">
        <v>6880</v>
      </c>
      <c r="F73" s="7" t="n">
        <v>-57439.15</v>
      </c>
      <c r="G73" s="24" t="s">
        <v>5951</v>
      </c>
      <c r="H73" s="4" t="s">
        <v>4920</v>
      </c>
      <c r="I73" s="4"/>
    </row>
    <row r="74" customFormat="false" ht="15" hidden="false" customHeight="false" outlineLevel="0" collapsed="false">
      <c r="A74" s="4" t="s">
        <v>2323</v>
      </c>
      <c r="B74" s="23" t="n">
        <v>71</v>
      </c>
      <c r="C74" s="6" t="n">
        <v>46208</v>
      </c>
      <c r="D74" s="4" t="s">
        <v>2325</v>
      </c>
      <c r="E74" s="4" t="s">
        <v>6881</v>
      </c>
      <c r="F74" s="7" t="n">
        <v>-41522.76</v>
      </c>
      <c r="G74" s="24" t="s">
        <v>5951</v>
      </c>
      <c r="H74" s="4" t="s">
        <v>2321</v>
      </c>
      <c r="I74" s="4"/>
    </row>
    <row r="75" customFormat="false" ht="15" hidden="false" customHeight="false" outlineLevel="0" collapsed="false">
      <c r="A75" s="4" t="s">
        <v>3845</v>
      </c>
      <c r="B75" s="23" t="n">
        <v>72</v>
      </c>
      <c r="C75" s="6" t="n">
        <v>46208</v>
      </c>
      <c r="D75" s="4" t="s">
        <v>3847</v>
      </c>
      <c r="E75" s="4" t="s">
        <v>6882</v>
      </c>
      <c r="F75" s="7" t="n">
        <v>-49491.51</v>
      </c>
      <c r="G75" s="24" t="s">
        <v>5951</v>
      </c>
      <c r="H75" s="4" t="s">
        <v>3843</v>
      </c>
      <c r="I75" s="4"/>
    </row>
    <row r="76" customFormat="false" ht="15" hidden="false" customHeight="false" outlineLevel="0" collapsed="false">
      <c r="A76" s="4" t="s">
        <v>227</v>
      </c>
      <c r="B76" s="23" t="n">
        <v>73</v>
      </c>
      <c r="C76" s="6" t="n">
        <v>46208</v>
      </c>
      <c r="D76" s="4" t="s">
        <v>5843</v>
      </c>
      <c r="E76" s="4" t="s">
        <v>6883</v>
      </c>
      <c r="F76" s="7" t="n">
        <v>14380.51</v>
      </c>
      <c r="G76" s="25" t="s">
        <v>5987</v>
      </c>
      <c r="H76" s="4" t="s">
        <v>5840</v>
      </c>
      <c r="I76" s="4" t="s">
        <v>225</v>
      </c>
    </row>
    <row r="77" customFormat="false" ht="15" hidden="false" customHeight="false" outlineLevel="0" collapsed="false">
      <c r="A77" s="4" t="s">
        <v>2328</v>
      </c>
      <c r="B77" s="23" t="n">
        <v>74</v>
      </c>
      <c r="C77" s="6" t="n">
        <v>46209</v>
      </c>
      <c r="D77" s="4" t="s">
        <v>2330</v>
      </c>
      <c r="E77" s="4" t="s">
        <v>6884</v>
      </c>
      <c r="F77" s="7" t="n">
        <v>87122.55</v>
      </c>
      <c r="G77" s="24" t="s">
        <v>5951</v>
      </c>
      <c r="H77" s="4" t="s">
        <v>2326</v>
      </c>
      <c r="I77" s="4"/>
    </row>
    <row r="78" customFormat="false" ht="15" hidden="false" customHeight="false" outlineLevel="0" collapsed="false">
      <c r="A78" s="4" t="s">
        <v>686</v>
      </c>
      <c r="B78" s="23" t="n">
        <v>75</v>
      </c>
      <c r="C78" s="6" t="n">
        <v>46209</v>
      </c>
      <c r="D78" s="4" t="s">
        <v>688</v>
      </c>
      <c r="E78" s="4" t="s">
        <v>6885</v>
      </c>
      <c r="F78" s="7" t="n">
        <v>59351.79</v>
      </c>
      <c r="G78" s="24" t="s">
        <v>5951</v>
      </c>
      <c r="H78" s="4" t="s">
        <v>684</v>
      </c>
      <c r="I78" s="4"/>
    </row>
    <row r="79" customFormat="false" ht="15" hidden="false" customHeight="false" outlineLevel="0" collapsed="false">
      <c r="A79" s="4" t="s">
        <v>691</v>
      </c>
      <c r="B79" s="23" t="n">
        <v>76</v>
      </c>
      <c r="C79" s="6" t="n">
        <v>46209</v>
      </c>
      <c r="D79" s="4" t="s">
        <v>693</v>
      </c>
      <c r="E79" s="4" t="s">
        <v>5998</v>
      </c>
      <c r="F79" s="7" t="n">
        <v>62206.12</v>
      </c>
      <c r="G79" s="24" t="s">
        <v>5951</v>
      </c>
      <c r="H79" s="4" t="s">
        <v>689</v>
      </c>
      <c r="I79" s="4"/>
    </row>
    <row r="80" customFormat="false" ht="15" hidden="false" customHeight="false" outlineLevel="0" collapsed="false">
      <c r="A80" s="4" t="s">
        <v>2333</v>
      </c>
      <c r="B80" s="23" t="n">
        <v>77</v>
      </c>
      <c r="C80" s="6" t="n">
        <v>46209</v>
      </c>
      <c r="D80" s="4" t="s">
        <v>2335</v>
      </c>
      <c r="E80" s="4" t="s">
        <v>6005</v>
      </c>
      <c r="F80" s="7" t="n">
        <v>11057.01</v>
      </c>
      <c r="G80" s="24" t="s">
        <v>5951</v>
      </c>
      <c r="H80" s="4" t="s">
        <v>2331</v>
      </c>
      <c r="I80" s="4"/>
    </row>
    <row r="81" customFormat="false" ht="15" hidden="false" customHeight="false" outlineLevel="0" collapsed="false">
      <c r="A81" s="4" t="s">
        <v>2338</v>
      </c>
      <c r="B81" s="23" t="n">
        <v>78</v>
      </c>
      <c r="C81" s="6" t="n">
        <v>46209</v>
      </c>
      <c r="D81" s="4" t="s">
        <v>2340</v>
      </c>
      <c r="E81" s="4" t="s">
        <v>6006</v>
      </c>
      <c r="F81" s="7" t="n">
        <v>56971.16</v>
      </c>
      <c r="G81" s="24" t="s">
        <v>5951</v>
      </c>
      <c r="H81" s="4" t="s">
        <v>2336</v>
      </c>
      <c r="I81" s="4"/>
    </row>
    <row r="82" customFormat="false" ht="15" hidden="false" customHeight="false" outlineLevel="0" collapsed="false">
      <c r="A82" s="4" t="s">
        <v>2343</v>
      </c>
      <c r="B82" s="23" t="n">
        <v>79</v>
      </c>
      <c r="C82" s="6" t="n">
        <v>46209</v>
      </c>
      <c r="D82" s="4" t="s">
        <v>2345</v>
      </c>
      <c r="E82" s="4" t="s">
        <v>6886</v>
      </c>
      <c r="F82" s="7" t="n">
        <v>36129.13</v>
      </c>
      <c r="G82" s="24" t="s">
        <v>5951</v>
      </c>
      <c r="H82" s="4" t="s">
        <v>2341</v>
      </c>
      <c r="I82" s="4"/>
    </row>
    <row r="83" customFormat="false" ht="15" hidden="false" customHeight="false" outlineLevel="0" collapsed="false">
      <c r="A83" s="4" t="s">
        <v>2348</v>
      </c>
      <c r="B83" s="23" t="n">
        <v>80</v>
      </c>
      <c r="C83" s="6" t="n">
        <v>46209</v>
      </c>
      <c r="D83" s="4" t="s">
        <v>2350</v>
      </c>
      <c r="E83" s="4" t="s">
        <v>6887</v>
      </c>
      <c r="F83" s="7" t="n">
        <v>68973.03</v>
      </c>
      <c r="G83" s="24" t="s">
        <v>5951</v>
      </c>
      <c r="H83" s="4" t="s">
        <v>2346</v>
      </c>
      <c r="I83" s="4"/>
    </row>
    <row r="84" customFormat="false" ht="15" hidden="false" customHeight="false" outlineLevel="0" collapsed="false">
      <c r="A84" s="4" t="s">
        <v>696</v>
      </c>
      <c r="B84" s="23" t="n">
        <v>81</v>
      </c>
      <c r="C84" s="6" t="n">
        <v>46209</v>
      </c>
      <c r="D84" s="4" t="s">
        <v>698</v>
      </c>
      <c r="E84" s="4" t="s">
        <v>6000</v>
      </c>
      <c r="F84" s="7" t="n">
        <v>84362.31</v>
      </c>
      <c r="G84" s="24" t="s">
        <v>5951</v>
      </c>
      <c r="H84" s="4" t="s">
        <v>694</v>
      </c>
      <c r="I84" s="4"/>
    </row>
    <row r="85" customFormat="false" ht="15" hidden="false" customHeight="false" outlineLevel="0" collapsed="false">
      <c r="A85" s="4" t="s">
        <v>4927</v>
      </c>
      <c r="B85" s="23" t="n">
        <v>82</v>
      </c>
      <c r="C85" s="6" t="n">
        <v>46209</v>
      </c>
      <c r="D85" s="4" t="s">
        <v>4929</v>
      </c>
      <c r="E85" s="4" t="s">
        <v>6888</v>
      </c>
      <c r="F85" s="7" t="n">
        <v>-28122.78</v>
      </c>
      <c r="G85" s="24" t="s">
        <v>5951</v>
      </c>
      <c r="H85" s="4" t="s">
        <v>4925</v>
      </c>
      <c r="I85" s="4"/>
    </row>
    <row r="86" customFormat="false" ht="15" hidden="false" customHeight="false" outlineLevel="0" collapsed="false">
      <c r="A86" s="4" t="s">
        <v>5346</v>
      </c>
      <c r="B86" s="23" t="n">
        <v>83</v>
      </c>
      <c r="C86" s="6" t="n">
        <v>46209</v>
      </c>
      <c r="D86" s="4" t="s">
        <v>5348</v>
      </c>
      <c r="E86" s="4" t="s">
        <v>6889</v>
      </c>
      <c r="F86" s="7" t="n">
        <v>-38372.49</v>
      </c>
      <c r="G86" s="24" t="s">
        <v>5951</v>
      </c>
      <c r="H86" s="4" t="s">
        <v>5344</v>
      </c>
      <c r="I86" s="4"/>
    </row>
    <row r="87" customFormat="false" ht="15" hidden="false" customHeight="false" outlineLevel="0" collapsed="false">
      <c r="A87" s="4" t="s">
        <v>2353</v>
      </c>
      <c r="B87" s="23" t="n">
        <v>84</v>
      </c>
      <c r="C87" s="6" t="n">
        <v>46209</v>
      </c>
      <c r="D87" s="4" t="s">
        <v>2355</v>
      </c>
      <c r="E87" s="4" t="s">
        <v>6890</v>
      </c>
      <c r="F87" s="7" t="n">
        <v>-15335.1</v>
      </c>
      <c r="G87" s="24" t="s">
        <v>5951</v>
      </c>
      <c r="H87" s="4" t="s">
        <v>2351</v>
      </c>
      <c r="I87" s="4"/>
    </row>
    <row r="88" customFormat="false" ht="15" hidden="false" customHeight="false" outlineLevel="0" collapsed="false">
      <c r="A88" s="4" t="s">
        <v>4612</v>
      </c>
      <c r="B88" s="23" t="n">
        <v>85</v>
      </c>
      <c r="C88" s="6" t="n">
        <v>46209</v>
      </c>
      <c r="D88" s="4" t="s">
        <v>4614</v>
      </c>
      <c r="E88" s="4" t="s">
        <v>6891</v>
      </c>
      <c r="F88" s="7" t="n">
        <v>-44176.18</v>
      </c>
      <c r="G88" s="24" t="s">
        <v>5951</v>
      </c>
      <c r="H88" s="4" t="s">
        <v>4610</v>
      </c>
      <c r="I88" s="4"/>
    </row>
    <row r="89" customFormat="false" ht="15" hidden="false" customHeight="false" outlineLevel="0" collapsed="false">
      <c r="A89" s="4" t="s">
        <v>4932</v>
      </c>
      <c r="B89" s="23" t="n">
        <v>86</v>
      </c>
      <c r="C89" s="6" t="n">
        <v>46209</v>
      </c>
      <c r="D89" s="4" t="s">
        <v>4934</v>
      </c>
      <c r="E89" s="4" t="s">
        <v>6892</v>
      </c>
      <c r="F89" s="7" t="n">
        <v>-23154.15</v>
      </c>
      <c r="G89" s="24" t="s">
        <v>5951</v>
      </c>
      <c r="H89" s="4" t="s">
        <v>4930</v>
      </c>
      <c r="I89" s="4"/>
    </row>
    <row r="90" customFormat="false" ht="15" hidden="false" customHeight="false" outlineLevel="0" collapsed="false">
      <c r="A90" s="4" t="s">
        <v>5351</v>
      </c>
      <c r="B90" s="23" t="n">
        <v>87</v>
      </c>
      <c r="C90" s="6" t="n">
        <v>46209</v>
      </c>
      <c r="D90" s="4" t="s">
        <v>5353</v>
      </c>
      <c r="E90" s="4" t="s">
        <v>6893</v>
      </c>
      <c r="F90" s="7" t="n">
        <v>-45834.38</v>
      </c>
      <c r="G90" s="24" t="s">
        <v>5951</v>
      </c>
      <c r="H90" s="4" t="s">
        <v>5349</v>
      </c>
      <c r="I90" s="4"/>
    </row>
    <row r="91" customFormat="false" ht="15" hidden="false" customHeight="false" outlineLevel="0" collapsed="false">
      <c r="A91" s="4" t="s">
        <v>4617</v>
      </c>
      <c r="B91" s="23" t="n">
        <v>88</v>
      </c>
      <c r="C91" s="6" t="n">
        <v>46209</v>
      </c>
      <c r="D91" s="4" t="s">
        <v>4619</v>
      </c>
      <c r="E91" s="4" t="s">
        <v>6894</v>
      </c>
      <c r="F91" s="7" t="n">
        <v>-5834.84</v>
      </c>
      <c r="G91" s="24" t="s">
        <v>5951</v>
      </c>
      <c r="H91" s="4" t="s">
        <v>4615</v>
      </c>
      <c r="I91" s="4"/>
    </row>
    <row r="92" customFormat="false" ht="15" hidden="false" customHeight="false" outlineLevel="0" collapsed="false">
      <c r="A92" s="4" t="s">
        <v>701</v>
      </c>
      <c r="B92" s="23" t="n">
        <v>89</v>
      </c>
      <c r="C92" s="6" t="n">
        <v>46209</v>
      </c>
      <c r="D92" s="4" t="s">
        <v>703</v>
      </c>
      <c r="E92" s="4" t="s">
        <v>6895</v>
      </c>
      <c r="F92" s="7" t="n">
        <v>-51866.64</v>
      </c>
      <c r="G92" s="24" t="s">
        <v>5951</v>
      </c>
      <c r="H92" s="4" t="s">
        <v>699</v>
      </c>
      <c r="I92" s="4"/>
    </row>
    <row r="93" customFormat="false" ht="15" hidden="false" customHeight="false" outlineLevel="0" collapsed="false">
      <c r="A93" s="4" t="s">
        <v>2358</v>
      </c>
      <c r="B93" s="23" t="n">
        <v>90</v>
      </c>
      <c r="C93" s="6" t="n">
        <v>46209</v>
      </c>
      <c r="D93" s="4" t="s">
        <v>2360</v>
      </c>
      <c r="E93" s="4" t="s">
        <v>6896</v>
      </c>
      <c r="F93" s="7" t="n">
        <v>-4600.79</v>
      </c>
      <c r="G93" s="24" t="s">
        <v>5951</v>
      </c>
      <c r="H93" s="4" t="s">
        <v>2356</v>
      </c>
      <c r="I93" s="4"/>
    </row>
    <row r="94" customFormat="false" ht="15" hidden="false" customHeight="false" outlineLevel="0" collapsed="false">
      <c r="A94" s="4" t="s">
        <v>5356</v>
      </c>
      <c r="B94" s="23" t="n">
        <v>91</v>
      </c>
      <c r="C94" s="6" t="n">
        <v>46209</v>
      </c>
      <c r="D94" s="4" t="s">
        <v>5358</v>
      </c>
      <c r="E94" s="4" t="s">
        <v>6897</v>
      </c>
      <c r="F94" s="7" t="n">
        <v>-19879.86</v>
      </c>
      <c r="G94" s="24" t="s">
        <v>5951</v>
      </c>
      <c r="H94" s="4" t="s">
        <v>5354</v>
      </c>
      <c r="I94" s="4"/>
    </row>
    <row r="95" customFormat="false" ht="15" hidden="false" customHeight="false" outlineLevel="0" collapsed="false">
      <c r="A95" s="4" t="s">
        <v>2363</v>
      </c>
      <c r="B95" s="23" t="n">
        <v>92</v>
      </c>
      <c r="C95" s="6" t="n">
        <v>46210</v>
      </c>
      <c r="D95" s="4" t="s">
        <v>2365</v>
      </c>
      <c r="E95" s="4" t="s">
        <v>6014</v>
      </c>
      <c r="F95" s="7" t="n">
        <v>63256.91</v>
      </c>
      <c r="G95" s="24" t="s">
        <v>5951</v>
      </c>
      <c r="H95" s="4" t="s">
        <v>2361</v>
      </c>
      <c r="I95" s="4"/>
    </row>
    <row r="96" customFormat="false" ht="15" hidden="false" customHeight="false" outlineLevel="0" collapsed="false">
      <c r="A96" s="4" t="s">
        <v>706</v>
      </c>
      <c r="B96" s="23" t="n">
        <v>93</v>
      </c>
      <c r="C96" s="6" t="n">
        <v>46210</v>
      </c>
      <c r="D96" s="4" t="s">
        <v>708</v>
      </c>
      <c r="E96" s="4" t="s">
        <v>6898</v>
      </c>
      <c r="F96" s="7" t="n">
        <v>34284.94</v>
      </c>
      <c r="G96" s="24" t="s">
        <v>5951</v>
      </c>
      <c r="H96" s="4" t="s">
        <v>704</v>
      </c>
      <c r="I96" s="4"/>
    </row>
    <row r="97" customFormat="false" ht="15" hidden="false" customHeight="false" outlineLevel="0" collapsed="false">
      <c r="A97" s="4" t="s">
        <v>711</v>
      </c>
      <c r="B97" s="23" t="n">
        <v>94</v>
      </c>
      <c r="C97" s="6" t="n">
        <v>46210</v>
      </c>
      <c r="D97" s="4" t="s">
        <v>713</v>
      </c>
      <c r="E97" s="4" t="s">
        <v>6899</v>
      </c>
      <c r="F97" s="7" t="n">
        <v>34974.8</v>
      </c>
      <c r="G97" s="24" t="s">
        <v>5951</v>
      </c>
      <c r="H97" s="4" t="s">
        <v>709</v>
      </c>
      <c r="I97" s="4"/>
    </row>
    <row r="98" customFormat="false" ht="15" hidden="false" customHeight="false" outlineLevel="0" collapsed="false">
      <c r="A98" s="4" t="s">
        <v>716</v>
      </c>
      <c r="B98" s="23" t="n">
        <v>95</v>
      </c>
      <c r="C98" s="6" t="n">
        <v>46210</v>
      </c>
      <c r="D98" s="4" t="s">
        <v>718</v>
      </c>
      <c r="E98" s="4" t="s">
        <v>6900</v>
      </c>
      <c r="F98" s="7" t="n">
        <v>16055.82</v>
      </c>
      <c r="G98" s="24" t="s">
        <v>5951</v>
      </c>
      <c r="H98" s="4" t="s">
        <v>714</v>
      </c>
      <c r="I98" s="4"/>
    </row>
    <row r="99" customFormat="false" ht="15" hidden="false" customHeight="false" outlineLevel="0" collapsed="false">
      <c r="A99" s="4" t="s">
        <v>2368</v>
      </c>
      <c r="B99" s="23" t="n">
        <v>96</v>
      </c>
      <c r="C99" s="6" t="n">
        <v>46210</v>
      </c>
      <c r="D99" s="4" t="s">
        <v>2370</v>
      </c>
      <c r="E99" s="4" t="s">
        <v>6901</v>
      </c>
      <c r="F99" s="7" t="n">
        <v>42785.34</v>
      </c>
      <c r="G99" s="24" t="s">
        <v>5951</v>
      </c>
      <c r="H99" s="4" t="s">
        <v>2366</v>
      </c>
      <c r="I99" s="4"/>
    </row>
    <row r="100" customFormat="false" ht="15" hidden="false" customHeight="false" outlineLevel="0" collapsed="false">
      <c r="A100" s="4" t="s">
        <v>2373</v>
      </c>
      <c r="B100" s="23" t="n">
        <v>97</v>
      </c>
      <c r="C100" s="6" t="n">
        <v>46210</v>
      </c>
      <c r="D100" s="4" t="s">
        <v>2375</v>
      </c>
      <c r="E100" s="4" t="s">
        <v>6016</v>
      </c>
      <c r="F100" s="7" t="n">
        <v>71410.71</v>
      </c>
      <c r="G100" s="24" t="s">
        <v>5951</v>
      </c>
      <c r="H100" s="4" t="s">
        <v>2371</v>
      </c>
      <c r="I100" s="4"/>
    </row>
    <row r="101" customFormat="false" ht="15" hidden="false" customHeight="false" outlineLevel="0" collapsed="false">
      <c r="A101" s="4" t="s">
        <v>721</v>
      </c>
      <c r="B101" s="23" t="n">
        <v>98</v>
      </c>
      <c r="C101" s="6" t="n">
        <v>46210</v>
      </c>
      <c r="D101" s="4" t="s">
        <v>723</v>
      </c>
      <c r="E101" s="4" t="s">
        <v>6004</v>
      </c>
      <c r="F101" s="7" t="n">
        <v>36497.11</v>
      </c>
      <c r="G101" s="24" t="s">
        <v>5951</v>
      </c>
      <c r="H101" s="4" t="s">
        <v>719</v>
      </c>
      <c r="I101" s="4"/>
    </row>
    <row r="102" customFormat="false" ht="15" hidden="false" customHeight="false" outlineLevel="0" collapsed="false">
      <c r="A102" s="4" t="s">
        <v>2378</v>
      </c>
      <c r="B102" s="23" t="n">
        <v>99</v>
      </c>
      <c r="C102" s="6" t="n">
        <v>46210</v>
      </c>
      <c r="D102" s="4" t="s">
        <v>2380</v>
      </c>
      <c r="E102" s="4" t="s">
        <v>6017</v>
      </c>
      <c r="F102" s="7" t="n">
        <v>88568.97</v>
      </c>
      <c r="G102" s="24" t="s">
        <v>5951</v>
      </c>
      <c r="H102" s="4" t="s">
        <v>2376</v>
      </c>
      <c r="I102" s="4"/>
    </row>
    <row r="103" customFormat="false" ht="15" hidden="false" customHeight="false" outlineLevel="0" collapsed="false">
      <c r="A103" s="4" t="s">
        <v>2383</v>
      </c>
      <c r="B103" s="23" t="n">
        <v>100</v>
      </c>
      <c r="C103" s="6" t="n">
        <v>46210</v>
      </c>
      <c r="D103" s="4" t="s">
        <v>2385</v>
      </c>
      <c r="E103" s="4" t="s">
        <v>6018</v>
      </c>
      <c r="F103" s="7" t="n">
        <v>71467.08</v>
      </c>
      <c r="G103" s="24" t="s">
        <v>5951</v>
      </c>
      <c r="H103" s="4" t="s">
        <v>2381</v>
      </c>
      <c r="I103" s="4"/>
    </row>
    <row r="104" customFormat="false" ht="15" hidden="false" customHeight="false" outlineLevel="0" collapsed="false">
      <c r="A104" s="4" t="s">
        <v>726</v>
      </c>
      <c r="B104" s="23" t="n">
        <v>101</v>
      </c>
      <c r="C104" s="6" t="n">
        <v>46210</v>
      </c>
      <c r="D104" s="4" t="s">
        <v>728</v>
      </c>
      <c r="E104" s="4" t="s">
        <v>6902</v>
      </c>
      <c r="F104" s="7" t="n">
        <v>84880.64</v>
      </c>
      <c r="G104" s="24" t="s">
        <v>5951</v>
      </c>
      <c r="H104" s="4" t="s">
        <v>724</v>
      </c>
      <c r="I104" s="4"/>
    </row>
    <row r="105" customFormat="false" ht="15" hidden="false" customHeight="false" outlineLevel="0" collapsed="false">
      <c r="A105" s="4" t="s">
        <v>2388</v>
      </c>
      <c r="B105" s="23" t="n">
        <v>102</v>
      </c>
      <c r="C105" s="6" t="n">
        <v>46210</v>
      </c>
      <c r="D105" s="4" t="s">
        <v>2390</v>
      </c>
      <c r="E105" s="4" t="s">
        <v>6019</v>
      </c>
      <c r="F105" s="7" t="n">
        <v>86220.65</v>
      </c>
      <c r="G105" s="24" t="s">
        <v>5951</v>
      </c>
      <c r="H105" s="4" t="s">
        <v>2386</v>
      </c>
      <c r="I105" s="4"/>
    </row>
    <row r="106" customFormat="false" ht="15" hidden="false" customHeight="false" outlineLevel="0" collapsed="false">
      <c r="A106" s="4" t="s">
        <v>2393</v>
      </c>
      <c r="B106" s="23" t="n">
        <v>103</v>
      </c>
      <c r="C106" s="6" t="n">
        <v>46210</v>
      </c>
      <c r="D106" s="4" t="s">
        <v>2395</v>
      </c>
      <c r="E106" s="4" t="s">
        <v>6020</v>
      </c>
      <c r="F106" s="7" t="n">
        <v>92285.25</v>
      </c>
      <c r="G106" s="24" t="s">
        <v>5951</v>
      </c>
      <c r="H106" s="4" t="s">
        <v>2391</v>
      </c>
      <c r="I106" s="4"/>
    </row>
    <row r="107" customFormat="false" ht="15" hidden="false" customHeight="false" outlineLevel="0" collapsed="false">
      <c r="A107" s="4" t="s">
        <v>2398</v>
      </c>
      <c r="B107" s="23" t="n">
        <v>104</v>
      </c>
      <c r="C107" s="6" t="n">
        <v>46210</v>
      </c>
      <c r="D107" s="4" t="s">
        <v>2400</v>
      </c>
      <c r="E107" s="4" t="s">
        <v>6903</v>
      </c>
      <c r="F107" s="7" t="n">
        <v>-23446.57</v>
      </c>
      <c r="G107" s="24" t="s">
        <v>5951</v>
      </c>
      <c r="H107" s="4" t="s">
        <v>2396</v>
      </c>
      <c r="I107" s="4"/>
    </row>
    <row r="108" customFormat="false" ht="15" hidden="false" customHeight="false" outlineLevel="0" collapsed="false">
      <c r="A108" s="4" t="s">
        <v>5361</v>
      </c>
      <c r="B108" s="23" t="n">
        <v>105</v>
      </c>
      <c r="C108" s="6" t="n">
        <v>46210</v>
      </c>
      <c r="D108" s="4" t="s">
        <v>5363</v>
      </c>
      <c r="E108" s="4" t="s">
        <v>6904</v>
      </c>
      <c r="F108" s="7" t="n">
        <v>-27440.44</v>
      </c>
      <c r="G108" s="24" t="s">
        <v>5951</v>
      </c>
      <c r="H108" s="4" t="s">
        <v>5359</v>
      </c>
      <c r="I108" s="4"/>
    </row>
    <row r="109" customFormat="false" ht="15" hidden="false" customHeight="false" outlineLevel="0" collapsed="false">
      <c r="A109" s="4" t="s">
        <v>3850</v>
      </c>
      <c r="B109" s="23" t="n">
        <v>106</v>
      </c>
      <c r="C109" s="6" t="n">
        <v>46210</v>
      </c>
      <c r="D109" s="4" t="s">
        <v>3852</v>
      </c>
      <c r="E109" s="4" t="s">
        <v>6905</v>
      </c>
      <c r="F109" s="7" t="n">
        <v>-24559.21</v>
      </c>
      <c r="G109" s="24" t="s">
        <v>5951</v>
      </c>
      <c r="H109" s="4" t="s">
        <v>3848</v>
      </c>
      <c r="I109" s="4"/>
    </row>
    <row r="110" customFormat="false" ht="15" hidden="false" customHeight="false" outlineLevel="0" collapsed="false">
      <c r="A110" s="4" t="s">
        <v>4622</v>
      </c>
      <c r="B110" s="23" t="n">
        <v>107</v>
      </c>
      <c r="C110" s="6" t="n">
        <v>46210</v>
      </c>
      <c r="D110" s="4" t="s">
        <v>4624</v>
      </c>
      <c r="E110" s="4" t="s">
        <v>6906</v>
      </c>
      <c r="F110" s="7" t="n">
        <v>-54556.99</v>
      </c>
      <c r="G110" s="24" t="s">
        <v>5951</v>
      </c>
      <c r="H110" s="4" t="s">
        <v>4620</v>
      </c>
      <c r="I110" s="4"/>
    </row>
    <row r="111" customFormat="false" ht="15" hidden="false" customHeight="false" outlineLevel="0" collapsed="false">
      <c r="A111" s="4" t="s">
        <v>123</v>
      </c>
      <c r="B111" s="23" t="n">
        <v>108</v>
      </c>
      <c r="C111" s="6" t="n">
        <v>46210</v>
      </c>
      <c r="D111" s="4" t="s">
        <v>125</v>
      </c>
      <c r="E111" s="4" t="s">
        <v>124</v>
      </c>
      <c r="F111" s="7" t="n">
        <v>-20303.44</v>
      </c>
      <c r="G111" s="26" t="s">
        <v>6043</v>
      </c>
      <c r="H111" s="4"/>
      <c r="I111" s="4" t="s">
        <v>122</v>
      </c>
    </row>
    <row r="112" customFormat="false" ht="15" hidden="false" customHeight="false" outlineLevel="0" collapsed="false">
      <c r="A112" s="4" t="s">
        <v>6907</v>
      </c>
      <c r="B112" s="23" t="n">
        <v>109</v>
      </c>
      <c r="C112" s="6" t="n">
        <v>46210</v>
      </c>
      <c r="D112" s="4" t="s">
        <v>6908</v>
      </c>
      <c r="E112" s="4"/>
      <c r="F112" s="7" t="n">
        <v>4222.35</v>
      </c>
      <c r="G112" s="25" t="s">
        <v>5987</v>
      </c>
      <c r="H112" s="4" t="s">
        <v>5926</v>
      </c>
      <c r="I112" s="4" t="s">
        <v>373</v>
      </c>
    </row>
    <row r="113" customFormat="false" ht="15" hidden="false" customHeight="false" outlineLevel="0" collapsed="false">
      <c r="A113" s="4" t="s">
        <v>731</v>
      </c>
      <c r="B113" s="23" t="n">
        <v>110</v>
      </c>
      <c r="C113" s="6" t="n">
        <v>46211</v>
      </c>
      <c r="D113" s="4" t="s">
        <v>733</v>
      </c>
      <c r="E113" s="4" t="s">
        <v>6013</v>
      </c>
      <c r="F113" s="7" t="n">
        <v>13772.81</v>
      </c>
      <c r="G113" s="24" t="s">
        <v>5951</v>
      </c>
      <c r="H113" s="4" t="s">
        <v>729</v>
      </c>
      <c r="I113" s="4"/>
    </row>
    <row r="114" customFormat="false" ht="15" hidden="false" customHeight="false" outlineLevel="0" collapsed="false">
      <c r="A114" s="4" t="s">
        <v>736</v>
      </c>
      <c r="B114" s="23" t="n">
        <v>111</v>
      </c>
      <c r="C114" s="6" t="n">
        <v>46211</v>
      </c>
      <c r="D114" s="4" t="s">
        <v>738</v>
      </c>
      <c r="E114" s="4" t="s">
        <v>6015</v>
      </c>
      <c r="F114" s="7" t="n">
        <v>11230.52</v>
      </c>
      <c r="G114" s="24" t="s">
        <v>5951</v>
      </c>
      <c r="H114" s="4" t="s">
        <v>734</v>
      </c>
      <c r="I114" s="4"/>
    </row>
    <row r="115" customFormat="false" ht="15" hidden="false" customHeight="false" outlineLevel="0" collapsed="false">
      <c r="A115" s="4" t="s">
        <v>3855</v>
      </c>
      <c r="B115" s="23" t="n">
        <v>112</v>
      </c>
      <c r="C115" s="6" t="n">
        <v>46211</v>
      </c>
      <c r="D115" s="4" t="s">
        <v>3857</v>
      </c>
      <c r="E115" s="4" t="s">
        <v>6909</v>
      </c>
      <c r="F115" s="7" t="n">
        <v>86756.43</v>
      </c>
      <c r="G115" s="24" t="s">
        <v>5951</v>
      </c>
      <c r="H115" s="4" t="s">
        <v>3853</v>
      </c>
      <c r="I115" s="4"/>
    </row>
    <row r="116" customFormat="false" ht="15" hidden="false" customHeight="false" outlineLevel="0" collapsed="false">
      <c r="A116" s="4" t="s">
        <v>741</v>
      </c>
      <c r="B116" s="23" t="n">
        <v>113</v>
      </c>
      <c r="C116" s="6" t="n">
        <v>46211</v>
      </c>
      <c r="D116" s="4" t="s">
        <v>743</v>
      </c>
      <c r="E116" s="4" t="s">
        <v>6910</v>
      </c>
      <c r="F116" s="7" t="n">
        <v>38128.98</v>
      </c>
      <c r="G116" s="24" t="s">
        <v>5951</v>
      </c>
      <c r="H116" s="4" t="s">
        <v>739</v>
      </c>
      <c r="I116" s="4"/>
    </row>
    <row r="117" customFormat="false" ht="15" hidden="false" customHeight="false" outlineLevel="0" collapsed="false">
      <c r="A117" s="4" t="s">
        <v>2403</v>
      </c>
      <c r="B117" s="23" t="n">
        <v>114</v>
      </c>
      <c r="C117" s="6" t="n">
        <v>46211</v>
      </c>
      <c r="D117" s="4" t="s">
        <v>2405</v>
      </c>
      <c r="E117" s="4" t="s">
        <v>6911</v>
      </c>
      <c r="F117" s="7" t="n">
        <v>85450.35</v>
      </c>
      <c r="G117" s="24" t="s">
        <v>5951</v>
      </c>
      <c r="H117" s="4" t="s">
        <v>2401</v>
      </c>
      <c r="I117" s="4"/>
    </row>
    <row r="118" customFormat="false" ht="15" hidden="false" customHeight="false" outlineLevel="0" collapsed="false">
      <c r="A118" s="4" t="s">
        <v>5366</v>
      </c>
      <c r="B118" s="23" t="n">
        <v>115</v>
      </c>
      <c r="C118" s="6" t="n">
        <v>46211</v>
      </c>
      <c r="D118" s="4" t="s">
        <v>5368</v>
      </c>
      <c r="E118" s="4" t="s">
        <v>6912</v>
      </c>
      <c r="F118" s="7" t="n">
        <v>-48492.7</v>
      </c>
      <c r="G118" s="24" t="s">
        <v>5951</v>
      </c>
      <c r="H118" s="4" t="s">
        <v>5364</v>
      </c>
      <c r="I118" s="4"/>
    </row>
    <row r="119" customFormat="false" ht="15" hidden="false" customHeight="false" outlineLevel="0" collapsed="false">
      <c r="A119" s="4" t="s">
        <v>5371</v>
      </c>
      <c r="B119" s="23" t="n">
        <v>116</v>
      </c>
      <c r="C119" s="6" t="n">
        <v>46211</v>
      </c>
      <c r="D119" s="4" t="s">
        <v>5373</v>
      </c>
      <c r="E119" s="4" t="s">
        <v>6913</v>
      </c>
      <c r="F119" s="7" t="n">
        <v>-37382.22</v>
      </c>
      <c r="G119" s="24" t="s">
        <v>5951</v>
      </c>
      <c r="H119" s="4" t="s">
        <v>5369</v>
      </c>
      <c r="I119" s="4"/>
    </row>
    <row r="120" customFormat="false" ht="15" hidden="false" customHeight="false" outlineLevel="0" collapsed="false">
      <c r="A120" s="4" t="s">
        <v>5376</v>
      </c>
      <c r="B120" s="23" t="n">
        <v>117</v>
      </c>
      <c r="C120" s="6" t="n">
        <v>46211</v>
      </c>
      <c r="D120" s="4" t="s">
        <v>5378</v>
      </c>
      <c r="E120" s="4" t="s">
        <v>6914</v>
      </c>
      <c r="F120" s="7" t="n">
        <v>-24654.77</v>
      </c>
      <c r="G120" s="24" t="s">
        <v>5951</v>
      </c>
      <c r="H120" s="4" t="s">
        <v>5374</v>
      </c>
      <c r="I120" s="4"/>
    </row>
    <row r="121" customFormat="false" ht="15" hidden="false" customHeight="false" outlineLevel="0" collapsed="false">
      <c r="A121" s="4" t="s">
        <v>4627</v>
      </c>
      <c r="B121" s="23" t="n">
        <v>118</v>
      </c>
      <c r="C121" s="6" t="n">
        <v>46211</v>
      </c>
      <c r="D121" s="4" t="s">
        <v>4629</v>
      </c>
      <c r="E121" s="4" t="s">
        <v>6915</v>
      </c>
      <c r="F121" s="7" t="n">
        <v>-59257.72</v>
      </c>
      <c r="G121" s="24" t="s">
        <v>5951</v>
      </c>
      <c r="H121" s="4" t="s">
        <v>4625</v>
      </c>
      <c r="I121" s="4"/>
    </row>
    <row r="122" customFormat="false" ht="15" hidden="false" customHeight="false" outlineLevel="0" collapsed="false">
      <c r="A122" s="4" t="s">
        <v>4937</v>
      </c>
      <c r="B122" s="23" t="n">
        <v>119</v>
      </c>
      <c r="C122" s="6" t="n">
        <v>46211</v>
      </c>
      <c r="D122" s="4" t="s">
        <v>4939</v>
      </c>
      <c r="E122" s="4" t="s">
        <v>6916</v>
      </c>
      <c r="F122" s="7" t="n">
        <v>-8481.51</v>
      </c>
      <c r="G122" s="24" t="s">
        <v>5951</v>
      </c>
      <c r="H122" s="4" t="s">
        <v>4935</v>
      </c>
      <c r="I122" s="4"/>
    </row>
    <row r="123" customFormat="false" ht="15" hidden="false" customHeight="false" outlineLevel="0" collapsed="false">
      <c r="A123" s="4" t="s">
        <v>2408</v>
      </c>
      <c r="B123" s="23" t="n">
        <v>120</v>
      </c>
      <c r="C123" s="6" t="n">
        <v>46211</v>
      </c>
      <c r="D123" s="4" t="s">
        <v>2410</v>
      </c>
      <c r="E123" s="4" t="s">
        <v>6917</v>
      </c>
      <c r="F123" s="7" t="n">
        <v>-51911.52</v>
      </c>
      <c r="G123" s="24" t="s">
        <v>5951</v>
      </c>
      <c r="H123" s="4" t="s">
        <v>2406</v>
      </c>
      <c r="I123" s="4"/>
    </row>
    <row r="124" customFormat="false" ht="15" hidden="false" customHeight="false" outlineLevel="0" collapsed="false">
      <c r="A124" s="4" t="s">
        <v>4942</v>
      </c>
      <c r="B124" s="23" t="n">
        <v>121</v>
      </c>
      <c r="C124" s="6" t="n">
        <v>46211</v>
      </c>
      <c r="D124" s="4" t="s">
        <v>4944</v>
      </c>
      <c r="E124" s="4" t="s">
        <v>6918</v>
      </c>
      <c r="F124" s="7" t="n">
        <v>-20467.54</v>
      </c>
      <c r="G124" s="24" t="s">
        <v>5951</v>
      </c>
      <c r="H124" s="4" t="s">
        <v>4940</v>
      </c>
      <c r="I124" s="4"/>
    </row>
    <row r="125" customFormat="false" ht="15" hidden="false" customHeight="false" outlineLevel="0" collapsed="false">
      <c r="A125" s="4" t="s">
        <v>5824</v>
      </c>
      <c r="B125" s="23" t="n">
        <v>122</v>
      </c>
      <c r="C125" s="6" t="n">
        <v>46211</v>
      </c>
      <c r="D125" s="4" t="s">
        <v>5783</v>
      </c>
      <c r="E125" s="4"/>
      <c r="F125" s="7" t="n">
        <v>-4040.74</v>
      </c>
      <c r="G125" s="24" t="s">
        <v>5951</v>
      </c>
      <c r="H125" s="4" t="s">
        <v>5822</v>
      </c>
      <c r="I125" s="4"/>
    </row>
    <row r="126" customFormat="false" ht="15" hidden="false" customHeight="false" outlineLevel="0" collapsed="false">
      <c r="A126" s="4" t="s">
        <v>6919</v>
      </c>
      <c r="B126" s="23" t="n">
        <v>123</v>
      </c>
      <c r="C126" s="6" t="n">
        <v>46211</v>
      </c>
      <c r="D126" s="4" t="s">
        <v>5929</v>
      </c>
      <c r="E126" s="4"/>
      <c r="F126" s="7" t="n">
        <v>8519.72</v>
      </c>
      <c r="G126" s="25" t="s">
        <v>5987</v>
      </c>
      <c r="H126" s="4" t="s">
        <v>5926</v>
      </c>
      <c r="I126" s="4" t="s">
        <v>373</v>
      </c>
    </row>
    <row r="127" customFormat="false" ht="15" hidden="false" customHeight="false" outlineLevel="0" collapsed="false">
      <c r="A127" s="4" t="s">
        <v>6920</v>
      </c>
      <c r="B127" s="23" t="n">
        <v>124</v>
      </c>
      <c r="C127" s="6" t="n">
        <v>46211</v>
      </c>
      <c r="D127" s="4" t="s">
        <v>6921</v>
      </c>
      <c r="E127" s="4"/>
      <c r="F127" s="7" t="n">
        <v>7506.22</v>
      </c>
      <c r="G127" s="25" t="s">
        <v>5987</v>
      </c>
      <c r="H127" s="4" t="s">
        <v>5926</v>
      </c>
      <c r="I127" s="4" t="s">
        <v>373</v>
      </c>
    </row>
    <row r="128" customFormat="false" ht="15" hidden="false" customHeight="false" outlineLevel="0" collapsed="false">
      <c r="A128" s="4" t="s">
        <v>746</v>
      </c>
      <c r="B128" s="23" t="n">
        <v>125</v>
      </c>
      <c r="C128" s="6" t="n">
        <v>46212</v>
      </c>
      <c r="D128" s="4" t="s">
        <v>748</v>
      </c>
      <c r="E128" s="4" t="s">
        <v>6922</v>
      </c>
      <c r="F128" s="7" t="n">
        <v>42895.4</v>
      </c>
      <c r="G128" s="24" t="s">
        <v>5951</v>
      </c>
      <c r="H128" s="4" t="s">
        <v>744</v>
      </c>
      <c r="I128" s="4"/>
    </row>
    <row r="129" customFormat="false" ht="15" hidden="false" customHeight="false" outlineLevel="0" collapsed="false">
      <c r="A129" s="4" t="s">
        <v>2413</v>
      </c>
      <c r="B129" s="23" t="n">
        <v>126</v>
      </c>
      <c r="C129" s="6" t="n">
        <v>46212</v>
      </c>
      <c r="D129" s="4" t="s">
        <v>2415</v>
      </c>
      <c r="E129" s="4" t="s">
        <v>6036</v>
      </c>
      <c r="F129" s="7" t="n">
        <v>5563.65</v>
      </c>
      <c r="G129" s="24" t="s">
        <v>5951</v>
      </c>
      <c r="H129" s="4" t="s">
        <v>2411</v>
      </c>
      <c r="I129" s="4"/>
    </row>
    <row r="130" customFormat="false" ht="15" hidden="false" customHeight="false" outlineLevel="0" collapsed="false">
      <c r="A130" s="4" t="s">
        <v>3860</v>
      </c>
      <c r="B130" s="23" t="n">
        <v>127</v>
      </c>
      <c r="C130" s="6" t="n">
        <v>46212</v>
      </c>
      <c r="D130" s="4" t="s">
        <v>3862</v>
      </c>
      <c r="E130" s="4" t="s">
        <v>6045</v>
      </c>
      <c r="F130" s="7" t="n">
        <v>3304.92</v>
      </c>
      <c r="G130" s="24" t="s">
        <v>5951</v>
      </c>
      <c r="H130" s="4" t="s">
        <v>3858</v>
      </c>
      <c r="I130" s="4"/>
    </row>
    <row r="131" customFormat="false" ht="15" hidden="false" customHeight="false" outlineLevel="0" collapsed="false">
      <c r="A131" s="4" t="s">
        <v>751</v>
      </c>
      <c r="B131" s="23" t="n">
        <v>128</v>
      </c>
      <c r="C131" s="6" t="n">
        <v>46212</v>
      </c>
      <c r="D131" s="4" t="s">
        <v>753</v>
      </c>
      <c r="E131" s="4" t="s">
        <v>6023</v>
      </c>
      <c r="F131" s="7" t="n">
        <v>6206.6</v>
      </c>
      <c r="G131" s="24" t="s">
        <v>5951</v>
      </c>
      <c r="H131" s="4" t="s">
        <v>749</v>
      </c>
      <c r="I131" s="4"/>
    </row>
    <row r="132" customFormat="false" ht="15" hidden="false" customHeight="false" outlineLevel="0" collapsed="false">
      <c r="A132" s="4" t="s">
        <v>2418</v>
      </c>
      <c r="B132" s="23" t="n">
        <v>129</v>
      </c>
      <c r="C132" s="6" t="n">
        <v>46212</v>
      </c>
      <c r="D132" s="4" t="s">
        <v>2420</v>
      </c>
      <c r="E132" s="4" t="s">
        <v>6923</v>
      </c>
      <c r="F132" s="7" t="n">
        <v>53420.12</v>
      </c>
      <c r="G132" s="24" t="s">
        <v>5951</v>
      </c>
      <c r="H132" s="4" t="s">
        <v>2416</v>
      </c>
      <c r="I132" s="4"/>
    </row>
    <row r="133" customFormat="false" ht="15" hidden="false" customHeight="false" outlineLevel="0" collapsed="false">
      <c r="A133" s="4" t="s">
        <v>756</v>
      </c>
      <c r="B133" s="23" t="n">
        <v>130</v>
      </c>
      <c r="C133" s="6" t="n">
        <v>46212</v>
      </c>
      <c r="D133" s="4" t="s">
        <v>758</v>
      </c>
      <c r="E133" s="4" t="s">
        <v>6024</v>
      </c>
      <c r="F133" s="7" t="n">
        <v>39831.5</v>
      </c>
      <c r="G133" s="24" t="s">
        <v>5951</v>
      </c>
      <c r="H133" s="4" t="s">
        <v>754</v>
      </c>
      <c r="I133" s="4"/>
    </row>
    <row r="134" customFormat="false" ht="15" hidden="false" customHeight="false" outlineLevel="0" collapsed="false">
      <c r="A134" s="4" t="s">
        <v>761</v>
      </c>
      <c r="B134" s="23" t="n">
        <v>131</v>
      </c>
      <c r="C134" s="6" t="n">
        <v>46212</v>
      </c>
      <c r="D134" s="4" t="s">
        <v>763</v>
      </c>
      <c r="E134" s="4" t="s">
        <v>6025</v>
      </c>
      <c r="F134" s="7" t="n">
        <v>44478.49</v>
      </c>
      <c r="G134" s="24" t="s">
        <v>5951</v>
      </c>
      <c r="H134" s="4" t="s">
        <v>759</v>
      </c>
      <c r="I134" s="4"/>
    </row>
    <row r="135" customFormat="false" ht="15" hidden="false" customHeight="false" outlineLevel="0" collapsed="false">
      <c r="A135" s="4" t="s">
        <v>766</v>
      </c>
      <c r="B135" s="23" t="n">
        <v>132</v>
      </c>
      <c r="C135" s="6" t="n">
        <v>46212</v>
      </c>
      <c r="D135" s="4" t="s">
        <v>768</v>
      </c>
      <c r="E135" s="4" t="s">
        <v>6026</v>
      </c>
      <c r="F135" s="7" t="n">
        <v>18137.07</v>
      </c>
      <c r="G135" s="24" t="s">
        <v>5951</v>
      </c>
      <c r="H135" s="4" t="s">
        <v>764</v>
      </c>
      <c r="I135" s="4"/>
    </row>
    <row r="136" customFormat="false" ht="15" hidden="false" customHeight="false" outlineLevel="0" collapsed="false">
      <c r="A136" s="4" t="s">
        <v>771</v>
      </c>
      <c r="B136" s="23" t="n">
        <v>133</v>
      </c>
      <c r="C136" s="6" t="n">
        <v>46212</v>
      </c>
      <c r="D136" s="4" t="s">
        <v>773</v>
      </c>
      <c r="E136" s="4" t="s">
        <v>6027</v>
      </c>
      <c r="F136" s="7" t="n">
        <v>40227.66</v>
      </c>
      <c r="G136" s="24" t="s">
        <v>5951</v>
      </c>
      <c r="H136" s="4" t="s">
        <v>769</v>
      </c>
      <c r="I136" s="4"/>
    </row>
    <row r="137" customFormat="false" ht="15" hidden="false" customHeight="false" outlineLevel="0" collapsed="false">
      <c r="A137" s="4" t="s">
        <v>3865</v>
      </c>
      <c r="B137" s="23" t="n">
        <v>134</v>
      </c>
      <c r="C137" s="6" t="n">
        <v>46212</v>
      </c>
      <c r="D137" s="4" t="s">
        <v>3867</v>
      </c>
      <c r="E137" s="4" t="s">
        <v>6048</v>
      </c>
      <c r="F137" s="7" t="n">
        <v>86712.61</v>
      </c>
      <c r="G137" s="24" t="s">
        <v>5951</v>
      </c>
      <c r="H137" s="4" t="s">
        <v>3863</v>
      </c>
      <c r="I137" s="4"/>
    </row>
    <row r="138" customFormat="false" ht="15" hidden="false" customHeight="false" outlineLevel="0" collapsed="false">
      <c r="A138" s="4" t="s">
        <v>2423</v>
      </c>
      <c r="B138" s="23" t="n">
        <v>135</v>
      </c>
      <c r="C138" s="6" t="n">
        <v>46212</v>
      </c>
      <c r="D138" s="4" t="s">
        <v>2425</v>
      </c>
      <c r="E138" s="4" t="s">
        <v>6924</v>
      </c>
      <c r="F138" s="7" t="n">
        <v>-58782.72</v>
      </c>
      <c r="G138" s="24" t="s">
        <v>5951</v>
      </c>
      <c r="H138" s="4" t="s">
        <v>2421</v>
      </c>
      <c r="I138" s="4"/>
    </row>
    <row r="139" customFormat="false" ht="15" hidden="false" customHeight="false" outlineLevel="0" collapsed="false">
      <c r="A139" s="4" t="s">
        <v>776</v>
      </c>
      <c r="B139" s="23" t="n">
        <v>136</v>
      </c>
      <c r="C139" s="6" t="n">
        <v>46212</v>
      </c>
      <c r="D139" s="4" t="s">
        <v>778</v>
      </c>
      <c r="E139" s="4" t="s">
        <v>6925</v>
      </c>
      <c r="F139" s="7" t="n">
        <v>-24490.17</v>
      </c>
      <c r="G139" s="24" t="s">
        <v>5951</v>
      </c>
      <c r="H139" s="4" t="s">
        <v>774</v>
      </c>
      <c r="I139" s="4"/>
    </row>
    <row r="140" customFormat="false" ht="15" hidden="false" customHeight="false" outlineLevel="0" collapsed="false">
      <c r="A140" s="4" t="s">
        <v>4632</v>
      </c>
      <c r="B140" s="23" t="n">
        <v>137</v>
      </c>
      <c r="C140" s="6" t="n">
        <v>46212</v>
      </c>
      <c r="D140" s="4" t="s">
        <v>4634</v>
      </c>
      <c r="E140" s="4" t="s">
        <v>6926</v>
      </c>
      <c r="F140" s="7" t="n">
        <v>-52164.29</v>
      </c>
      <c r="G140" s="24" t="s">
        <v>5951</v>
      </c>
      <c r="H140" s="4" t="s">
        <v>4630</v>
      </c>
      <c r="I140" s="4"/>
    </row>
    <row r="141" customFormat="false" ht="15" hidden="false" customHeight="false" outlineLevel="0" collapsed="false">
      <c r="A141" s="4" t="s">
        <v>3870</v>
      </c>
      <c r="B141" s="23" t="n">
        <v>138</v>
      </c>
      <c r="C141" s="6" t="n">
        <v>46213</v>
      </c>
      <c r="D141" s="4" t="s">
        <v>3872</v>
      </c>
      <c r="E141" s="4" t="s">
        <v>6053</v>
      </c>
      <c r="F141" s="7" t="n">
        <v>91505.76</v>
      </c>
      <c r="G141" s="24" t="s">
        <v>5951</v>
      </c>
      <c r="H141" s="4" t="s">
        <v>3868</v>
      </c>
      <c r="I141" s="4"/>
    </row>
    <row r="142" customFormat="false" ht="15" hidden="false" customHeight="false" outlineLevel="0" collapsed="false">
      <c r="A142" s="4" t="s">
        <v>2428</v>
      </c>
      <c r="B142" s="23" t="n">
        <v>139</v>
      </c>
      <c r="C142" s="6" t="n">
        <v>46213</v>
      </c>
      <c r="D142" s="4" t="s">
        <v>2430</v>
      </c>
      <c r="E142" s="4" t="s">
        <v>6927</v>
      </c>
      <c r="F142" s="7" t="n">
        <v>46594.98</v>
      </c>
      <c r="G142" s="24" t="s">
        <v>5951</v>
      </c>
      <c r="H142" s="4" t="s">
        <v>2426</v>
      </c>
      <c r="I142" s="4"/>
    </row>
    <row r="143" customFormat="false" ht="15" hidden="false" customHeight="false" outlineLevel="0" collapsed="false">
      <c r="A143" s="4" t="s">
        <v>781</v>
      </c>
      <c r="B143" s="23" t="n">
        <v>140</v>
      </c>
      <c r="C143" s="6" t="n">
        <v>46213</v>
      </c>
      <c r="D143" s="4" t="s">
        <v>783</v>
      </c>
      <c r="E143" s="4" t="s">
        <v>6037</v>
      </c>
      <c r="F143" s="7" t="n">
        <v>62174.86</v>
      </c>
      <c r="G143" s="24" t="s">
        <v>5951</v>
      </c>
      <c r="H143" s="4" t="s">
        <v>779</v>
      </c>
      <c r="I143" s="4"/>
    </row>
    <row r="144" customFormat="false" ht="15" hidden="false" customHeight="false" outlineLevel="0" collapsed="false">
      <c r="A144" s="4" t="s">
        <v>2433</v>
      </c>
      <c r="B144" s="23" t="n">
        <v>141</v>
      </c>
      <c r="C144" s="6" t="n">
        <v>46213</v>
      </c>
      <c r="D144" s="4" t="s">
        <v>2435</v>
      </c>
      <c r="E144" s="4" t="s">
        <v>6046</v>
      </c>
      <c r="F144" s="7" t="n">
        <v>13316.21</v>
      </c>
      <c r="G144" s="24" t="s">
        <v>5951</v>
      </c>
      <c r="H144" s="4" t="s">
        <v>2431</v>
      </c>
      <c r="I144" s="4"/>
    </row>
    <row r="145" customFormat="false" ht="15" hidden="false" customHeight="false" outlineLevel="0" collapsed="false">
      <c r="A145" s="4" t="s">
        <v>2438</v>
      </c>
      <c r="B145" s="23" t="n">
        <v>142</v>
      </c>
      <c r="C145" s="6" t="n">
        <v>46213</v>
      </c>
      <c r="D145" s="4" t="s">
        <v>2440</v>
      </c>
      <c r="E145" s="4" t="s">
        <v>6047</v>
      </c>
      <c r="F145" s="7" t="n">
        <v>22296.95</v>
      </c>
      <c r="G145" s="24" t="s">
        <v>5951</v>
      </c>
      <c r="H145" s="4" t="s">
        <v>2436</v>
      </c>
      <c r="I145" s="4"/>
    </row>
    <row r="146" customFormat="false" ht="15" hidden="false" customHeight="false" outlineLevel="0" collapsed="false">
      <c r="A146" s="4" t="s">
        <v>786</v>
      </c>
      <c r="B146" s="23" t="n">
        <v>143</v>
      </c>
      <c r="C146" s="6" t="n">
        <v>46213</v>
      </c>
      <c r="D146" s="4" t="s">
        <v>787</v>
      </c>
      <c r="E146" s="4" t="s">
        <v>130</v>
      </c>
      <c r="F146" s="7" t="n">
        <v>91376.45</v>
      </c>
      <c r="G146" s="24" t="s">
        <v>5951</v>
      </c>
      <c r="H146" s="4" t="s">
        <v>784</v>
      </c>
      <c r="I146" s="4"/>
    </row>
    <row r="147" customFormat="false" ht="15" hidden="false" customHeight="false" outlineLevel="0" collapsed="false">
      <c r="A147" s="4" t="s">
        <v>790</v>
      </c>
      <c r="B147" s="23" t="n">
        <v>144</v>
      </c>
      <c r="C147" s="6" t="n">
        <v>46213</v>
      </c>
      <c r="D147" s="4" t="s">
        <v>792</v>
      </c>
      <c r="E147" s="4" t="s">
        <v>6038</v>
      </c>
      <c r="F147" s="7" t="n">
        <v>92123.62</v>
      </c>
      <c r="G147" s="24" t="s">
        <v>5951</v>
      </c>
      <c r="H147" s="4" t="s">
        <v>788</v>
      </c>
      <c r="I147" s="4"/>
    </row>
    <row r="148" customFormat="false" ht="15" hidden="false" customHeight="false" outlineLevel="0" collapsed="false">
      <c r="A148" s="4" t="s">
        <v>4947</v>
      </c>
      <c r="B148" s="23" t="n">
        <v>145</v>
      </c>
      <c r="C148" s="6" t="n">
        <v>46213</v>
      </c>
      <c r="D148" s="4" t="s">
        <v>4949</v>
      </c>
      <c r="E148" s="4" t="s">
        <v>6928</v>
      </c>
      <c r="F148" s="7" t="n">
        <v>-3391.76</v>
      </c>
      <c r="G148" s="24" t="s">
        <v>5951</v>
      </c>
      <c r="H148" s="4" t="s">
        <v>4945</v>
      </c>
      <c r="I148" s="4"/>
    </row>
    <row r="149" customFormat="false" ht="15" hidden="false" customHeight="false" outlineLevel="0" collapsed="false">
      <c r="A149" s="4" t="s">
        <v>5381</v>
      </c>
      <c r="B149" s="23" t="n">
        <v>146</v>
      </c>
      <c r="C149" s="6" t="n">
        <v>46213</v>
      </c>
      <c r="D149" s="4" t="s">
        <v>5383</v>
      </c>
      <c r="E149" s="4" t="s">
        <v>6929</v>
      </c>
      <c r="F149" s="7" t="n">
        <v>-49658.81</v>
      </c>
      <c r="G149" s="24" t="s">
        <v>5951</v>
      </c>
      <c r="H149" s="4" t="s">
        <v>5379</v>
      </c>
      <c r="I149" s="4"/>
    </row>
    <row r="150" customFormat="false" ht="15" hidden="false" customHeight="false" outlineLevel="0" collapsed="false">
      <c r="A150" s="4" t="s">
        <v>795</v>
      </c>
      <c r="B150" s="23" t="n">
        <v>147</v>
      </c>
      <c r="C150" s="6" t="n">
        <v>46214</v>
      </c>
      <c r="D150" s="4" t="s">
        <v>797</v>
      </c>
      <c r="E150" s="4" t="s">
        <v>6044</v>
      </c>
      <c r="F150" s="7" t="n">
        <v>83170.82</v>
      </c>
      <c r="G150" s="24" t="s">
        <v>5951</v>
      </c>
      <c r="H150" s="4" t="s">
        <v>793</v>
      </c>
      <c r="I150" s="4"/>
    </row>
    <row r="151" customFormat="false" ht="15" hidden="false" customHeight="false" outlineLevel="0" collapsed="false">
      <c r="A151" s="4" t="s">
        <v>3875</v>
      </c>
      <c r="B151" s="23" t="n">
        <v>148</v>
      </c>
      <c r="C151" s="6" t="n">
        <v>46214</v>
      </c>
      <c r="D151" s="4" t="s">
        <v>3877</v>
      </c>
      <c r="E151" s="4" t="s">
        <v>6061</v>
      </c>
      <c r="F151" s="7" t="n">
        <v>60929.63</v>
      </c>
      <c r="G151" s="24" t="s">
        <v>5951</v>
      </c>
      <c r="H151" s="4" t="s">
        <v>3873</v>
      </c>
      <c r="I151" s="4"/>
    </row>
    <row r="152" customFormat="false" ht="15" hidden="false" customHeight="false" outlineLevel="0" collapsed="false">
      <c r="A152" s="4" t="s">
        <v>2443</v>
      </c>
      <c r="B152" s="23" t="n">
        <v>149</v>
      </c>
      <c r="C152" s="6" t="n">
        <v>46214</v>
      </c>
      <c r="D152" s="4" t="s">
        <v>2445</v>
      </c>
      <c r="E152" s="4" t="s">
        <v>6930</v>
      </c>
      <c r="F152" s="7" t="n">
        <v>13024.1</v>
      </c>
      <c r="G152" s="24" t="s">
        <v>5951</v>
      </c>
      <c r="H152" s="4" t="s">
        <v>2441</v>
      </c>
      <c r="I152" s="4"/>
    </row>
    <row r="153" customFormat="false" ht="15" hidden="false" customHeight="false" outlineLevel="0" collapsed="false">
      <c r="A153" s="4" t="s">
        <v>3880</v>
      </c>
      <c r="B153" s="23" t="n">
        <v>150</v>
      </c>
      <c r="C153" s="6" t="n">
        <v>46214</v>
      </c>
      <c r="D153" s="4" t="s">
        <v>3881</v>
      </c>
      <c r="E153" s="4" t="s">
        <v>6931</v>
      </c>
      <c r="F153" s="7" t="n">
        <v>74966.87</v>
      </c>
      <c r="G153" s="24" t="s">
        <v>5951</v>
      </c>
      <c r="H153" s="4" t="s">
        <v>3878</v>
      </c>
      <c r="I153" s="4"/>
    </row>
    <row r="154" customFormat="false" ht="15" hidden="false" customHeight="false" outlineLevel="0" collapsed="false">
      <c r="A154" s="4" t="s">
        <v>800</v>
      </c>
      <c r="B154" s="23" t="n">
        <v>151</v>
      </c>
      <c r="C154" s="6" t="n">
        <v>46214</v>
      </c>
      <c r="D154" s="4" t="s">
        <v>802</v>
      </c>
      <c r="E154" s="4" t="s">
        <v>6932</v>
      </c>
      <c r="F154" s="7" t="n">
        <v>19627.66</v>
      </c>
      <c r="G154" s="24" t="s">
        <v>5951</v>
      </c>
      <c r="H154" s="4" t="s">
        <v>798</v>
      </c>
      <c r="I154" s="4"/>
    </row>
    <row r="155" customFormat="false" ht="15" hidden="false" customHeight="false" outlineLevel="0" collapsed="false">
      <c r="A155" s="4" t="s">
        <v>2448</v>
      </c>
      <c r="B155" s="23" t="n">
        <v>152</v>
      </c>
      <c r="C155" s="6" t="n">
        <v>46214</v>
      </c>
      <c r="D155" s="4" t="s">
        <v>2450</v>
      </c>
      <c r="E155" s="4" t="s">
        <v>6933</v>
      </c>
      <c r="F155" s="7" t="n">
        <v>-44513.12</v>
      </c>
      <c r="G155" s="24" t="s">
        <v>5951</v>
      </c>
      <c r="H155" s="4" t="s">
        <v>2446</v>
      </c>
      <c r="I155" s="4"/>
    </row>
    <row r="156" customFormat="false" ht="15" hidden="false" customHeight="false" outlineLevel="0" collapsed="false">
      <c r="A156" s="4" t="s">
        <v>4637</v>
      </c>
      <c r="B156" s="23" t="n">
        <v>153</v>
      </c>
      <c r="C156" s="6" t="n">
        <v>46214</v>
      </c>
      <c r="D156" s="4" t="s">
        <v>4639</v>
      </c>
      <c r="E156" s="4" t="s">
        <v>6934</v>
      </c>
      <c r="F156" s="7" t="n">
        <v>-51680.64</v>
      </c>
      <c r="G156" s="24" t="s">
        <v>5951</v>
      </c>
      <c r="H156" s="4" t="s">
        <v>4635</v>
      </c>
      <c r="I156" s="4"/>
    </row>
    <row r="157" customFormat="false" ht="15" hidden="false" customHeight="false" outlineLevel="0" collapsed="false">
      <c r="A157" s="4" t="s">
        <v>2453</v>
      </c>
      <c r="B157" s="23" t="n">
        <v>154</v>
      </c>
      <c r="C157" s="6" t="n">
        <v>46215</v>
      </c>
      <c r="D157" s="4" t="s">
        <v>2455</v>
      </c>
      <c r="E157" s="4" t="s">
        <v>6060</v>
      </c>
      <c r="F157" s="7" t="n">
        <v>62148.37</v>
      </c>
      <c r="G157" s="24" t="s">
        <v>5951</v>
      </c>
      <c r="H157" s="4" t="s">
        <v>2451</v>
      </c>
      <c r="I157" s="4"/>
    </row>
    <row r="158" customFormat="false" ht="15" hidden="false" customHeight="false" outlineLevel="0" collapsed="false">
      <c r="A158" s="4" t="s">
        <v>805</v>
      </c>
      <c r="B158" s="23" t="n">
        <v>155</v>
      </c>
      <c r="C158" s="6" t="n">
        <v>46215</v>
      </c>
      <c r="D158" s="4" t="s">
        <v>807</v>
      </c>
      <c r="E158" s="4" t="s">
        <v>6054</v>
      </c>
      <c r="F158" s="7" t="n">
        <v>20701.45</v>
      </c>
      <c r="G158" s="24" t="s">
        <v>5951</v>
      </c>
      <c r="H158" s="4" t="s">
        <v>803</v>
      </c>
      <c r="I158" s="4"/>
    </row>
    <row r="159" customFormat="false" ht="15" hidden="false" customHeight="false" outlineLevel="0" collapsed="false">
      <c r="A159" s="4" t="s">
        <v>2458</v>
      </c>
      <c r="B159" s="23" t="n">
        <v>156</v>
      </c>
      <c r="C159" s="6" t="n">
        <v>46215</v>
      </c>
      <c r="D159" s="4" t="s">
        <v>2460</v>
      </c>
      <c r="E159" s="4" t="s">
        <v>6063</v>
      </c>
      <c r="F159" s="7" t="n">
        <v>41985.44</v>
      </c>
      <c r="G159" s="24" t="s">
        <v>5951</v>
      </c>
      <c r="H159" s="4" t="s">
        <v>2456</v>
      </c>
      <c r="I159" s="4"/>
    </row>
    <row r="160" customFormat="false" ht="15" hidden="false" customHeight="false" outlineLevel="0" collapsed="false">
      <c r="A160" s="4" t="s">
        <v>3884</v>
      </c>
      <c r="B160" s="23" t="n">
        <v>157</v>
      </c>
      <c r="C160" s="6" t="n">
        <v>46215</v>
      </c>
      <c r="D160" s="4" t="s">
        <v>3886</v>
      </c>
      <c r="E160" s="4" t="s">
        <v>6082</v>
      </c>
      <c r="F160" s="7" t="n">
        <v>58969.78</v>
      </c>
      <c r="G160" s="24" t="s">
        <v>5951</v>
      </c>
      <c r="H160" s="4" t="s">
        <v>3882</v>
      </c>
      <c r="I160" s="4"/>
    </row>
    <row r="161" customFormat="false" ht="15" hidden="false" customHeight="false" outlineLevel="0" collapsed="false">
      <c r="A161" s="4" t="s">
        <v>2463</v>
      </c>
      <c r="B161" s="23" t="n">
        <v>158</v>
      </c>
      <c r="C161" s="6" t="n">
        <v>46215</v>
      </c>
      <c r="D161" s="4" t="s">
        <v>2465</v>
      </c>
      <c r="E161" s="4" t="s">
        <v>6064</v>
      </c>
      <c r="F161" s="7" t="n">
        <v>87838.23</v>
      </c>
      <c r="G161" s="24" t="s">
        <v>5951</v>
      </c>
      <c r="H161" s="4" t="s">
        <v>2461</v>
      </c>
      <c r="I161" s="4"/>
    </row>
    <row r="162" customFormat="false" ht="15" hidden="false" customHeight="false" outlineLevel="0" collapsed="false">
      <c r="A162" s="4" t="s">
        <v>3889</v>
      </c>
      <c r="B162" s="23" t="n">
        <v>159</v>
      </c>
      <c r="C162" s="6" t="n">
        <v>46215</v>
      </c>
      <c r="D162" s="4" t="s">
        <v>3891</v>
      </c>
      <c r="E162" s="4" t="s">
        <v>6084</v>
      </c>
      <c r="F162" s="7" t="n">
        <v>24455.13</v>
      </c>
      <c r="G162" s="24" t="s">
        <v>5951</v>
      </c>
      <c r="H162" s="4" t="s">
        <v>3887</v>
      </c>
      <c r="I162" s="4"/>
    </row>
    <row r="163" customFormat="false" ht="15" hidden="false" customHeight="false" outlineLevel="0" collapsed="false">
      <c r="A163" s="4" t="s">
        <v>3894</v>
      </c>
      <c r="B163" s="23" t="n">
        <v>160</v>
      </c>
      <c r="C163" s="6" t="n">
        <v>46215</v>
      </c>
      <c r="D163" s="4" t="s">
        <v>3896</v>
      </c>
      <c r="E163" s="4" t="s">
        <v>6086</v>
      </c>
      <c r="F163" s="7" t="n">
        <v>28218.3</v>
      </c>
      <c r="G163" s="24" t="s">
        <v>5951</v>
      </c>
      <c r="H163" s="4" t="s">
        <v>3892</v>
      </c>
      <c r="I163" s="4"/>
    </row>
    <row r="164" customFormat="false" ht="15" hidden="false" customHeight="false" outlineLevel="0" collapsed="false">
      <c r="A164" s="4" t="s">
        <v>2468</v>
      </c>
      <c r="B164" s="23" t="n">
        <v>161</v>
      </c>
      <c r="C164" s="6" t="n">
        <v>46215</v>
      </c>
      <c r="D164" s="4" t="s">
        <v>2470</v>
      </c>
      <c r="E164" s="4" t="s">
        <v>6935</v>
      </c>
      <c r="F164" s="7" t="n">
        <v>-41648.9</v>
      </c>
      <c r="G164" s="24" t="s">
        <v>5951</v>
      </c>
      <c r="H164" s="4" t="s">
        <v>2466</v>
      </c>
      <c r="I164" s="4"/>
    </row>
    <row r="165" customFormat="false" ht="15" hidden="false" customHeight="false" outlineLevel="0" collapsed="false">
      <c r="A165" s="4" t="s">
        <v>2473</v>
      </c>
      <c r="B165" s="23" t="n">
        <v>162</v>
      </c>
      <c r="C165" s="6" t="n">
        <v>46215</v>
      </c>
      <c r="D165" s="4" t="s">
        <v>2475</v>
      </c>
      <c r="E165" s="4" t="s">
        <v>6936</v>
      </c>
      <c r="F165" s="7" t="n">
        <v>-42499.33</v>
      </c>
      <c r="G165" s="24" t="s">
        <v>5951</v>
      </c>
      <c r="H165" s="4" t="s">
        <v>2471</v>
      </c>
      <c r="I165" s="4"/>
    </row>
    <row r="166" customFormat="false" ht="15" hidden="false" customHeight="false" outlineLevel="0" collapsed="false">
      <c r="A166" s="4" t="s">
        <v>4952</v>
      </c>
      <c r="B166" s="23" t="n">
        <v>163</v>
      </c>
      <c r="C166" s="6" t="n">
        <v>46215</v>
      </c>
      <c r="D166" s="4" t="s">
        <v>4954</v>
      </c>
      <c r="E166" s="4" t="s">
        <v>6937</v>
      </c>
      <c r="F166" s="7" t="n">
        <v>-40832.36</v>
      </c>
      <c r="G166" s="24" t="s">
        <v>5951</v>
      </c>
      <c r="H166" s="4" t="s">
        <v>4950</v>
      </c>
      <c r="I166" s="4"/>
    </row>
    <row r="167" customFormat="false" ht="15" hidden="false" customHeight="false" outlineLevel="0" collapsed="false">
      <c r="A167" s="4" t="s">
        <v>2478</v>
      </c>
      <c r="B167" s="23" t="n">
        <v>164</v>
      </c>
      <c r="C167" s="6" t="n">
        <v>46215</v>
      </c>
      <c r="D167" s="4" t="s">
        <v>2480</v>
      </c>
      <c r="E167" s="4" t="s">
        <v>6938</v>
      </c>
      <c r="F167" s="7" t="n">
        <v>-43263.77</v>
      </c>
      <c r="G167" s="24" t="s">
        <v>5951</v>
      </c>
      <c r="H167" s="4" t="s">
        <v>2476</v>
      </c>
      <c r="I167" s="4"/>
    </row>
    <row r="168" customFormat="false" ht="15" hidden="false" customHeight="false" outlineLevel="0" collapsed="false">
      <c r="A168" s="4" t="s">
        <v>3899</v>
      </c>
      <c r="B168" s="23" t="n">
        <v>165</v>
      </c>
      <c r="C168" s="6" t="n">
        <v>46215</v>
      </c>
      <c r="D168" s="4" t="s">
        <v>3901</v>
      </c>
      <c r="E168" s="4" t="s">
        <v>6939</v>
      </c>
      <c r="F168" s="7" t="n">
        <v>-17229.36</v>
      </c>
      <c r="G168" s="24" t="s">
        <v>5951</v>
      </c>
      <c r="H168" s="4" t="s">
        <v>3897</v>
      </c>
      <c r="I168" s="4"/>
    </row>
    <row r="169" customFormat="false" ht="15" hidden="false" customHeight="false" outlineLevel="0" collapsed="false">
      <c r="A169" s="4" t="s">
        <v>2483</v>
      </c>
      <c r="B169" s="23" t="n">
        <v>166</v>
      </c>
      <c r="C169" s="6" t="n">
        <v>46215</v>
      </c>
      <c r="D169" s="4" t="s">
        <v>2485</v>
      </c>
      <c r="E169" s="4" t="s">
        <v>6940</v>
      </c>
      <c r="F169" s="7" t="n">
        <v>-21160.13</v>
      </c>
      <c r="G169" s="24" t="s">
        <v>5951</v>
      </c>
      <c r="H169" s="4" t="s">
        <v>2481</v>
      </c>
      <c r="I169" s="4"/>
    </row>
    <row r="170" customFormat="false" ht="15" hidden="false" customHeight="false" outlineLevel="0" collapsed="false">
      <c r="A170" s="4" t="s">
        <v>5386</v>
      </c>
      <c r="B170" s="23" t="n">
        <v>167</v>
      </c>
      <c r="C170" s="6" t="n">
        <v>46215</v>
      </c>
      <c r="D170" s="4" t="s">
        <v>5388</v>
      </c>
      <c r="E170" s="4" t="s">
        <v>6941</v>
      </c>
      <c r="F170" s="7" t="n">
        <v>-993.98</v>
      </c>
      <c r="G170" s="24" t="s">
        <v>5951</v>
      </c>
      <c r="H170" s="4" t="s">
        <v>5384</v>
      </c>
      <c r="I170" s="4"/>
    </row>
    <row r="171" customFormat="false" ht="15" hidden="false" customHeight="false" outlineLevel="0" collapsed="false">
      <c r="A171" s="4" t="s">
        <v>2488</v>
      </c>
      <c r="B171" s="23" t="n">
        <v>168</v>
      </c>
      <c r="C171" s="6" t="n">
        <v>46215</v>
      </c>
      <c r="D171" s="4" t="s">
        <v>2490</v>
      </c>
      <c r="E171" s="4" t="s">
        <v>6942</v>
      </c>
      <c r="F171" s="7" t="n">
        <v>-28768.96</v>
      </c>
      <c r="G171" s="24" t="s">
        <v>5951</v>
      </c>
      <c r="H171" s="4" t="s">
        <v>2486</v>
      </c>
      <c r="I171" s="4"/>
    </row>
    <row r="172" customFormat="false" ht="15" hidden="false" customHeight="false" outlineLevel="0" collapsed="false">
      <c r="A172" s="4" t="s">
        <v>4957</v>
      </c>
      <c r="B172" s="23" t="n">
        <v>169</v>
      </c>
      <c r="C172" s="6" t="n">
        <v>46215</v>
      </c>
      <c r="D172" s="4" t="s">
        <v>4959</v>
      </c>
      <c r="E172" s="4" t="s">
        <v>6943</v>
      </c>
      <c r="F172" s="7" t="n">
        <v>-8567.9</v>
      </c>
      <c r="G172" s="24" t="s">
        <v>5951</v>
      </c>
      <c r="H172" s="4" t="s">
        <v>4955</v>
      </c>
      <c r="I172" s="4"/>
    </row>
    <row r="173" customFormat="false" ht="15" hidden="false" customHeight="false" outlineLevel="0" collapsed="false">
      <c r="A173" s="4" t="s">
        <v>3904</v>
      </c>
      <c r="B173" s="23" t="n">
        <v>170</v>
      </c>
      <c r="C173" s="6" t="n">
        <v>46215</v>
      </c>
      <c r="D173" s="4" t="s">
        <v>3906</v>
      </c>
      <c r="E173" s="4" t="s">
        <v>6944</v>
      </c>
      <c r="F173" s="7" t="n">
        <v>-8988.15</v>
      </c>
      <c r="G173" s="24" t="s">
        <v>5951</v>
      </c>
      <c r="H173" s="4" t="s">
        <v>3902</v>
      </c>
      <c r="I173" s="4"/>
    </row>
    <row r="174" customFormat="false" ht="15" hidden="false" customHeight="false" outlineLevel="0" collapsed="false">
      <c r="A174" s="4" t="s">
        <v>5827</v>
      </c>
      <c r="B174" s="23" t="n">
        <v>171</v>
      </c>
      <c r="C174" s="6" t="n">
        <v>46215</v>
      </c>
      <c r="D174" s="4" t="s">
        <v>5788</v>
      </c>
      <c r="E174" s="4"/>
      <c r="F174" s="7" t="n">
        <v>-3465.55</v>
      </c>
      <c r="G174" s="24" t="s">
        <v>5951</v>
      </c>
      <c r="H174" s="4" t="s">
        <v>5825</v>
      </c>
      <c r="I174" s="4"/>
    </row>
    <row r="175" customFormat="false" ht="15" hidden="false" customHeight="false" outlineLevel="0" collapsed="false">
      <c r="A175" s="4" t="s">
        <v>474</v>
      </c>
      <c r="B175" s="23" t="n">
        <v>172</v>
      </c>
      <c r="C175" s="6" t="n">
        <v>46215</v>
      </c>
      <c r="D175" s="4" t="s">
        <v>5846</v>
      </c>
      <c r="E175" s="4" t="s">
        <v>475</v>
      </c>
      <c r="F175" s="7" t="n">
        <v>45928.97</v>
      </c>
      <c r="G175" s="25" t="s">
        <v>5987</v>
      </c>
      <c r="H175" s="4" t="s">
        <v>5844</v>
      </c>
      <c r="I175" s="4" t="s">
        <v>472</v>
      </c>
    </row>
    <row r="176" customFormat="false" ht="15" hidden="false" customHeight="false" outlineLevel="0" collapsed="false">
      <c r="A176" s="4" t="s">
        <v>468</v>
      </c>
      <c r="B176" s="23" t="n">
        <v>173</v>
      </c>
      <c r="C176" s="6" t="n">
        <v>46215</v>
      </c>
      <c r="D176" s="4" t="s">
        <v>5864</v>
      </c>
      <c r="E176" s="4" t="s">
        <v>469</v>
      </c>
      <c r="F176" s="7" t="n">
        <v>71704.47</v>
      </c>
      <c r="G176" s="25" t="s">
        <v>5987</v>
      </c>
      <c r="H176" s="4" t="s">
        <v>5862</v>
      </c>
      <c r="I176" s="4" t="s">
        <v>466</v>
      </c>
    </row>
    <row r="177" customFormat="false" ht="15" hidden="false" customHeight="false" outlineLevel="0" collapsed="false">
      <c r="A177" s="4" t="s">
        <v>2493</v>
      </c>
      <c r="B177" s="23" t="n">
        <v>174</v>
      </c>
      <c r="C177" s="6" t="n">
        <v>46216</v>
      </c>
      <c r="D177" s="4" t="s">
        <v>2495</v>
      </c>
      <c r="E177" s="4" t="s">
        <v>6074</v>
      </c>
      <c r="F177" s="7" t="n">
        <v>16916.37</v>
      </c>
      <c r="G177" s="24" t="s">
        <v>5951</v>
      </c>
      <c r="H177" s="4" t="s">
        <v>2491</v>
      </c>
      <c r="I177" s="4"/>
    </row>
    <row r="178" customFormat="false" ht="15" hidden="false" customHeight="false" outlineLevel="0" collapsed="false">
      <c r="A178" s="4" t="s">
        <v>3909</v>
      </c>
      <c r="B178" s="23" t="n">
        <v>175</v>
      </c>
      <c r="C178" s="6" t="n">
        <v>46216</v>
      </c>
      <c r="D178" s="4" t="s">
        <v>3911</v>
      </c>
      <c r="E178" s="4" t="s">
        <v>6094</v>
      </c>
      <c r="F178" s="7" t="n">
        <v>28476.37</v>
      </c>
      <c r="G178" s="24" t="s">
        <v>5951</v>
      </c>
      <c r="H178" s="4" t="s">
        <v>3907</v>
      </c>
      <c r="I178" s="4"/>
    </row>
    <row r="179" customFormat="false" ht="15" hidden="false" customHeight="false" outlineLevel="0" collapsed="false">
      <c r="A179" s="4" t="s">
        <v>810</v>
      </c>
      <c r="B179" s="23" t="n">
        <v>176</v>
      </c>
      <c r="C179" s="6" t="n">
        <v>46216</v>
      </c>
      <c r="D179" s="4" t="s">
        <v>812</v>
      </c>
      <c r="E179" s="4" t="s">
        <v>6062</v>
      </c>
      <c r="F179" s="7" t="n">
        <v>92470.83</v>
      </c>
      <c r="G179" s="24" t="s">
        <v>5951</v>
      </c>
      <c r="H179" s="4" t="s">
        <v>808</v>
      </c>
      <c r="I179" s="4"/>
    </row>
    <row r="180" customFormat="false" ht="15" hidden="false" customHeight="false" outlineLevel="0" collapsed="false">
      <c r="A180" s="4" t="s">
        <v>2498</v>
      </c>
      <c r="B180" s="23" t="n">
        <v>177</v>
      </c>
      <c r="C180" s="6" t="n">
        <v>46216</v>
      </c>
      <c r="D180" s="4" t="s">
        <v>2500</v>
      </c>
      <c r="E180" s="4" t="s">
        <v>6076</v>
      </c>
      <c r="F180" s="7" t="n">
        <v>10735.6</v>
      </c>
      <c r="G180" s="24" t="s">
        <v>5951</v>
      </c>
      <c r="H180" s="4" t="s">
        <v>2496</v>
      </c>
      <c r="I180" s="4"/>
    </row>
    <row r="181" customFormat="false" ht="15" hidden="false" customHeight="false" outlineLevel="0" collapsed="false">
      <c r="A181" s="4" t="s">
        <v>2503</v>
      </c>
      <c r="B181" s="23" t="n">
        <v>178</v>
      </c>
      <c r="C181" s="6" t="n">
        <v>46216</v>
      </c>
      <c r="D181" s="4" t="s">
        <v>2505</v>
      </c>
      <c r="E181" s="4" t="s">
        <v>6077</v>
      </c>
      <c r="F181" s="7" t="n">
        <v>62766.94</v>
      </c>
      <c r="G181" s="24" t="s">
        <v>5951</v>
      </c>
      <c r="H181" s="4" t="s">
        <v>2501</v>
      </c>
      <c r="I181" s="4"/>
    </row>
    <row r="182" customFormat="false" ht="15" hidden="false" customHeight="false" outlineLevel="0" collapsed="false">
      <c r="A182" s="4" t="s">
        <v>2508</v>
      </c>
      <c r="B182" s="23" t="n">
        <v>179</v>
      </c>
      <c r="C182" s="6" t="n">
        <v>46216</v>
      </c>
      <c r="D182" s="4" t="s">
        <v>2510</v>
      </c>
      <c r="E182" s="4" t="s">
        <v>6079</v>
      </c>
      <c r="F182" s="7" t="n">
        <v>50713.26</v>
      </c>
      <c r="G182" s="24" t="s">
        <v>5951</v>
      </c>
      <c r="H182" s="4" t="s">
        <v>2506</v>
      </c>
      <c r="I182" s="4"/>
    </row>
    <row r="183" customFormat="false" ht="15" hidden="false" customHeight="false" outlineLevel="0" collapsed="false">
      <c r="A183" s="4" t="s">
        <v>2513</v>
      </c>
      <c r="B183" s="23" t="n">
        <v>180</v>
      </c>
      <c r="C183" s="6" t="n">
        <v>46216</v>
      </c>
      <c r="D183" s="4" t="s">
        <v>2515</v>
      </c>
      <c r="E183" s="4" t="s">
        <v>6085</v>
      </c>
      <c r="F183" s="7" t="n">
        <v>88107.34</v>
      </c>
      <c r="G183" s="24" t="s">
        <v>5951</v>
      </c>
      <c r="H183" s="4" t="s">
        <v>2511</v>
      </c>
      <c r="I183" s="4"/>
    </row>
    <row r="184" customFormat="false" ht="15" hidden="false" customHeight="false" outlineLevel="0" collapsed="false">
      <c r="A184" s="4" t="s">
        <v>815</v>
      </c>
      <c r="B184" s="23" t="n">
        <v>181</v>
      </c>
      <c r="C184" s="6" t="n">
        <v>46216</v>
      </c>
      <c r="D184" s="4" t="s">
        <v>817</v>
      </c>
      <c r="E184" s="4" t="s">
        <v>6945</v>
      </c>
      <c r="F184" s="7" t="n">
        <v>-6845.45</v>
      </c>
      <c r="G184" s="24" t="s">
        <v>5951</v>
      </c>
      <c r="H184" s="4" t="s">
        <v>813</v>
      </c>
      <c r="I184" s="4"/>
    </row>
    <row r="185" customFormat="false" ht="15" hidden="false" customHeight="false" outlineLevel="0" collapsed="false">
      <c r="A185" s="4" t="s">
        <v>2518</v>
      </c>
      <c r="B185" s="23" t="n">
        <v>182</v>
      </c>
      <c r="C185" s="6" t="n">
        <v>46216</v>
      </c>
      <c r="D185" s="4" t="s">
        <v>2520</v>
      </c>
      <c r="E185" s="4" t="s">
        <v>6946</v>
      </c>
      <c r="F185" s="7" t="n">
        <v>-54409.71</v>
      </c>
      <c r="G185" s="24" t="s">
        <v>5951</v>
      </c>
      <c r="H185" s="4" t="s">
        <v>2516</v>
      </c>
      <c r="I185" s="4"/>
    </row>
    <row r="186" customFormat="false" ht="15" hidden="false" customHeight="false" outlineLevel="0" collapsed="false">
      <c r="A186" s="4" t="s">
        <v>2523</v>
      </c>
      <c r="B186" s="23" t="n">
        <v>183</v>
      </c>
      <c r="C186" s="6" t="n">
        <v>46216</v>
      </c>
      <c r="D186" s="4" t="s">
        <v>2525</v>
      </c>
      <c r="E186" s="4" t="s">
        <v>6947</v>
      </c>
      <c r="F186" s="7" t="n">
        <v>-54207.06</v>
      </c>
      <c r="G186" s="24" t="s">
        <v>5951</v>
      </c>
      <c r="H186" s="4" t="s">
        <v>2521</v>
      </c>
      <c r="I186" s="4"/>
    </row>
    <row r="187" customFormat="false" ht="15" hidden="false" customHeight="false" outlineLevel="0" collapsed="false">
      <c r="A187" s="4" t="s">
        <v>2528</v>
      </c>
      <c r="B187" s="23" t="n">
        <v>184</v>
      </c>
      <c r="C187" s="6" t="n">
        <v>46216</v>
      </c>
      <c r="D187" s="4" t="s">
        <v>2530</v>
      </c>
      <c r="E187" s="4" t="s">
        <v>6948</v>
      </c>
      <c r="F187" s="7" t="n">
        <v>-44292.95</v>
      </c>
      <c r="G187" s="24" t="s">
        <v>5951</v>
      </c>
      <c r="H187" s="4" t="s">
        <v>2526</v>
      </c>
      <c r="I187" s="4"/>
    </row>
    <row r="188" customFormat="false" ht="15" hidden="false" customHeight="false" outlineLevel="0" collapsed="false">
      <c r="A188" s="4" t="s">
        <v>221</v>
      </c>
      <c r="B188" s="23" t="n">
        <v>185</v>
      </c>
      <c r="C188" s="6" t="n">
        <v>46216</v>
      </c>
      <c r="D188" s="4" t="s">
        <v>5903</v>
      </c>
      <c r="E188" s="4" t="s">
        <v>6949</v>
      </c>
      <c r="F188" s="7" t="n">
        <v>15887.58</v>
      </c>
      <c r="G188" s="25" t="s">
        <v>5987</v>
      </c>
      <c r="H188" s="4" t="s">
        <v>5901</v>
      </c>
      <c r="I188" s="4" t="s">
        <v>219</v>
      </c>
    </row>
    <row r="189" customFormat="false" ht="15" hidden="false" customHeight="false" outlineLevel="0" collapsed="false">
      <c r="A189" s="4" t="s">
        <v>308</v>
      </c>
      <c r="B189" s="23" t="n">
        <v>186</v>
      </c>
      <c r="C189" s="6" t="n">
        <v>46216</v>
      </c>
      <c r="D189" s="4" t="s">
        <v>310</v>
      </c>
      <c r="E189" s="4" t="s">
        <v>309</v>
      </c>
      <c r="F189" s="7" t="n">
        <v>-2081.79</v>
      </c>
      <c r="G189" s="26" t="s">
        <v>6043</v>
      </c>
      <c r="H189" s="4"/>
      <c r="I189" s="4" t="s">
        <v>307</v>
      </c>
    </row>
    <row r="190" customFormat="false" ht="15" hidden="false" customHeight="false" outlineLevel="0" collapsed="false">
      <c r="A190" s="4" t="s">
        <v>820</v>
      </c>
      <c r="B190" s="23" t="n">
        <v>187</v>
      </c>
      <c r="C190" s="6" t="n">
        <v>46217</v>
      </c>
      <c r="D190" s="4" t="s">
        <v>822</v>
      </c>
      <c r="E190" s="4" t="s">
        <v>6950</v>
      </c>
      <c r="F190" s="7" t="n">
        <v>25858.81</v>
      </c>
      <c r="G190" s="24" t="s">
        <v>5951</v>
      </c>
      <c r="H190" s="4" t="s">
        <v>818</v>
      </c>
      <c r="I190" s="4"/>
    </row>
    <row r="191" customFormat="false" ht="15" hidden="false" customHeight="false" outlineLevel="0" collapsed="false">
      <c r="A191" s="4" t="s">
        <v>2533</v>
      </c>
      <c r="B191" s="23" t="n">
        <v>188</v>
      </c>
      <c r="C191" s="6" t="n">
        <v>46217</v>
      </c>
      <c r="D191" s="4" t="s">
        <v>2535</v>
      </c>
      <c r="E191" s="4" t="s">
        <v>6951</v>
      </c>
      <c r="F191" s="7" t="n">
        <v>51057.64</v>
      </c>
      <c r="G191" s="24" t="s">
        <v>5951</v>
      </c>
      <c r="H191" s="4" t="s">
        <v>2531</v>
      </c>
      <c r="I191" s="4"/>
    </row>
    <row r="192" customFormat="false" ht="15" hidden="false" customHeight="false" outlineLevel="0" collapsed="false">
      <c r="A192" s="4" t="s">
        <v>825</v>
      </c>
      <c r="B192" s="23" t="n">
        <v>189</v>
      </c>
      <c r="C192" s="6" t="n">
        <v>46217</v>
      </c>
      <c r="D192" s="4" t="s">
        <v>827</v>
      </c>
      <c r="E192" s="4" t="s">
        <v>6075</v>
      </c>
      <c r="F192" s="7" t="n">
        <v>93183.53</v>
      </c>
      <c r="G192" s="24" t="s">
        <v>5951</v>
      </c>
      <c r="H192" s="4" t="s">
        <v>823</v>
      </c>
      <c r="I192" s="4"/>
    </row>
    <row r="193" customFormat="false" ht="15" hidden="false" customHeight="false" outlineLevel="0" collapsed="false">
      <c r="A193" s="4" t="s">
        <v>2538</v>
      </c>
      <c r="B193" s="23" t="n">
        <v>190</v>
      </c>
      <c r="C193" s="6" t="n">
        <v>46217</v>
      </c>
      <c r="D193" s="4" t="s">
        <v>2540</v>
      </c>
      <c r="E193" s="4" t="s">
        <v>6095</v>
      </c>
      <c r="F193" s="7" t="n">
        <v>66363.04</v>
      </c>
      <c r="G193" s="24" t="s">
        <v>5951</v>
      </c>
      <c r="H193" s="4" t="s">
        <v>2536</v>
      </c>
      <c r="I193" s="4"/>
    </row>
    <row r="194" customFormat="false" ht="15" hidden="false" customHeight="false" outlineLevel="0" collapsed="false">
      <c r="A194" s="4" t="s">
        <v>830</v>
      </c>
      <c r="B194" s="23" t="n">
        <v>191</v>
      </c>
      <c r="C194" s="6" t="n">
        <v>46217</v>
      </c>
      <c r="D194" s="4" t="s">
        <v>832</v>
      </c>
      <c r="E194" s="4" t="s">
        <v>6078</v>
      </c>
      <c r="F194" s="7" t="n">
        <v>86880.26</v>
      </c>
      <c r="G194" s="24" t="s">
        <v>5951</v>
      </c>
      <c r="H194" s="4" t="s">
        <v>828</v>
      </c>
      <c r="I194" s="4"/>
    </row>
    <row r="195" customFormat="false" ht="15" hidden="false" customHeight="false" outlineLevel="0" collapsed="false">
      <c r="A195" s="4" t="s">
        <v>835</v>
      </c>
      <c r="B195" s="23" t="n">
        <v>192</v>
      </c>
      <c r="C195" s="6" t="n">
        <v>46217</v>
      </c>
      <c r="D195" s="4" t="s">
        <v>837</v>
      </c>
      <c r="E195" s="4" t="s">
        <v>6080</v>
      </c>
      <c r="F195" s="7" t="n">
        <v>90857.1</v>
      </c>
      <c r="G195" s="24" t="s">
        <v>5951</v>
      </c>
      <c r="H195" s="4" t="s">
        <v>833</v>
      </c>
      <c r="I195" s="4"/>
    </row>
    <row r="196" customFormat="false" ht="15" hidden="false" customHeight="false" outlineLevel="0" collapsed="false">
      <c r="A196" s="4" t="s">
        <v>2543</v>
      </c>
      <c r="B196" s="23" t="n">
        <v>193</v>
      </c>
      <c r="C196" s="6" t="n">
        <v>46217</v>
      </c>
      <c r="D196" s="4" t="s">
        <v>2545</v>
      </c>
      <c r="E196" s="4" t="s">
        <v>6952</v>
      </c>
      <c r="F196" s="7" t="n">
        <v>13053.67</v>
      </c>
      <c r="G196" s="24" t="s">
        <v>5951</v>
      </c>
      <c r="H196" s="4" t="s">
        <v>2541</v>
      </c>
      <c r="I196" s="4"/>
    </row>
    <row r="197" customFormat="false" ht="15" hidden="false" customHeight="false" outlineLevel="0" collapsed="false">
      <c r="A197" s="4" t="s">
        <v>840</v>
      </c>
      <c r="B197" s="23" t="n">
        <v>194</v>
      </c>
      <c r="C197" s="6" t="n">
        <v>46217</v>
      </c>
      <c r="D197" s="4" t="s">
        <v>842</v>
      </c>
      <c r="E197" s="4" t="s">
        <v>6081</v>
      </c>
      <c r="F197" s="7" t="n">
        <v>86553.66</v>
      </c>
      <c r="G197" s="24" t="s">
        <v>5951</v>
      </c>
      <c r="H197" s="4" t="s">
        <v>838</v>
      </c>
      <c r="I197" s="4"/>
    </row>
    <row r="198" customFormat="false" ht="15" hidden="false" customHeight="false" outlineLevel="0" collapsed="false">
      <c r="A198" s="4" t="s">
        <v>845</v>
      </c>
      <c r="B198" s="23" t="n">
        <v>195</v>
      </c>
      <c r="C198" s="6" t="n">
        <v>46217</v>
      </c>
      <c r="D198" s="4" t="s">
        <v>847</v>
      </c>
      <c r="E198" s="4" t="s">
        <v>6083</v>
      </c>
      <c r="F198" s="7" t="n">
        <v>40942.37</v>
      </c>
      <c r="G198" s="24" t="s">
        <v>5951</v>
      </c>
      <c r="H198" s="4" t="s">
        <v>843</v>
      </c>
      <c r="I198" s="4"/>
    </row>
    <row r="199" customFormat="false" ht="15" hidden="false" customHeight="false" outlineLevel="0" collapsed="false">
      <c r="A199" s="4" t="s">
        <v>2548</v>
      </c>
      <c r="B199" s="23" t="n">
        <v>196</v>
      </c>
      <c r="C199" s="6" t="n">
        <v>46217</v>
      </c>
      <c r="D199" s="4" t="s">
        <v>2550</v>
      </c>
      <c r="E199" s="4" t="s">
        <v>6096</v>
      </c>
      <c r="F199" s="7" t="n">
        <v>67643.37</v>
      </c>
      <c r="G199" s="24" t="s">
        <v>5951</v>
      </c>
      <c r="H199" s="4" t="s">
        <v>2546</v>
      </c>
      <c r="I199" s="4"/>
    </row>
    <row r="200" customFormat="false" ht="15" hidden="false" customHeight="false" outlineLevel="0" collapsed="false">
      <c r="A200" s="4" t="s">
        <v>3914</v>
      </c>
      <c r="B200" s="23" t="n">
        <v>197</v>
      </c>
      <c r="C200" s="6" t="n">
        <v>46217</v>
      </c>
      <c r="D200" s="4" t="s">
        <v>3916</v>
      </c>
      <c r="E200" s="4" t="s">
        <v>6953</v>
      </c>
      <c r="F200" s="7" t="n">
        <v>4063.01</v>
      </c>
      <c r="G200" s="24" t="s">
        <v>5951</v>
      </c>
      <c r="H200" s="4" t="s">
        <v>3912</v>
      </c>
      <c r="I200" s="4"/>
    </row>
    <row r="201" customFormat="false" ht="15" hidden="false" customHeight="false" outlineLevel="0" collapsed="false">
      <c r="A201" s="4" t="s">
        <v>5391</v>
      </c>
      <c r="B201" s="23" t="n">
        <v>198</v>
      </c>
      <c r="C201" s="6" t="n">
        <v>46217</v>
      </c>
      <c r="D201" s="4" t="s">
        <v>5393</v>
      </c>
      <c r="E201" s="4" t="s">
        <v>6954</v>
      </c>
      <c r="F201" s="7" t="n">
        <v>-34037.38</v>
      </c>
      <c r="G201" s="24" t="s">
        <v>5951</v>
      </c>
      <c r="H201" s="4" t="s">
        <v>5389</v>
      </c>
      <c r="I201" s="4"/>
    </row>
    <row r="202" customFormat="false" ht="15" hidden="false" customHeight="false" outlineLevel="0" collapsed="false">
      <c r="A202" s="4" t="s">
        <v>4962</v>
      </c>
      <c r="B202" s="23" t="n">
        <v>199</v>
      </c>
      <c r="C202" s="6" t="n">
        <v>46217</v>
      </c>
      <c r="D202" s="4" t="s">
        <v>4964</v>
      </c>
      <c r="E202" s="4" t="s">
        <v>6955</v>
      </c>
      <c r="F202" s="7" t="n">
        <v>-3934.46</v>
      </c>
      <c r="G202" s="24" t="s">
        <v>5951</v>
      </c>
      <c r="H202" s="4" t="s">
        <v>4960</v>
      </c>
      <c r="I202" s="4"/>
    </row>
    <row r="203" customFormat="false" ht="15" hidden="false" customHeight="false" outlineLevel="0" collapsed="false">
      <c r="A203" s="4" t="s">
        <v>5396</v>
      </c>
      <c r="B203" s="23" t="n">
        <v>200</v>
      </c>
      <c r="C203" s="6" t="n">
        <v>46217</v>
      </c>
      <c r="D203" s="4" t="s">
        <v>5398</v>
      </c>
      <c r="E203" s="4" t="s">
        <v>6956</v>
      </c>
      <c r="F203" s="7" t="n">
        <v>-26114.53</v>
      </c>
      <c r="G203" s="24" t="s">
        <v>5951</v>
      </c>
      <c r="H203" s="4" t="s">
        <v>5394</v>
      </c>
      <c r="I203" s="4"/>
    </row>
    <row r="204" customFormat="false" ht="15" hidden="false" customHeight="false" outlineLevel="0" collapsed="false">
      <c r="A204" s="4" t="s">
        <v>3919</v>
      </c>
      <c r="B204" s="23" t="n">
        <v>201</v>
      </c>
      <c r="C204" s="6" t="n">
        <v>46217</v>
      </c>
      <c r="D204" s="4" t="s">
        <v>3921</v>
      </c>
      <c r="E204" s="4" t="s">
        <v>6957</v>
      </c>
      <c r="F204" s="7" t="n">
        <v>-15463.17</v>
      </c>
      <c r="G204" s="24" t="s">
        <v>5951</v>
      </c>
      <c r="H204" s="4" t="s">
        <v>3917</v>
      </c>
      <c r="I204" s="4"/>
    </row>
    <row r="205" customFormat="false" ht="15" hidden="false" customHeight="false" outlineLevel="0" collapsed="false">
      <c r="A205" s="4" t="s">
        <v>3924</v>
      </c>
      <c r="B205" s="23" t="n">
        <v>202</v>
      </c>
      <c r="C205" s="6" t="n">
        <v>46218</v>
      </c>
      <c r="D205" s="4" t="s">
        <v>3926</v>
      </c>
      <c r="E205" s="4" t="s">
        <v>6958</v>
      </c>
      <c r="F205" s="7" t="n">
        <v>75207.98</v>
      </c>
      <c r="G205" s="24" t="s">
        <v>5951</v>
      </c>
      <c r="H205" s="4" t="s">
        <v>3922</v>
      </c>
      <c r="I205" s="4"/>
    </row>
    <row r="206" customFormat="false" ht="15" hidden="false" customHeight="false" outlineLevel="0" collapsed="false">
      <c r="A206" s="4" t="s">
        <v>2553</v>
      </c>
      <c r="B206" s="23" t="n">
        <v>203</v>
      </c>
      <c r="C206" s="6" t="n">
        <v>46218</v>
      </c>
      <c r="D206" s="4" t="s">
        <v>2555</v>
      </c>
      <c r="E206" s="4" t="s">
        <v>6100</v>
      </c>
      <c r="F206" s="7" t="n">
        <v>16331.4</v>
      </c>
      <c r="G206" s="24" t="s">
        <v>5951</v>
      </c>
      <c r="H206" s="4" t="s">
        <v>2551</v>
      </c>
      <c r="I206" s="4"/>
    </row>
    <row r="207" customFormat="false" ht="15" hidden="false" customHeight="false" outlineLevel="0" collapsed="false">
      <c r="A207" s="4" t="s">
        <v>2558</v>
      </c>
      <c r="B207" s="23" t="n">
        <v>204</v>
      </c>
      <c r="C207" s="6" t="n">
        <v>46218</v>
      </c>
      <c r="D207" s="4" t="s">
        <v>2560</v>
      </c>
      <c r="E207" s="4" t="s">
        <v>6101</v>
      </c>
      <c r="F207" s="7" t="n">
        <v>6626.54</v>
      </c>
      <c r="G207" s="24" t="s">
        <v>5951</v>
      </c>
      <c r="H207" s="4" t="s">
        <v>2556</v>
      </c>
      <c r="I207" s="4"/>
    </row>
    <row r="208" customFormat="false" ht="15" hidden="false" customHeight="false" outlineLevel="0" collapsed="false">
      <c r="A208" s="4" t="s">
        <v>3929</v>
      </c>
      <c r="B208" s="23" t="n">
        <v>205</v>
      </c>
      <c r="C208" s="6" t="n">
        <v>46218</v>
      </c>
      <c r="D208" s="4" t="s">
        <v>3931</v>
      </c>
      <c r="E208" s="4" t="s">
        <v>6959</v>
      </c>
      <c r="F208" s="7" t="n">
        <v>-33911.27</v>
      </c>
      <c r="G208" s="24" t="s">
        <v>5951</v>
      </c>
      <c r="H208" s="4" t="s">
        <v>3927</v>
      </c>
      <c r="I208" s="4"/>
    </row>
    <row r="209" customFormat="false" ht="15" hidden="false" customHeight="false" outlineLevel="0" collapsed="false">
      <c r="A209" s="4" t="s">
        <v>2563</v>
      </c>
      <c r="B209" s="23" t="n">
        <v>206</v>
      </c>
      <c r="C209" s="6" t="n">
        <v>46218</v>
      </c>
      <c r="D209" s="4" t="s">
        <v>2565</v>
      </c>
      <c r="E209" s="4" t="s">
        <v>6960</v>
      </c>
      <c r="F209" s="7" t="n">
        <v>-24082.42</v>
      </c>
      <c r="G209" s="24" t="s">
        <v>5951</v>
      </c>
      <c r="H209" s="4" t="s">
        <v>2561</v>
      </c>
      <c r="I209" s="4"/>
    </row>
    <row r="210" customFormat="false" ht="15" hidden="false" customHeight="false" outlineLevel="0" collapsed="false">
      <c r="A210" s="4" t="s">
        <v>5401</v>
      </c>
      <c r="B210" s="23" t="n">
        <v>207</v>
      </c>
      <c r="C210" s="6" t="n">
        <v>46218</v>
      </c>
      <c r="D210" s="4" t="s">
        <v>5403</v>
      </c>
      <c r="E210" s="4" t="s">
        <v>6961</v>
      </c>
      <c r="F210" s="7" t="n">
        <v>-34576.07</v>
      </c>
      <c r="G210" s="24" t="s">
        <v>5951</v>
      </c>
      <c r="H210" s="4" t="s">
        <v>5399</v>
      </c>
      <c r="I210" s="4"/>
    </row>
    <row r="211" customFormat="false" ht="15" hidden="false" customHeight="false" outlineLevel="0" collapsed="false">
      <c r="A211" s="4" t="s">
        <v>5406</v>
      </c>
      <c r="B211" s="23" t="n">
        <v>208</v>
      </c>
      <c r="C211" s="6" t="n">
        <v>46218</v>
      </c>
      <c r="D211" s="4" t="s">
        <v>5408</v>
      </c>
      <c r="E211" s="4" t="s">
        <v>6962</v>
      </c>
      <c r="F211" s="7" t="n">
        <v>-43019.01</v>
      </c>
      <c r="G211" s="24" t="s">
        <v>5951</v>
      </c>
      <c r="H211" s="4" t="s">
        <v>5404</v>
      </c>
      <c r="I211" s="4"/>
    </row>
    <row r="212" customFormat="false" ht="15" hidden="false" customHeight="false" outlineLevel="0" collapsed="false">
      <c r="A212" s="4" t="s">
        <v>850</v>
      </c>
      <c r="B212" s="23" t="n">
        <v>209</v>
      </c>
      <c r="C212" s="6" t="n">
        <v>46218</v>
      </c>
      <c r="D212" s="4" t="s">
        <v>852</v>
      </c>
      <c r="E212" s="4" t="s">
        <v>6963</v>
      </c>
      <c r="F212" s="7" t="n">
        <v>-48279.75</v>
      </c>
      <c r="G212" s="24" t="s">
        <v>5951</v>
      </c>
      <c r="H212" s="4" t="s">
        <v>848</v>
      </c>
      <c r="I212" s="4"/>
    </row>
    <row r="213" customFormat="false" ht="15" hidden="false" customHeight="false" outlineLevel="0" collapsed="false">
      <c r="A213" s="4" t="s">
        <v>2568</v>
      </c>
      <c r="B213" s="23" t="n">
        <v>210</v>
      </c>
      <c r="C213" s="6" t="n">
        <v>46218</v>
      </c>
      <c r="D213" s="4" t="s">
        <v>2570</v>
      </c>
      <c r="E213" s="4" t="s">
        <v>6964</v>
      </c>
      <c r="F213" s="7" t="n">
        <v>-41266.67</v>
      </c>
      <c r="G213" s="24" t="s">
        <v>5951</v>
      </c>
      <c r="H213" s="4" t="s">
        <v>2566</v>
      </c>
      <c r="I213" s="4"/>
    </row>
    <row r="214" customFormat="false" ht="15" hidden="false" customHeight="false" outlineLevel="0" collapsed="false">
      <c r="A214" s="4" t="s">
        <v>4967</v>
      </c>
      <c r="B214" s="23" t="n">
        <v>211</v>
      </c>
      <c r="C214" s="6" t="n">
        <v>46218</v>
      </c>
      <c r="D214" s="4" t="s">
        <v>4969</v>
      </c>
      <c r="E214" s="4" t="s">
        <v>6965</v>
      </c>
      <c r="F214" s="7" t="n">
        <v>-32958.49</v>
      </c>
      <c r="G214" s="24" t="s">
        <v>5951</v>
      </c>
      <c r="H214" s="4" t="s">
        <v>4965</v>
      </c>
      <c r="I214" s="4"/>
    </row>
    <row r="215" customFormat="false" ht="15" hidden="false" customHeight="false" outlineLevel="0" collapsed="false">
      <c r="A215" s="4" t="s">
        <v>3934</v>
      </c>
      <c r="B215" s="23" t="n">
        <v>212</v>
      </c>
      <c r="C215" s="6" t="n">
        <v>46219</v>
      </c>
      <c r="D215" s="4" t="s">
        <v>3936</v>
      </c>
      <c r="E215" s="4" t="s">
        <v>6114</v>
      </c>
      <c r="F215" s="7" t="n">
        <v>93176.09</v>
      </c>
      <c r="G215" s="24" t="s">
        <v>5951</v>
      </c>
      <c r="H215" s="4" t="s">
        <v>3932</v>
      </c>
      <c r="I215" s="4"/>
    </row>
    <row r="216" customFormat="false" ht="15" hidden="false" customHeight="false" outlineLevel="0" collapsed="false">
      <c r="A216" s="4" t="s">
        <v>3939</v>
      </c>
      <c r="B216" s="23" t="n">
        <v>213</v>
      </c>
      <c r="C216" s="6" t="n">
        <v>46219</v>
      </c>
      <c r="D216" s="4" t="s">
        <v>3941</v>
      </c>
      <c r="E216" s="4" t="s">
        <v>6966</v>
      </c>
      <c r="F216" s="7" t="n">
        <v>59957.31</v>
      </c>
      <c r="G216" s="24" t="s">
        <v>5951</v>
      </c>
      <c r="H216" s="4" t="s">
        <v>3937</v>
      </c>
      <c r="I216" s="4"/>
    </row>
    <row r="217" customFormat="false" ht="15" hidden="false" customHeight="false" outlineLevel="0" collapsed="false">
      <c r="A217" s="4" t="s">
        <v>3944</v>
      </c>
      <c r="B217" s="23" t="n">
        <v>214</v>
      </c>
      <c r="C217" s="6" t="n">
        <v>46219</v>
      </c>
      <c r="D217" s="4" t="s">
        <v>3946</v>
      </c>
      <c r="E217" s="4" t="s">
        <v>6967</v>
      </c>
      <c r="F217" s="7" t="n">
        <v>45903.2</v>
      </c>
      <c r="G217" s="24" t="s">
        <v>5951</v>
      </c>
      <c r="H217" s="4" t="s">
        <v>3942</v>
      </c>
      <c r="I217" s="4"/>
    </row>
    <row r="218" customFormat="false" ht="15" hidden="false" customHeight="false" outlineLevel="0" collapsed="false">
      <c r="A218" s="4" t="s">
        <v>855</v>
      </c>
      <c r="B218" s="23" t="n">
        <v>215</v>
      </c>
      <c r="C218" s="6" t="n">
        <v>46219</v>
      </c>
      <c r="D218" s="4" t="s">
        <v>857</v>
      </c>
      <c r="E218" s="4" t="s">
        <v>6099</v>
      </c>
      <c r="F218" s="7" t="n">
        <v>80198.19</v>
      </c>
      <c r="G218" s="24" t="s">
        <v>5951</v>
      </c>
      <c r="H218" s="4" t="s">
        <v>853</v>
      </c>
      <c r="I218" s="4"/>
    </row>
    <row r="219" customFormat="false" ht="15" hidden="false" customHeight="false" outlineLevel="0" collapsed="false">
      <c r="A219" s="4" t="s">
        <v>3949</v>
      </c>
      <c r="B219" s="23" t="n">
        <v>216</v>
      </c>
      <c r="C219" s="6" t="n">
        <v>46219</v>
      </c>
      <c r="D219" s="4" t="s">
        <v>3951</v>
      </c>
      <c r="E219" s="4" t="s">
        <v>6115</v>
      </c>
      <c r="F219" s="7" t="n">
        <v>41656.85</v>
      </c>
      <c r="G219" s="24" t="s">
        <v>5951</v>
      </c>
      <c r="H219" s="4" t="s">
        <v>3947</v>
      </c>
      <c r="I219" s="4"/>
    </row>
    <row r="220" customFormat="false" ht="15" hidden="false" customHeight="false" outlineLevel="0" collapsed="false">
      <c r="A220" s="4" t="s">
        <v>2573</v>
      </c>
      <c r="B220" s="23" t="n">
        <v>217</v>
      </c>
      <c r="C220" s="6" t="n">
        <v>46219</v>
      </c>
      <c r="D220" s="4" t="s">
        <v>2575</v>
      </c>
      <c r="E220" s="4" t="s">
        <v>6109</v>
      </c>
      <c r="F220" s="7" t="n">
        <v>62249.82</v>
      </c>
      <c r="G220" s="24" t="s">
        <v>5951</v>
      </c>
      <c r="H220" s="4" t="s">
        <v>2571</v>
      </c>
      <c r="I220" s="4"/>
    </row>
    <row r="221" customFormat="false" ht="15" hidden="false" customHeight="false" outlineLevel="0" collapsed="false">
      <c r="A221" s="4" t="s">
        <v>2578</v>
      </c>
      <c r="B221" s="23" t="n">
        <v>218</v>
      </c>
      <c r="C221" s="6" t="n">
        <v>46219</v>
      </c>
      <c r="D221" s="4" t="s">
        <v>2580</v>
      </c>
      <c r="E221" s="4" t="s">
        <v>6968</v>
      </c>
      <c r="F221" s="7" t="n">
        <v>63219.44</v>
      </c>
      <c r="G221" s="24" t="s">
        <v>5951</v>
      </c>
      <c r="H221" s="4" t="s">
        <v>2576</v>
      </c>
      <c r="I221" s="4"/>
    </row>
    <row r="222" customFormat="false" ht="15" hidden="false" customHeight="false" outlineLevel="0" collapsed="false">
      <c r="A222" s="4" t="s">
        <v>2583</v>
      </c>
      <c r="B222" s="23" t="n">
        <v>219</v>
      </c>
      <c r="C222" s="6" t="n">
        <v>46219</v>
      </c>
      <c r="D222" s="4" t="s">
        <v>2585</v>
      </c>
      <c r="E222" s="4" t="s">
        <v>6110</v>
      </c>
      <c r="F222" s="7" t="n">
        <v>79845.97</v>
      </c>
      <c r="G222" s="24" t="s">
        <v>5951</v>
      </c>
      <c r="H222" s="4" t="s">
        <v>2581</v>
      </c>
      <c r="I222" s="4"/>
    </row>
    <row r="223" customFormat="false" ht="15" hidden="false" customHeight="false" outlineLevel="0" collapsed="false">
      <c r="A223" s="4" t="s">
        <v>5411</v>
      </c>
      <c r="B223" s="23" t="n">
        <v>220</v>
      </c>
      <c r="C223" s="6" t="n">
        <v>46219</v>
      </c>
      <c r="D223" s="4" t="s">
        <v>5413</v>
      </c>
      <c r="E223" s="4" t="s">
        <v>6969</v>
      </c>
      <c r="F223" s="7" t="n">
        <v>-27852.49</v>
      </c>
      <c r="G223" s="24" t="s">
        <v>5951</v>
      </c>
      <c r="H223" s="4" t="s">
        <v>5409</v>
      </c>
      <c r="I223" s="4"/>
    </row>
    <row r="224" customFormat="false" ht="15" hidden="false" customHeight="false" outlineLevel="0" collapsed="false">
      <c r="A224" s="4" t="s">
        <v>4642</v>
      </c>
      <c r="B224" s="23" t="n">
        <v>221</v>
      </c>
      <c r="C224" s="6" t="n">
        <v>46219</v>
      </c>
      <c r="D224" s="4" t="s">
        <v>4644</v>
      </c>
      <c r="E224" s="4" t="s">
        <v>6970</v>
      </c>
      <c r="F224" s="7" t="n">
        <v>-52775.04</v>
      </c>
      <c r="G224" s="24" t="s">
        <v>5951</v>
      </c>
      <c r="H224" s="4" t="s">
        <v>4640</v>
      </c>
      <c r="I224" s="4"/>
    </row>
    <row r="225" customFormat="false" ht="15" hidden="false" customHeight="false" outlineLevel="0" collapsed="false">
      <c r="A225" s="4" t="s">
        <v>5810</v>
      </c>
      <c r="B225" s="23" t="n">
        <v>222</v>
      </c>
      <c r="C225" s="6" t="n">
        <v>46219</v>
      </c>
      <c r="D225" s="4" t="s">
        <v>5799</v>
      </c>
      <c r="E225" s="4"/>
      <c r="F225" s="7" t="n">
        <v>-6275.08</v>
      </c>
      <c r="G225" s="24" t="s">
        <v>5951</v>
      </c>
      <c r="H225" s="4" t="s">
        <v>5808</v>
      </c>
      <c r="I225" s="4"/>
    </row>
    <row r="226" customFormat="false" ht="15" hidden="false" customHeight="false" outlineLevel="0" collapsed="false">
      <c r="A226" s="4" t="s">
        <v>3954</v>
      </c>
      <c r="B226" s="23" t="n">
        <v>223</v>
      </c>
      <c r="C226" s="6" t="n">
        <v>46220</v>
      </c>
      <c r="D226" s="4" t="s">
        <v>3956</v>
      </c>
      <c r="E226" s="4" t="s">
        <v>6121</v>
      </c>
      <c r="F226" s="7" t="n">
        <v>32312.27</v>
      </c>
      <c r="G226" s="24" t="s">
        <v>5951</v>
      </c>
      <c r="H226" s="4" t="s">
        <v>3952</v>
      </c>
      <c r="I226" s="4"/>
    </row>
    <row r="227" customFormat="false" ht="15" hidden="false" customHeight="false" outlineLevel="0" collapsed="false">
      <c r="A227" s="4" t="s">
        <v>860</v>
      </c>
      <c r="B227" s="23" t="n">
        <v>224</v>
      </c>
      <c r="C227" s="6" t="n">
        <v>46220</v>
      </c>
      <c r="D227" s="4" t="s">
        <v>862</v>
      </c>
      <c r="E227" s="4" t="s">
        <v>6107</v>
      </c>
      <c r="F227" s="7" t="n">
        <v>41549.15</v>
      </c>
      <c r="G227" s="24" t="s">
        <v>5951</v>
      </c>
      <c r="H227" s="4" t="s">
        <v>858</v>
      </c>
      <c r="I227" s="4"/>
    </row>
    <row r="228" customFormat="false" ht="15" hidden="false" customHeight="false" outlineLevel="0" collapsed="false">
      <c r="A228" s="4" t="s">
        <v>865</v>
      </c>
      <c r="B228" s="23" t="n">
        <v>225</v>
      </c>
      <c r="C228" s="6" t="n">
        <v>46220</v>
      </c>
      <c r="D228" s="4" t="s">
        <v>867</v>
      </c>
      <c r="E228" s="4" t="s">
        <v>6108</v>
      </c>
      <c r="F228" s="7" t="n">
        <v>88263.49</v>
      </c>
      <c r="G228" s="24" t="s">
        <v>5951</v>
      </c>
      <c r="H228" s="4" t="s">
        <v>863</v>
      </c>
      <c r="I228" s="4"/>
    </row>
    <row r="229" customFormat="false" ht="15" hidden="false" customHeight="false" outlineLevel="0" collapsed="false">
      <c r="A229" s="4" t="s">
        <v>2588</v>
      </c>
      <c r="B229" s="23" t="n">
        <v>226</v>
      </c>
      <c r="C229" s="6" t="n">
        <v>46220</v>
      </c>
      <c r="D229" s="4" t="s">
        <v>2590</v>
      </c>
      <c r="E229" s="4" t="s">
        <v>6971</v>
      </c>
      <c r="F229" s="7" t="n">
        <v>41234.42</v>
      </c>
      <c r="G229" s="24" t="s">
        <v>5951</v>
      </c>
      <c r="H229" s="4" t="s">
        <v>2586</v>
      </c>
      <c r="I229" s="4"/>
    </row>
    <row r="230" customFormat="false" ht="15" hidden="false" customHeight="false" outlineLevel="0" collapsed="false">
      <c r="A230" s="4" t="s">
        <v>3959</v>
      </c>
      <c r="B230" s="23" t="n">
        <v>227</v>
      </c>
      <c r="C230" s="6" t="n">
        <v>46220</v>
      </c>
      <c r="D230" s="4" t="s">
        <v>3961</v>
      </c>
      <c r="E230" s="4" t="s">
        <v>6124</v>
      </c>
      <c r="F230" s="7" t="n">
        <v>68612.65</v>
      </c>
      <c r="G230" s="24" t="s">
        <v>5951</v>
      </c>
      <c r="H230" s="4" t="s">
        <v>3957</v>
      </c>
      <c r="I230" s="4"/>
    </row>
    <row r="231" customFormat="false" ht="15" hidden="false" customHeight="false" outlineLevel="0" collapsed="false">
      <c r="A231" s="4" t="s">
        <v>2593</v>
      </c>
      <c r="B231" s="23" t="n">
        <v>228</v>
      </c>
      <c r="C231" s="6" t="n">
        <v>46220</v>
      </c>
      <c r="D231" s="4" t="s">
        <v>2595</v>
      </c>
      <c r="E231" s="4" t="s">
        <v>6117</v>
      </c>
      <c r="F231" s="7" t="n">
        <v>68186.79</v>
      </c>
      <c r="G231" s="24" t="s">
        <v>5951</v>
      </c>
      <c r="H231" s="4" t="s">
        <v>2591</v>
      </c>
      <c r="I231" s="4"/>
    </row>
    <row r="232" customFormat="false" ht="15" hidden="false" customHeight="false" outlineLevel="0" collapsed="false">
      <c r="A232" s="4" t="s">
        <v>4972</v>
      </c>
      <c r="B232" s="23" t="n">
        <v>229</v>
      </c>
      <c r="C232" s="6" t="n">
        <v>46220</v>
      </c>
      <c r="D232" s="4" t="s">
        <v>4974</v>
      </c>
      <c r="E232" s="4" t="s">
        <v>6972</v>
      </c>
      <c r="F232" s="7" t="n">
        <v>-16545.23</v>
      </c>
      <c r="G232" s="24" t="s">
        <v>5951</v>
      </c>
      <c r="H232" s="4" t="s">
        <v>4970</v>
      </c>
      <c r="I232" s="4"/>
    </row>
    <row r="233" customFormat="false" ht="15" hidden="false" customHeight="false" outlineLevel="0" collapsed="false">
      <c r="A233" s="4" t="s">
        <v>870</v>
      </c>
      <c r="B233" s="23" t="n">
        <v>230</v>
      </c>
      <c r="C233" s="6" t="n">
        <v>46220</v>
      </c>
      <c r="D233" s="4" t="s">
        <v>872</v>
      </c>
      <c r="E233" s="4" t="s">
        <v>6973</v>
      </c>
      <c r="F233" s="7" t="n">
        <v>-30856.54</v>
      </c>
      <c r="G233" s="24" t="s">
        <v>5951</v>
      </c>
      <c r="H233" s="4" t="s">
        <v>868</v>
      </c>
      <c r="I233" s="4"/>
    </row>
    <row r="234" customFormat="false" ht="15" hidden="false" customHeight="false" outlineLevel="0" collapsed="false">
      <c r="A234" s="4" t="s">
        <v>3964</v>
      </c>
      <c r="B234" s="23" t="n">
        <v>231</v>
      </c>
      <c r="C234" s="6" t="n">
        <v>46220</v>
      </c>
      <c r="D234" s="4" t="s">
        <v>3966</v>
      </c>
      <c r="E234" s="4" t="s">
        <v>6974</v>
      </c>
      <c r="F234" s="7" t="n">
        <v>-53023.98</v>
      </c>
      <c r="G234" s="24" t="s">
        <v>5951</v>
      </c>
      <c r="H234" s="4" t="s">
        <v>3962</v>
      </c>
      <c r="I234" s="4"/>
    </row>
    <row r="235" customFormat="false" ht="15" hidden="false" customHeight="false" outlineLevel="0" collapsed="false">
      <c r="A235" s="4" t="s">
        <v>4647</v>
      </c>
      <c r="B235" s="23" t="n">
        <v>232</v>
      </c>
      <c r="C235" s="6" t="n">
        <v>46220</v>
      </c>
      <c r="D235" s="4" t="s">
        <v>4649</v>
      </c>
      <c r="E235" s="4" t="s">
        <v>6975</v>
      </c>
      <c r="F235" s="7" t="n">
        <v>-30956.92</v>
      </c>
      <c r="G235" s="24" t="s">
        <v>5951</v>
      </c>
      <c r="H235" s="4" t="s">
        <v>4645</v>
      </c>
      <c r="I235" s="4"/>
    </row>
    <row r="236" customFormat="false" ht="15" hidden="false" customHeight="false" outlineLevel="0" collapsed="false">
      <c r="A236" s="4" t="s">
        <v>4977</v>
      </c>
      <c r="B236" s="23" t="n">
        <v>233</v>
      </c>
      <c r="C236" s="6" t="n">
        <v>46220</v>
      </c>
      <c r="D236" s="4" t="s">
        <v>4979</v>
      </c>
      <c r="E236" s="4" t="s">
        <v>6976</v>
      </c>
      <c r="F236" s="7" t="n">
        <v>-13370.7</v>
      </c>
      <c r="G236" s="24" t="s">
        <v>5951</v>
      </c>
      <c r="H236" s="4" t="s">
        <v>4975</v>
      </c>
      <c r="I236" s="4"/>
    </row>
    <row r="237" customFormat="false" ht="15" hidden="false" customHeight="false" outlineLevel="0" collapsed="false">
      <c r="A237" s="4" t="s">
        <v>4982</v>
      </c>
      <c r="B237" s="23" t="n">
        <v>234</v>
      </c>
      <c r="C237" s="6" t="n">
        <v>46220</v>
      </c>
      <c r="D237" s="4" t="s">
        <v>4984</v>
      </c>
      <c r="E237" s="4" t="s">
        <v>6977</v>
      </c>
      <c r="F237" s="7" t="n">
        <v>-44166.42</v>
      </c>
      <c r="G237" s="24" t="s">
        <v>5951</v>
      </c>
      <c r="H237" s="4" t="s">
        <v>4980</v>
      </c>
      <c r="I237" s="4"/>
    </row>
    <row r="238" customFormat="false" ht="15" hidden="false" customHeight="false" outlineLevel="0" collapsed="false">
      <c r="A238" s="4" t="s">
        <v>3969</v>
      </c>
      <c r="B238" s="23" t="n">
        <v>235</v>
      </c>
      <c r="C238" s="6" t="n">
        <v>46220</v>
      </c>
      <c r="D238" s="4" t="s">
        <v>3971</v>
      </c>
      <c r="E238" s="4" t="s">
        <v>6978</v>
      </c>
      <c r="F238" s="7" t="n">
        <v>-56485.93</v>
      </c>
      <c r="G238" s="24" t="s">
        <v>5951</v>
      </c>
      <c r="H238" s="4" t="s">
        <v>3967</v>
      </c>
      <c r="I238" s="4"/>
    </row>
    <row r="239" customFormat="false" ht="15" hidden="false" customHeight="false" outlineLevel="0" collapsed="false">
      <c r="A239" s="4" t="s">
        <v>3974</v>
      </c>
      <c r="B239" s="23" t="n">
        <v>236</v>
      </c>
      <c r="C239" s="6" t="n">
        <v>46220</v>
      </c>
      <c r="D239" s="4" t="s">
        <v>3976</v>
      </c>
      <c r="E239" s="4" t="s">
        <v>6979</v>
      </c>
      <c r="F239" s="7" t="n">
        <v>-9417.89</v>
      </c>
      <c r="G239" s="24" t="s">
        <v>5951</v>
      </c>
      <c r="H239" s="4" t="s">
        <v>3972</v>
      </c>
      <c r="I239" s="4"/>
    </row>
    <row r="240" customFormat="false" ht="15" hidden="false" customHeight="false" outlineLevel="0" collapsed="false">
      <c r="A240" s="4" t="s">
        <v>214</v>
      </c>
      <c r="B240" s="23" t="n">
        <v>237</v>
      </c>
      <c r="C240" s="6" t="n">
        <v>46220</v>
      </c>
      <c r="D240" s="4" t="s">
        <v>5906</v>
      </c>
      <c r="E240" s="4" t="s">
        <v>6980</v>
      </c>
      <c r="F240" s="7" t="n">
        <v>19757.52</v>
      </c>
      <c r="G240" s="25" t="s">
        <v>5987</v>
      </c>
      <c r="H240" s="4" t="s">
        <v>5904</v>
      </c>
      <c r="I240" s="4" t="s">
        <v>211</v>
      </c>
    </row>
    <row r="241" customFormat="false" ht="15" hidden="false" customHeight="false" outlineLevel="0" collapsed="false">
      <c r="A241" s="4" t="s">
        <v>108</v>
      </c>
      <c r="B241" s="23" t="n">
        <v>238</v>
      </c>
      <c r="C241" s="6" t="n">
        <v>46220</v>
      </c>
      <c r="D241" s="4" t="s">
        <v>110</v>
      </c>
      <c r="E241" s="4" t="s">
        <v>109</v>
      </c>
      <c r="F241" s="7" t="n">
        <v>-36473.48</v>
      </c>
      <c r="G241" s="26" t="s">
        <v>6043</v>
      </c>
      <c r="H241" s="4"/>
      <c r="I241" s="4" t="s">
        <v>107</v>
      </c>
    </row>
    <row r="242" customFormat="false" ht="15" hidden="false" customHeight="false" outlineLevel="0" collapsed="false">
      <c r="A242" s="4" t="s">
        <v>6981</v>
      </c>
      <c r="B242" s="23" t="n">
        <v>239</v>
      </c>
      <c r="C242" s="6" t="n">
        <v>46220</v>
      </c>
      <c r="D242" s="4" t="s">
        <v>6982</v>
      </c>
      <c r="E242" s="4"/>
      <c r="F242" s="7" t="n">
        <v>7520.29</v>
      </c>
      <c r="G242" s="25" t="s">
        <v>5987</v>
      </c>
      <c r="H242" s="4" t="s">
        <v>5930</v>
      </c>
      <c r="I242" s="4" t="s">
        <v>380</v>
      </c>
    </row>
    <row r="243" customFormat="false" ht="15" hidden="false" customHeight="false" outlineLevel="0" collapsed="false">
      <c r="A243" s="4" t="s">
        <v>2598</v>
      </c>
      <c r="B243" s="23" t="n">
        <v>240</v>
      </c>
      <c r="C243" s="6" t="n">
        <v>46221</v>
      </c>
      <c r="D243" s="4" t="s">
        <v>2600</v>
      </c>
      <c r="E243" s="4" t="s">
        <v>6120</v>
      </c>
      <c r="F243" s="7" t="n">
        <v>53548.47</v>
      </c>
      <c r="G243" s="24" t="s">
        <v>5951</v>
      </c>
      <c r="H243" s="4" t="s">
        <v>2596</v>
      </c>
      <c r="I243" s="4"/>
    </row>
    <row r="244" customFormat="false" ht="15" hidden="false" customHeight="false" outlineLevel="0" collapsed="false">
      <c r="A244" s="4" t="s">
        <v>3979</v>
      </c>
      <c r="B244" s="23" t="n">
        <v>241</v>
      </c>
      <c r="C244" s="6" t="n">
        <v>46221</v>
      </c>
      <c r="D244" s="4" t="s">
        <v>3981</v>
      </c>
      <c r="E244" s="4" t="s">
        <v>6136</v>
      </c>
      <c r="F244" s="7" t="n">
        <v>77724.14</v>
      </c>
      <c r="G244" s="24" t="s">
        <v>5951</v>
      </c>
      <c r="H244" s="4" t="s">
        <v>3977</v>
      </c>
      <c r="I244" s="4"/>
    </row>
    <row r="245" customFormat="false" ht="15" hidden="false" customHeight="false" outlineLevel="0" collapsed="false">
      <c r="A245" s="4" t="s">
        <v>875</v>
      </c>
      <c r="B245" s="23" t="n">
        <v>242</v>
      </c>
      <c r="C245" s="6" t="n">
        <v>46221</v>
      </c>
      <c r="D245" s="4" t="s">
        <v>877</v>
      </c>
      <c r="E245" s="4" t="s">
        <v>6116</v>
      </c>
      <c r="F245" s="7" t="n">
        <v>55563.27</v>
      </c>
      <c r="G245" s="24" t="s">
        <v>5951</v>
      </c>
      <c r="H245" s="4" t="s">
        <v>873</v>
      </c>
      <c r="I245" s="4"/>
    </row>
    <row r="246" customFormat="false" ht="15" hidden="false" customHeight="false" outlineLevel="0" collapsed="false">
      <c r="A246" s="4" t="s">
        <v>3984</v>
      </c>
      <c r="B246" s="23" t="n">
        <v>243</v>
      </c>
      <c r="C246" s="6" t="n">
        <v>46221</v>
      </c>
      <c r="D246" s="4" t="s">
        <v>3986</v>
      </c>
      <c r="E246" s="4" t="s">
        <v>6140</v>
      </c>
      <c r="F246" s="7" t="n">
        <v>19129.25</v>
      </c>
      <c r="G246" s="24" t="s">
        <v>5951</v>
      </c>
      <c r="H246" s="4" t="s">
        <v>3982</v>
      </c>
      <c r="I246" s="4"/>
    </row>
    <row r="247" customFormat="false" ht="15" hidden="false" customHeight="false" outlineLevel="0" collapsed="false">
      <c r="A247" s="4" t="s">
        <v>3989</v>
      </c>
      <c r="B247" s="23" t="n">
        <v>244</v>
      </c>
      <c r="C247" s="6" t="n">
        <v>46221</v>
      </c>
      <c r="D247" s="4" t="s">
        <v>3991</v>
      </c>
      <c r="E247" s="4" t="s">
        <v>6141</v>
      </c>
      <c r="F247" s="7" t="n">
        <v>14181.96</v>
      </c>
      <c r="G247" s="24" t="s">
        <v>5951</v>
      </c>
      <c r="H247" s="4" t="s">
        <v>3987</v>
      </c>
      <c r="I247" s="4"/>
    </row>
    <row r="248" customFormat="false" ht="15" hidden="false" customHeight="false" outlineLevel="0" collapsed="false">
      <c r="A248" s="4" t="s">
        <v>2603</v>
      </c>
      <c r="B248" s="23" t="n">
        <v>245</v>
      </c>
      <c r="C248" s="6" t="n">
        <v>46221</v>
      </c>
      <c r="D248" s="4" t="s">
        <v>2605</v>
      </c>
      <c r="E248" s="4" t="s">
        <v>6983</v>
      </c>
      <c r="F248" s="7" t="n">
        <v>-38372.07</v>
      </c>
      <c r="G248" s="24" t="s">
        <v>5951</v>
      </c>
      <c r="H248" s="4" t="s">
        <v>2601</v>
      </c>
      <c r="I248" s="4"/>
    </row>
    <row r="249" customFormat="false" ht="15" hidden="false" customHeight="false" outlineLevel="0" collapsed="false">
      <c r="A249" s="4" t="s">
        <v>5416</v>
      </c>
      <c r="B249" s="23" t="n">
        <v>246</v>
      </c>
      <c r="C249" s="6" t="n">
        <v>46221</v>
      </c>
      <c r="D249" s="4" t="s">
        <v>5418</v>
      </c>
      <c r="E249" s="4" t="s">
        <v>6984</v>
      </c>
      <c r="F249" s="7" t="n">
        <v>-15136.31</v>
      </c>
      <c r="G249" s="24" t="s">
        <v>5951</v>
      </c>
      <c r="H249" s="4" t="s">
        <v>5414</v>
      </c>
      <c r="I249" s="4"/>
    </row>
    <row r="250" customFormat="false" ht="15" hidden="false" customHeight="false" outlineLevel="0" collapsed="false">
      <c r="A250" s="4" t="s">
        <v>4987</v>
      </c>
      <c r="B250" s="23" t="n">
        <v>247</v>
      </c>
      <c r="C250" s="6" t="n">
        <v>46221</v>
      </c>
      <c r="D250" s="4" t="s">
        <v>4989</v>
      </c>
      <c r="E250" s="4" t="s">
        <v>6985</v>
      </c>
      <c r="F250" s="7" t="n">
        <v>-14198.44</v>
      </c>
      <c r="G250" s="24" t="s">
        <v>5951</v>
      </c>
      <c r="H250" s="4" t="s">
        <v>4985</v>
      </c>
      <c r="I250" s="4"/>
    </row>
    <row r="251" customFormat="false" ht="15" hidden="false" customHeight="false" outlineLevel="0" collapsed="false">
      <c r="A251" s="4" t="s">
        <v>880</v>
      </c>
      <c r="B251" s="23" t="n">
        <v>248</v>
      </c>
      <c r="C251" s="6" t="n">
        <v>46221</v>
      </c>
      <c r="D251" s="4" t="s">
        <v>882</v>
      </c>
      <c r="E251" s="4" t="s">
        <v>6986</v>
      </c>
      <c r="F251" s="7" t="n">
        <v>-20799.04</v>
      </c>
      <c r="G251" s="24" t="s">
        <v>5951</v>
      </c>
      <c r="H251" s="4" t="s">
        <v>878</v>
      </c>
      <c r="I251" s="4"/>
    </row>
    <row r="252" customFormat="false" ht="15" hidden="false" customHeight="false" outlineLevel="0" collapsed="false">
      <c r="A252" s="4" t="s">
        <v>3994</v>
      </c>
      <c r="B252" s="23" t="n">
        <v>249</v>
      </c>
      <c r="C252" s="6" t="n">
        <v>46221</v>
      </c>
      <c r="D252" s="4" t="s">
        <v>3996</v>
      </c>
      <c r="E252" s="4" t="s">
        <v>6987</v>
      </c>
      <c r="F252" s="7" t="n">
        <v>-26371.11</v>
      </c>
      <c r="G252" s="24" t="s">
        <v>5951</v>
      </c>
      <c r="H252" s="4" t="s">
        <v>3992</v>
      </c>
      <c r="I252" s="4"/>
    </row>
    <row r="253" customFormat="false" ht="15" hidden="false" customHeight="false" outlineLevel="0" collapsed="false">
      <c r="A253" s="4" t="s">
        <v>6988</v>
      </c>
      <c r="B253" s="23" t="n">
        <v>250</v>
      </c>
      <c r="C253" s="6" t="n">
        <v>46221</v>
      </c>
      <c r="D253" s="4" t="s">
        <v>6989</v>
      </c>
      <c r="E253" s="4"/>
      <c r="F253" s="7" t="n">
        <v>2288.56</v>
      </c>
      <c r="G253" s="25" t="s">
        <v>5987</v>
      </c>
      <c r="H253" s="4" t="s">
        <v>5933</v>
      </c>
      <c r="I253" s="4" t="s">
        <v>385</v>
      </c>
    </row>
    <row r="254" customFormat="false" ht="15" hidden="false" customHeight="false" outlineLevel="0" collapsed="false">
      <c r="A254" s="4" t="s">
        <v>6990</v>
      </c>
      <c r="B254" s="23" t="n">
        <v>251</v>
      </c>
      <c r="C254" s="6" t="n">
        <v>46221</v>
      </c>
      <c r="D254" s="4" t="s">
        <v>5932</v>
      </c>
      <c r="E254" s="4"/>
      <c r="F254" s="7" t="n">
        <v>3036.45</v>
      </c>
      <c r="G254" s="25" t="s">
        <v>5987</v>
      </c>
      <c r="H254" s="4" t="s">
        <v>5930</v>
      </c>
      <c r="I254" s="4" t="s">
        <v>380</v>
      </c>
    </row>
    <row r="255" customFormat="false" ht="15" hidden="false" customHeight="false" outlineLevel="0" collapsed="false">
      <c r="A255" s="4" t="s">
        <v>6991</v>
      </c>
      <c r="B255" s="23" t="n">
        <v>252</v>
      </c>
      <c r="C255" s="6" t="n">
        <v>46221</v>
      </c>
      <c r="D255" s="4" t="s">
        <v>6992</v>
      </c>
      <c r="E255" s="4"/>
      <c r="F255" s="7" t="n">
        <v>5579.79</v>
      </c>
      <c r="G255" s="25" t="s">
        <v>5987</v>
      </c>
      <c r="H255" s="4" t="s">
        <v>5930</v>
      </c>
      <c r="I255" s="4" t="s">
        <v>380</v>
      </c>
    </row>
    <row r="256" customFormat="false" ht="15" hidden="false" customHeight="false" outlineLevel="0" collapsed="false">
      <c r="A256" s="4" t="s">
        <v>885</v>
      </c>
      <c r="B256" s="23" t="n">
        <v>253</v>
      </c>
      <c r="C256" s="6" t="n">
        <v>46222</v>
      </c>
      <c r="D256" s="4" t="s">
        <v>887</v>
      </c>
      <c r="E256" s="4" t="s">
        <v>6122</v>
      </c>
      <c r="F256" s="7" t="n">
        <v>31690.41</v>
      </c>
      <c r="G256" s="24" t="s">
        <v>5951</v>
      </c>
      <c r="H256" s="4" t="s">
        <v>883</v>
      </c>
      <c r="I256" s="4"/>
    </row>
    <row r="257" customFormat="false" ht="15" hidden="false" customHeight="false" outlineLevel="0" collapsed="false">
      <c r="A257" s="4" t="s">
        <v>890</v>
      </c>
      <c r="B257" s="23" t="n">
        <v>254</v>
      </c>
      <c r="C257" s="6" t="n">
        <v>46222</v>
      </c>
      <c r="D257" s="4" t="s">
        <v>892</v>
      </c>
      <c r="E257" s="4" t="s">
        <v>6123</v>
      </c>
      <c r="F257" s="7" t="n">
        <v>59921.06</v>
      </c>
      <c r="G257" s="24" t="s">
        <v>5951</v>
      </c>
      <c r="H257" s="4" t="s">
        <v>888</v>
      </c>
      <c r="I257" s="4"/>
    </row>
    <row r="258" customFormat="false" ht="15" hidden="false" customHeight="false" outlineLevel="0" collapsed="false">
      <c r="A258" s="4" t="s">
        <v>895</v>
      </c>
      <c r="B258" s="23" t="n">
        <v>255</v>
      </c>
      <c r="C258" s="6" t="n">
        <v>46222</v>
      </c>
      <c r="D258" s="4" t="s">
        <v>897</v>
      </c>
      <c r="E258" s="4" t="s">
        <v>6993</v>
      </c>
      <c r="F258" s="7" t="n">
        <v>36921.19</v>
      </c>
      <c r="G258" s="24" t="s">
        <v>5951</v>
      </c>
      <c r="H258" s="4" t="s">
        <v>893</v>
      </c>
      <c r="I258" s="4"/>
    </row>
    <row r="259" customFormat="false" ht="15" hidden="false" customHeight="false" outlineLevel="0" collapsed="false">
      <c r="A259" s="4" t="s">
        <v>900</v>
      </c>
      <c r="B259" s="23" t="n">
        <v>256</v>
      </c>
      <c r="C259" s="6" t="n">
        <v>46222</v>
      </c>
      <c r="D259" s="4" t="s">
        <v>902</v>
      </c>
      <c r="E259" s="4" t="s">
        <v>6994</v>
      </c>
      <c r="F259" s="7" t="n">
        <v>12339.1</v>
      </c>
      <c r="G259" s="24" t="s">
        <v>5951</v>
      </c>
      <c r="H259" s="4" t="s">
        <v>898</v>
      </c>
      <c r="I259" s="4"/>
    </row>
    <row r="260" customFormat="false" ht="15" hidden="false" customHeight="false" outlineLevel="0" collapsed="false">
      <c r="A260" s="4" t="s">
        <v>905</v>
      </c>
      <c r="B260" s="23" t="n">
        <v>257</v>
      </c>
      <c r="C260" s="6" t="n">
        <v>46222</v>
      </c>
      <c r="D260" s="4" t="s">
        <v>907</v>
      </c>
      <c r="E260" s="4" t="s">
        <v>6995</v>
      </c>
      <c r="F260" s="7" t="n">
        <v>47590.15</v>
      </c>
      <c r="G260" s="24" t="s">
        <v>5951</v>
      </c>
      <c r="H260" s="4" t="s">
        <v>903</v>
      </c>
      <c r="I260" s="4"/>
    </row>
    <row r="261" customFormat="false" ht="15" hidden="false" customHeight="false" outlineLevel="0" collapsed="false">
      <c r="A261" s="4" t="s">
        <v>910</v>
      </c>
      <c r="B261" s="23" t="n">
        <v>258</v>
      </c>
      <c r="C261" s="6" t="n">
        <v>46222</v>
      </c>
      <c r="D261" s="4" t="s">
        <v>912</v>
      </c>
      <c r="E261" s="4" t="s">
        <v>6125</v>
      </c>
      <c r="F261" s="7" t="n">
        <v>68646.79</v>
      </c>
      <c r="G261" s="24" t="s">
        <v>5951</v>
      </c>
      <c r="H261" s="4" t="s">
        <v>908</v>
      </c>
      <c r="I261" s="4"/>
    </row>
    <row r="262" customFormat="false" ht="15" hidden="false" customHeight="false" outlineLevel="0" collapsed="false">
      <c r="A262" s="4" t="s">
        <v>915</v>
      </c>
      <c r="B262" s="23" t="n">
        <v>259</v>
      </c>
      <c r="C262" s="6" t="n">
        <v>46222</v>
      </c>
      <c r="D262" s="4" t="s">
        <v>917</v>
      </c>
      <c r="E262" s="4" t="s">
        <v>6126</v>
      </c>
      <c r="F262" s="7" t="n">
        <v>24938.09</v>
      </c>
      <c r="G262" s="24" t="s">
        <v>5951</v>
      </c>
      <c r="H262" s="4" t="s">
        <v>913</v>
      </c>
      <c r="I262" s="4"/>
    </row>
    <row r="263" customFormat="false" ht="15" hidden="false" customHeight="false" outlineLevel="0" collapsed="false">
      <c r="A263" s="4" t="s">
        <v>3999</v>
      </c>
      <c r="B263" s="23" t="n">
        <v>260</v>
      </c>
      <c r="C263" s="6" t="n">
        <v>46222</v>
      </c>
      <c r="D263" s="4" t="s">
        <v>4001</v>
      </c>
      <c r="E263" s="4" t="s">
        <v>6151</v>
      </c>
      <c r="F263" s="7" t="n">
        <v>82220.3</v>
      </c>
      <c r="G263" s="24" t="s">
        <v>5951</v>
      </c>
      <c r="H263" s="4" t="s">
        <v>3997</v>
      </c>
      <c r="I263" s="4"/>
    </row>
    <row r="264" customFormat="false" ht="15" hidden="false" customHeight="false" outlineLevel="0" collapsed="false">
      <c r="A264" s="4" t="s">
        <v>2608</v>
      </c>
      <c r="B264" s="23" t="n">
        <v>261</v>
      </c>
      <c r="C264" s="6" t="n">
        <v>46222</v>
      </c>
      <c r="D264" s="4" t="s">
        <v>2610</v>
      </c>
      <c r="E264" s="4" t="s">
        <v>6996</v>
      </c>
      <c r="F264" s="7" t="n">
        <v>57302.83</v>
      </c>
      <c r="G264" s="24" t="s">
        <v>5951</v>
      </c>
      <c r="H264" s="4" t="s">
        <v>2606</v>
      </c>
      <c r="I264" s="4"/>
    </row>
    <row r="265" customFormat="false" ht="15" hidden="false" customHeight="false" outlineLevel="0" collapsed="false">
      <c r="A265" s="4" t="s">
        <v>4992</v>
      </c>
      <c r="B265" s="23" t="n">
        <v>262</v>
      </c>
      <c r="C265" s="6" t="n">
        <v>46222</v>
      </c>
      <c r="D265" s="4" t="s">
        <v>4994</v>
      </c>
      <c r="E265" s="4" t="s">
        <v>6997</v>
      </c>
      <c r="F265" s="7" t="n">
        <v>-31102.99</v>
      </c>
      <c r="G265" s="24" t="s">
        <v>5951</v>
      </c>
      <c r="H265" s="4" t="s">
        <v>4990</v>
      </c>
      <c r="I265" s="4"/>
    </row>
    <row r="266" customFormat="false" ht="15" hidden="false" customHeight="false" outlineLevel="0" collapsed="false">
      <c r="A266" s="4" t="s">
        <v>4997</v>
      </c>
      <c r="B266" s="23" t="n">
        <v>263</v>
      </c>
      <c r="C266" s="6" t="n">
        <v>46222</v>
      </c>
      <c r="D266" s="4" t="s">
        <v>4999</v>
      </c>
      <c r="E266" s="4" t="s">
        <v>6998</v>
      </c>
      <c r="F266" s="7" t="n">
        <v>-18312.65</v>
      </c>
      <c r="G266" s="24" t="s">
        <v>5951</v>
      </c>
      <c r="H266" s="4" t="s">
        <v>4995</v>
      </c>
      <c r="I266" s="4"/>
    </row>
    <row r="267" customFormat="false" ht="15" hidden="false" customHeight="false" outlineLevel="0" collapsed="false">
      <c r="A267" s="4" t="s">
        <v>5002</v>
      </c>
      <c r="B267" s="23" t="n">
        <v>264</v>
      </c>
      <c r="C267" s="6" t="n">
        <v>46222</v>
      </c>
      <c r="D267" s="4" t="s">
        <v>5004</v>
      </c>
      <c r="E267" s="4" t="s">
        <v>6999</v>
      </c>
      <c r="F267" s="7" t="n">
        <v>-40339.15</v>
      </c>
      <c r="G267" s="24" t="s">
        <v>5951</v>
      </c>
      <c r="H267" s="4" t="s">
        <v>5000</v>
      </c>
      <c r="I267" s="4"/>
    </row>
    <row r="268" customFormat="false" ht="15" hidden="false" customHeight="false" outlineLevel="0" collapsed="false">
      <c r="A268" s="4" t="s">
        <v>5421</v>
      </c>
      <c r="B268" s="23" t="n">
        <v>265</v>
      </c>
      <c r="C268" s="6" t="n">
        <v>46222</v>
      </c>
      <c r="D268" s="4" t="s">
        <v>5423</v>
      </c>
      <c r="E268" s="4" t="s">
        <v>7000</v>
      </c>
      <c r="F268" s="7" t="n">
        <v>-14663.25</v>
      </c>
      <c r="G268" s="24" t="s">
        <v>5951</v>
      </c>
      <c r="H268" s="4" t="s">
        <v>5419</v>
      </c>
      <c r="I268" s="4"/>
    </row>
    <row r="269" customFormat="false" ht="15" hidden="false" customHeight="false" outlineLevel="0" collapsed="false">
      <c r="A269" s="4" t="s">
        <v>5426</v>
      </c>
      <c r="B269" s="23" t="n">
        <v>266</v>
      </c>
      <c r="C269" s="6" t="n">
        <v>46222</v>
      </c>
      <c r="D269" s="4" t="s">
        <v>173</v>
      </c>
      <c r="E269" s="4" t="s">
        <v>172</v>
      </c>
      <c r="F269" s="7" t="n">
        <v>-52959.94</v>
      </c>
      <c r="G269" s="24" t="s">
        <v>5951</v>
      </c>
      <c r="H269" s="4" t="s">
        <v>5424</v>
      </c>
      <c r="I269" s="4"/>
    </row>
    <row r="270" customFormat="false" ht="15" hidden="false" customHeight="false" outlineLevel="0" collapsed="false">
      <c r="A270" s="4" t="s">
        <v>920</v>
      </c>
      <c r="B270" s="23" t="n">
        <v>267</v>
      </c>
      <c r="C270" s="6" t="n">
        <v>46222</v>
      </c>
      <c r="D270" s="4" t="s">
        <v>922</v>
      </c>
      <c r="E270" s="4" t="s">
        <v>7001</v>
      </c>
      <c r="F270" s="7" t="n">
        <v>-34456.98</v>
      </c>
      <c r="G270" s="24" t="s">
        <v>5951</v>
      </c>
      <c r="H270" s="4" t="s">
        <v>918</v>
      </c>
      <c r="I270" s="4"/>
    </row>
    <row r="271" customFormat="false" ht="15" hidden="false" customHeight="false" outlineLevel="0" collapsed="false">
      <c r="A271" s="4" t="s">
        <v>171</v>
      </c>
      <c r="B271" s="23" t="n">
        <v>268</v>
      </c>
      <c r="C271" s="6" t="n">
        <v>46222</v>
      </c>
      <c r="D271" s="4" t="s">
        <v>173</v>
      </c>
      <c r="E271" s="4" t="s">
        <v>172</v>
      </c>
      <c r="F271" s="7" t="n">
        <v>-52959.94</v>
      </c>
      <c r="G271" s="26" t="s">
        <v>6043</v>
      </c>
      <c r="H271" s="4"/>
      <c r="I271" s="4" t="s">
        <v>169</v>
      </c>
    </row>
    <row r="272" customFormat="false" ht="15" hidden="false" customHeight="false" outlineLevel="0" collapsed="false">
      <c r="A272" s="4" t="s">
        <v>7002</v>
      </c>
      <c r="B272" s="23" t="n">
        <v>269</v>
      </c>
      <c r="C272" s="6" t="n">
        <v>46222</v>
      </c>
      <c r="D272" s="4" t="s">
        <v>5935</v>
      </c>
      <c r="E272" s="4"/>
      <c r="F272" s="7" t="n">
        <v>6327.74</v>
      </c>
      <c r="G272" s="25" t="s">
        <v>5987</v>
      </c>
      <c r="H272" s="4" t="s">
        <v>5933</v>
      </c>
      <c r="I272" s="4" t="s">
        <v>385</v>
      </c>
    </row>
    <row r="273" customFormat="false" ht="15" hidden="false" customHeight="false" outlineLevel="0" collapsed="false">
      <c r="A273" s="4" t="s">
        <v>7003</v>
      </c>
      <c r="B273" s="23" t="n">
        <v>270</v>
      </c>
      <c r="C273" s="6" t="n">
        <v>46222</v>
      </c>
      <c r="D273" s="4" t="s">
        <v>7004</v>
      </c>
      <c r="E273" s="4"/>
      <c r="F273" s="7" t="n">
        <v>6842.87</v>
      </c>
      <c r="G273" s="25" t="s">
        <v>5987</v>
      </c>
      <c r="H273" s="4" t="s">
        <v>5933</v>
      </c>
      <c r="I273" s="4" t="s">
        <v>385</v>
      </c>
    </row>
    <row r="274" customFormat="false" ht="15" hidden="false" customHeight="false" outlineLevel="0" collapsed="false">
      <c r="A274" s="4" t="s">
        <v>2613</v>
      </c>
      <c r="B274" s="23" t="n">
        <v>271</v>
      </c>
      <c r="C274" s="6" t="n">
        <v>46223</v>
      </c>
      <c r="D274" s="4" t="s">
        <v>2615</v>
      </c>
      <c r="E274" s="4" t="s">
        <v>6146</v>
      </c>
      <c r="F274" s="7" t="n">
        <v>32792.61</v>
      </c>
      <c r="G274" s="24" t="s">
        <v>5951</v>
      </c>
      <c r="H274" s="4" t="s">
        <v>2611</v>
      </c>
      <c r="I274" s="4"/>
    </row>
    <row r="275" customFormat="false" ht="15" hidden="false" customHeight="false" outlineLevel="0" collapsed="false">
      <c r="A275" s="4" t="s">
        <v>2618</v>
      </c>
      <c r="B275" s="23" t="n">
        <v>272</v>
      </c>
      <c r="C275" s="6" t="n">
        <v>46223</v>
      </c>
      <c r="D275" s="4" t="s">
        <v>2620</v>
      </c>
      <c r="E275" s="4" t="s">
        <v>6147</v>
      </c>
      <c r="F275" s="7" t="n">
        <v>72656.97</v>
      </c>
      <c r="G275" s="24" t="s">
        <v>5951</v>
      </c>
      <c r="H275" s="4" t="s">
        <v>2616</v>
      </c>
      <c r="I275" s="4"/>
    </row>
    <row r="276" customFormat="false" ht="15" hidden="false" customHeight="false" outlineLevel="0" collapsed="false">
      <c r="A276" s="4" t="s">
        <v>925</v>
      </c>
      <c r="B276" s="23" t="n">
        <v>273</v>
      </c>
      <c r="C276" s="6" t="n">
        <v>46223</v>
      </c>
      <c r="D276" s="4" t="s">
        <v>927</v>
      </c>
      <c r="E276" s="4" t="s">
        <v>7005</v>
      </c>
      <c r="F276" s="7" t="n">
        <v>58987.03</v>
      </c>
      <c r="G276" s="24" t="s">
        <v>5951</v>
      </c>
      <c r="H276" s="4" t="s">
        <v>923</v>
      </c>
      <c r="I276" s="4"/>
    </row>
    <row r="277" customFormat="false" ht="15" hidden="false" customHeight="false" outlineLevel="0" collapsed="false">
      <c r="A277" s="4" t="s">
        <v>2623</v>
      </c>
      <c r="B277" s="23" t="n">
        <v>274</v>
      </c>
      <c r="C277" s="6" t="n">
        <v>46223</v>
      </c>
      <c r="D277" s="4" t="s">
        <v>2625</v>
      </c>
      <c r="E277" s="4" t="s">
        <v>7006</v>
      </c>
      <c r="F277" s="7" t="n">
        <v>85526.43</v>
      </c>
      <c r="G277" s="24" t="s">
        <v>5951</v>
      </c>
      <c r="H277" s="4" t="s">
        <v>2621</v>
      </c>
      <c r="I277" s="4"/>
    </row>
    <row r="278" customFormat="false" ht="15" hidden="false" customHeight="false" outlineLevel="0" collapsed="false">
      <c r="A278" s="4" t="s">
        <v>4004</v>
      </c>
      <c r="B278" s="23" t="n">
        <v>275</v>
      </c>
      <c r="C278" s="6" t="n">
        <v>46223</v>
      </c>
      <c r="D278" s="4" t="s">
        <v>4006</v>
      </c>
      <c r="E278" s="4" t="s">
        <v>6161</v>
      </c>
      <c r="F278" s="7" t="n">
        <v>81498.77</v>
      </c>
      <c r="G278" s="24" t="s">
        <v>5951</v>
      </c>
      <c r="H278" s="4" t="s">
        <v>4002</v>
      </c>
      <c r="I278" s="4"/>
    </row>
    <row r="279" customFormat="false" ht="15" hidden="false" customHeight="false" outlineLevel="0" collapsed="false">
      <c r="A279" s="4" t="s">
        <v>930</v>
      </c>
      <c r="B279" s="23" t="n">
        <v>276</v>
      </c>
      <c r="C279" s="6" t="n">
        <v>46223</v>
      </c>
      <c r="D279" s="4" t="s">
        <v>932</v>
      </c>
      <c r="E279" s="4" t="s">
        <v>6137</v>
      </c>
      <c r="F279" s="7" t="n">
        <v>36047.11</v>
      </c>
      <c r="G279" s="24" t="s">
        <v>5951</v>
      </c>
      <c r="H279" s="4" t="s">
        <v>928</v>
      </c>
      <c r="I279" s="4"/>
    </row>
    <row r="280" customFormat="false" ht="15" hidden="false" customHeight="false" outlineLevel="0" collapsed="false">
      <c r="A280" s="4" t="s">
        <v>935</v>
      </c>
      <c r="B280" s="23" t="n">
        <v>277</v>
      </c>
      <c r="C280" s="6" t="n">
        <v>46223</v>
      </c>
      <c r="D280" s="4" t="s">
        <v>937</v>
      </c>
      <c r="E280" s="4" t="s">
        <v>6138</v>
      </c>
      <c r="F280" s="7" t="n">
        <v>44580.3</v>
      </c>
      <c r="G280" s="24" t="s">
        <v>5951</v>
      </c>
      <c r="H280" s="4" t="s">
        <v>933</v>
      </c>
      <c r="I280" s="4"/>
    </row>
    <row r="281" customFormat="false" ht="15" hidden="false" customHeight="false" outlineLevel="0" collapsed="false">
      <c r="A281" s="4" t="s">
        <v>940</v>
      </c>
      <c r="B281" s="23" t="n">
        <v>278</v>
      </c>
      <c r="C281" s="6" t="n">
        <v>46223</v>
      </c>
      <c r="D281" s="4" t="s">
        <v>942</v>
      </c>
      <c r="E281" s="4" t="s">
        <v>6139</v>
      </c>
      <c r="F281" s="7" t="n">
        <v>22529.48</v>
      </c>
      <c r="G281" s="24" t="s">
        <v>5951</v>
      </c>
      <c r="H281" s="4" t="s">
        <v>938</v>
      </c>
      <c r="I281" s="4"/>
    </row>
    <row r="282" customFormat="false" ht="15" hidden="false" customHeight="false" outlineLevel="0" collapsed="false">
      <c r="A282" s="4" t="s">
        <v>2628</v>
      </c>
      <c r="B282" s="23" t="n">
        <v>279</v>
      </c>
      <c r="C282" s="6" t="n">
        <v>46223</v>
      </c>
      <c r="D282" s="4" t="s">
        <v>2630</v>
      </c>
      <c r="E282" s="4" t="s">
        <v>6150</v>
      </c>
      <c r="F282" s="7" t="n">
        <v>43385.33</v>
      </c>
      <c r="G282" s="24" t="s">
        <v>5951</v>
      </c>
      <c r="H282" s="4" t="s">
        <v>2626</v>
      </c>
      <c r="I282" s="4"/>
    </row>
    <row r="283" customFormat="false" ht="15" hidden="false" customHeight="false" outlineLevel="0" collapsed="false">
      <c r="A283" s="4" t="s">
        <v>2633</v>
      </c>
      <c r="B283" s="23" t="n">
        <v>280</v>
      </c>
      <c r="C283" s="6" t="n">
        <v>46223</v>
      </c>
      <c r="D283" s="4" t="s">
        <v>2635</v>
      </c>
      <c r="E283" s="4" t="s">
        <v>6152</v>
      </c>
      <c r="F283" s="7" t="n">
        <v>94016.22</v>
      </c>
      <c r="G283" s="24" t="s">
        <v>5951</v>
      </c>
      <c r="H283" s="4" t="s">
        <v>2631</v>
      </c>
      <c r="I283" s="4"/>
    </row>
    <row r="284" customFormat="false" ht="15" hidden="false" customHeight="false" outlineLevel="0" collapsed="false">
      <c r="A284" s="4" t="s">
        <v>2638</v>
      </c>
      <c r="B284" s="23" t="n">
        <v>281</v>
      </c>
      <c r="C284" s="6" t="n">
        <v>46223</v>
      </c>
      <c r="D284" s="4" t="s">
        <v>2640</v>
      </c>
      <c r="E284" s="4" t="s">
        <v>7007</v>
      </c>
      <c r="F284" s="7" t="n">
        <v>-20814.56</v>
      </c>
      <c r="G284" s="24" t="s">
        <v>5951</v>
      </c>
      <c r="H284" s="4" t="s">
        <v>2636</v>
      </c>
      <c r="I284" s="4"/>
    </row>
    <row r="285" customFormat="false" ht="15" hidden="false" customHeight="false" outlineLevel="0" collapsed="false">
      <c r="A285" s="4" t="s">
        <v>2643</v>
      </c>
      <c r="B285" s="23" t="n">
        <v>282</v>
      </c>
      <c r="C285" s="6" t="n">
        <v>46223</v>
      </c>
      <c r="D285" s="4" t="s">
        <v>2645</v>
      </c>
      <c r="E285" s="4" t="s">
        <v>7008</v>
      </c>
      <c r="F285" s="7" t="n">
        <v>-59799.67</v>
      </c>
      <c r="G285" s="24" t="s">
        <v>5951</v>
      </c>
      <c r="H285" s="4" t="s">
        <v>2641</v>
      </c>
      <c r="I285" s="4"/>
    </row>
    <row r="286" customFormat="false" ht="15" hidden="false" customHeight="false" outlineLevel="0" collapsed="false">
      <c r="A286" s="4" t="s">
        <v>2648</v>
      </c>
      <c r="B286" s="23" t="n">
        <v>283</v>
      </c>
      <c r="C286" s="6" t="n">
        <v>46223</v>
      </c>
      <c r="D286" s="4" t="s">
        <v>2650</v>
      </c>
      <c r="E286" s="4" t="s">
        <v>7009</v>
      </c>
      <c r="F286" s="7" t="n">
        <v>-6060.2</v>
      </c>
      <c r="G286" s="24" t="s">
        <v>5951</v>
      </c>
      <c r="H286" s="4" t="s">
        <v>2646</v>
      </c>
      <c r="I286" s="4"/>
    </row>
    <row r="287" customFormat="false" ht="15" hidden="false" customHeight="false" outlineLevel="0" collapsed="false">
      <c r="A287" s="4" t="s">
        <v>5007</v>
      </c>
      <c r="B287" s="23" t="n">
        <v>284</v>
      </c>
      <c r="C287" s="6" t="n">
        <v>46223</v>
      </c>
      <c r="D287" s="4" t="s">
        <v>5009</v>
      </c>
      <c r="E287" s="4" t="s">
        <v>7010</v>
      </c>
      <c r="F287" s="7" t="n">
        <v>-54740.62</v>
      </c>
      <c r="G287" s="24" t="s">
        <v>5951</v>
      </c>
      <c r="H287" s="4" t="s">
        <v>5005</v>
      </c>
      <c r="I287" s="4"/>
    </row>
    <row r="288" customFormat="false" ht="15" hidden="false" customHeight="false" outlineLevel="0" collapsed="false">
      <c r="A288" s="4" t="s">
        <v>5430</v>
      </c>
      <c r="B288" s="23" t="n">
        <v>285</v>
      </c>
      <c r="C288" s="6" t="n">
        <v>46223</v>
      </c>
      <c r="D288" s="4" t="s">
        <v>5432</v>
      </c>
      <c r="E288" s="4" t="s">
        <v>7011</v>
      </c>
      <c r="F288" s="7" t="n">
        <v>-7820.52</v>
      </c>
      <c r="G288" s="24" t="s">
        <v>5951</v>
      </c>
      <c r="H288" s="4" t="s">
        <v>5428</v>
      </c>
      <c r="I288" s="4"/>
    </row>
    <row r="289" customFormat="false" ht="15" hidden="false" customHeight="false" outlineLevel="0" collapsed="false">
      <c r="A289" s="4" t="s">
        <v>5813</v>
      </c>
      <c r="B289" s="23" t="n">
        <v>286</v>
      </c>
      <c r="C289" s="6" t="n">
        <v>46223</v>
      </c>
      <c r="D289" s="4" t="s">
        <v>5815</v>
      </c>
      <c r="E289" s="4"/>
      <c r="F289" s="7" t="n">
        <v>-8544.01</v>
      </c>
      <c r="G289" s="24" t="s">
        <v>5951</v>
      </c>
      <c r="H289" s="4" t="s">
        <v>5811</v>
      </c>
      <c r="I289" s="4"/>
    </row>
    <row r="290" customFormat="false" ht="15" hidden="false" customHeight="false" outlineLevel="0" collapsed="false">
      <c r="A290" s="4" t="s">
        <v>352</v>
      </c>
      <c r="B290" s="23" t="n">
        <v>287</v>
      </c>
      <c r="C290" s="6" t="n">
        <v>46223</v>
      </c>
      <c r="D290" s="4" t="s">
        <v>5867</v>
      </c>
      <c r="E290" s="4" t="s">
        <v>353</v>
      </c>
      <c r="F290" s="7" t="n">
        <v>52648.86</v>
      </c>
      <c r="G290" s="25" t="s">
        <v>5987</v>
      </c>
      <c r="H290" s="4" t="s">
        <v>5865</v>
      </c>
      <c r="I290" s="4" t="s">
        <v>350</v>
      </c>
    </row>
    <row r="291" customFormat="false" ht="15" hidden="false" customHeight="false" outlineLevel="0" collapsed="false">
      <c r="A291" s="4" t="s">
        <v>945</v>
      </c>
      <c r="B291" s="23" t="n">
        <v>288</v>
      </c>
      <c r="C291" s="6" t="n">
        <v>46224</v>
      </c>
      <c r="D291" s="4" t="s">
        <v>947</v>
      </c>
      <c r="E291" s="4" t="s">
        <v>6148</v>
      </c>
      <c r="F291" s="7" t="n">
        <v>90105.32</v>
      </c>
      <c r="G291" s="24" t="s">
        <v>5951</v>
      </c>
      <c r="H291" s="4" t="s">
        <v>943</v>
      </c>
      <c r="I291" s="4"/>
    </row>
    <row r="292" customFormat="false" ht="15" hidden="false" customHeight="false" outlineLevel="0" collapsed="false">
      <c r="A292" s="4" t="s">
        <v>2653</v>
      </c>
      <c r="B292" s="23" t="n">
        <v>289</v>
      </c>
      <c r="C292" s="6" t="n">
        <v>46224</v>
      </c>
      <c r="D292" s="4" t="s">
        <v>2655</v>
      </c>
      <c r="E292" s="4" t="s">
        <v>6160</v>
      </c>
      <c r="F292" s="7" t="n">
        <v>79584.91</v>
      </c>
      <c r="G292" s="24" t="s">
        <v>5951</v>
      </c>
      <c r="H292" s="4" t="s">
        <v>2651</v>
      </c>
      <c r="I292" s="4"/>
    </row>
    <row r="293" customFormat="false" ht="15" hidden="false" customHeight="false" outlineLevel="0" collapsed="false">
      <c r="A293" s="4" t="s">
        <v>2658</v>
      </c>
      <c r="B293" s="23" t="n">
        <v>290</v>
      </c>
      <c r="C293" s="6" t="n">
        <v>46224</v>
      </c>
      <c r="D293" s="4" t="s">
        <v>2660</v>
      </c>
      <c r="E293" s="4" t="s">
        <v>6162</v>
      </c>
      <c r="F293" s="7" t="n">
        <v>11386.04</v>
      </c>
      <c r="G293" s="24" t="s">
        <v>5951</v>
      </c>
      <c r="H293" s="4" t="s">
        <v>2656</v>
      </c>
      <c r="I293" s="4"/>
    </row>
    <row r="294" customFormat="false" ht="15" hidden="false" customHeight="false" outlineLevel="0" collapsed="false">
      <c r="A294" s="4" t="s">
        <v>950</v>
      </c>
      <c r="B294" s="23" t="n">
        <v>291</v>
      </c>
      <c r="C294" s="6" t="n">
        <v>46224</v>
      </c>
      <c r="D294" s="4" t="s">
        <v>952</v>
      </c>
      <c r="E294" s="4" t="s">
        <v>7012</v>
      </c>
      <c r="F294" s="7" t="n">
        <v>36554.9</v>
      </c>
      <c r="G294" s="24" t="s">
        <v>5951</v>
      </c>
      <c r="H294" s="4" t="s">
        <v>948</v>
      </c>
      <c r="I294" s="4"/>
    </row>
    <row r="295" customFormat="false" ht="15" hidden="false" customHeight="false" outlineLevel="0" collapsed="false">
      <c r="A295" s="4" t="s">
        <v>4009</v>
      </c>
      <c r="B295" s="23" t="n">
        <v>292</v>
      </c>
      <c r="C295" s="6" t="n">
        <v>46224</v>
      </c>
      <c r="D295" s="4" t="s">
        <v>4011</v>
      </c>
      <c r="E295" s="4" t="s">
        <v>7013</v>
      </c>
      <c r="F295" s="7" t="n">
        <v>35010.93</v>
      </c>
      <c r="G295" s="24" t="s">
        <v>5951</v>
      </c>
      <c r="H295" s="4" t="s">
        <v>4007</v>
      </c>
      <c r="I295" s="4"/>
    </row>
    <row r="296" customFormat="false" ht="15" hidden="false" customHeight="false" outlineLevel="0" collapsed="false">
      <c r="A296" s="4" t="s">
        <v>955</v>
      </c>
      <c r="B296" s="23" t="n">
        <v>293</v>
      </c>
      <c r="C296" s="6" t="n">
        <v>46224</v>
      </c>
      <c r="D296" s="4" t="s">
        <v>957</v>
      </c>
      <c r="E296" s="4" t="s">
        <v>6149</v>
      </c>
      <c r="F296" s="7" t="n">
        <v>60071.55</v>
      </c>
      <c r="G296" s="24" t="s">
        <v>5951</v>
      </c>
      <c r="H296" s="4" t="s">
        <v>953</v>
      </c>
      <c r="I296" s="4"/>
    </row>
    <row r="297" customFormat="false" ht="15" hidden="false" customHeight="false" outlineLevel="0" collapsed="false">
      <c r="A297" s="4" t="s">
        <v>2663</v>
      </c>
      <c r="B297" s="23" t="n">
        <v>294</v>
      </c>
      <c r="C297" s="6" t="n">
        <v>46224</v>
      </c>
      <c r="D297" s="4" t="s">
        <v>2665</v>
      </c>
      <c r="E297" s="4" t="s">
        <v>7014</v>
      </c>
      <c r="F297" s="7" t="n">
        <v>21655.43</v>
      </c>
      <c r="G297" s="24" t="s">
        <v>5951</v>
      </c>
      <c r="H297" s="4" t="s">
        <v>2661</v>
      </c>
      <c r="I297" s="4"/>
    </row>
    <row r="298" customFormat="false" ht="15" hidden="false" customHeight="false" outlineLevel="0" collapsed="false">
      <c r="A298" s="4" t="s">
        <v>2668</v>
      </c>
      <c r="B298" s="23" t="n">
        <v>295</v>
      </c>
      <c r="C298" s="6" t="n">
        <v>46224</v>
      </c>
      <c r="D298" s="4" t="s">
        <v>2670</v>
      </c>
      <c r="E298" s="4" t="s">
        <v>6163</v>
      </c>
      <c r="F298" s="7" t="n">
        <v>60221.16</v>
      </c>
      <c r="G298" s="24" t="s">
        <v>5951</v>
      </c>
      <c r="H298" s="4" t="s">
        <v>2666</v>
      </c>
      <c r="I298" s="4"/>
    </row>
    <row r="299" customFormat="false" ht="15" hidden="false" customHeight="false" outlineLevel="0" collapsed="false">
      <c r="A299" s="4" t="s">
        <v>2673</v>
      </c>
      <c r="B299" s="23" t="n">
        <v>296</v>
      </c>
      <c r="C299" s="6" t="n">
        <v>46224</v>
      </c>
      <c r="D299" s="4" t="s">
        <v>2675</v>
      </c>
      <c r="E299" s="4" t="s">
        <v>6164</v>
      </c>
      <c r="F299" s="7" t="n">
        <v>44247.6</v>
      </c>
      <c r="G299" s="24" t="s">
        <v>5951</v>
      </c>
      <c r="H299" s="4" t="s">
        <v>2671</v>
      </c>
      <c r="I299" s="4"/>
    </row>
    <row r="300" customFormat="false" ht="15" hidden="false" customHeight="false" outlineLevel="0" collapsed="false">
      <c r="A300" s="4" t="s">
        <v>2678</v>
      </c>
      <c r="B300" s="23" t="n">
        <v>297</v>
      </c>
      <c r="C300" s="6" t="n">
        <v>46224</v>
      </c>
      <c r="D300" s="4" t="s">
        <v>2680</v>
      </c>
      <c r="E300" s="4" t="s">
        <v>6165</v>
      </c>
      <c r="F300" s="7" t="n">
        <v>36773.28</v>
      </c>
      <c r="G300" s="24" t="s">
        <v>5951</v>
      </c>
      <c r="H300" s="4" t="s">
        <v>2676</v>
      </c>
      <c r="I300" s="4"/>
    </row>
    <row r="301" customFormat="false" ht="15" hidden="false" customHeight="false" outlineLevel="0" collapsed="false">
      <c r="A301" s="4" t="s">
        <v>4014</v>
      </c>
      <c r="B301" s="23" t="n">
        <v>298</v>
      </c>
      <c r="C301" s="6" t="n">
        <v>46224</v>
      </c>
      <c r="D301" s="4" t="s">
        <v>4016</v>
      </c>
      <c r="E301" s="4" t="s">
        <v>7015</v>
      </c>
      <c r="F301" s="7" t="n">
        <v>74035.83</v>
      </c>
      <c r="G301" s="24" t="s">
        <v>5951</v>
      </c>
      <c r="H301" s="4" t="s">
        <v>4012</v>
      </c>
      <c r="I301" s="4"/>
    </row>
    <row r="302" customFormat="false" ht="15" hidden="false" customHeight="false" outlineLevel="0" collapsed="false">
      <c r="A302" s="4" t="s">
        <v>4652</v>
      </c>
      <c r="B302" s="23" t="n">
        <v>299</v>
      </c>
      <c r="C302" s="6" t="n">
        <v>46224</v>
      </c>
      <c r="D302" s="4" t="s">
        <v>4654</v>
      </c>
      <c r="E302" s="4" t="s">
        <v>7016</v>
      </c>
      <c r="F302" s="7" t="n">
        <v>-2879.91</v>
      </c>
      <c r="G302" s="24" t="s">
        <v>5951</v>
      </c>
      <c r="H302" s="4" t="s">
        <v>4650</v>
      </c>
      <c r="I302" s="4"/>
    </row>
    <row r="303" customFormat="false" ht="15" hidden="false" customHeight="false" outlineLevel="0" collapsed="false">
      <c r="A303" s="4" t="s">
        <v>5435</v>
      </c>
      <c r="B303" s="23" t="n">
        <v>300</v>
      </c>
      <c r="C303" s="6" t="n">
        <v>46224</v>
      </c>
      <c r="D303" s="4" t="s">
        <v>5437</v>
      </c>
      <c r="E303" s="4" t="s">
        <v>7017</v>
      </c>
      <c r="F303" s="7" t="n">
        <v>-10884.58</v>
      </c>
      <c r="G303" s="24" t="s">
        <v>5951</v>
      </c>
      <c r="H303" s="4" t="s">
        <v>5433</v>
      </c>
      <c r="I303" s="4"/>
    </row>
    <row r="304" customFormat="false" ht="15" hidden="false" customHeight="false" outlineLevel="0" collapsed="false">
      <c r="A304" s="4" t="s">
        <v>4019</v>
      </c>
      <c r="B304" s="23" t="n">
        <v>301</v>
      </c>
      <c r="C304" s="6" t="n">
        <v>46224</v>
      </c>
      <c r="D304" s="4" t="s">
        <v>4021</v>
      </c>
      <c r="E304" s="4" t="s">
        <v>7018</v>
      </c>
      <c r="F304" s="7" t="n">
        <v>-57791.65</v>
      </c>
      <c r="G304" s="24" t="s">
        <v>5951</v>
      </c>
      <c r="H304" s="4" t="s">
        <v>4017</v>
      </c>
      <c r="I304" s="4"/>
    </row>
    <row r="305" customFormat="false" ht="15" hidden="false" customHeight="false" outlineLevel="0" collapsed="false">
      <c r="A305" s="4" t="s">
        <v>4024</v>
      </c>
      <c r="B305" s="23" t="n">
        <v>302</v>
      </c>
      <c r="C305" s="6" t="n">
        <v>46224</v>
      </c>
      <c r="D305" s="4" t="s">
        <v>4026</v>
      </c>
      <c r="E305" s="4" t="s">
        <v>7019</v>
      </c>
      <c r="F305" s="7" t="n">
        <v>-30222.04</v>
      </c>
      <c r="G305" s="24" t="s">
        <v>5951</v>
      </c>
      <c r="H305" s="4" t="s">
        <v>4022</v>
      </c>
      <c r="I305" s="4"/>
    </row>
    <row r="306" customFormat="false" ht="15" hidden="false" customHeight="false" outlineLevel="0" collapsed="false">
      <c r="A306" s="4" t="s">
        <v>5012</v>
      </c>
      <c r="B306" s="23" t="n">
        <v>303</v>
      </c>
      <c r="C306" s="6" t="n">
        <v>46224</v>
      </c>
      <c r="D306" s="4" t="s">
        <v>5014</v>
      </c>
      <c r="E306" s="4" t="s">
        <v>7020</v>
      </c>
      <c r="F306" s="7" t="n">
        <v>-54220.02</v>
      </c>
      <c r="G306" s="24" t="s">
        <v>5951</v>
      </c>
      <c r="H306" s="4" t="s">
        <v>5010</v>
      </c>
      <c r="I306" s="4"/>
    </row>
    <row r="307" customFormat="false" ht="15" hidden="false" customHeight="false" outlineLevel="0" collapsed="false">
      <c r="A307" s="4" t="s">
        <v>340</v>
      </c>
      <c r="B307" s="23" t="n">
        <v>304</v>
      </c>
      <c r="C307" s="6" t="n">
        <v>46224</v>
      </c>
      <c r="D307" s="4" t="s">
        <v>5870</v>
      </c>
      <c r="E307" s="4" t="s">
        <v>341</v>
      </c>
      <c r="F307" s="7" t="n">
        <v>16338.48</v>
      </c>
      <c r="G307" s="25" t="s">
        <v>5987</v>
      </c>
      <c r="H307" s="4" t="s">
        <v>5868</v>
      </c>
      <c r="I307" s="4" t="s">
        <v>338</v>
      </c>
    </row>
    <row r="308" customFormat="false" ht="15" hidden="false" customHeight="false" outlineLevel="0" collapsed="false">
      <c r="A308" s="4" t="s">
        <v>314</v>
      </c>
      <c r="B308" s="23" t="n">
        <v>305</v>
      </c>
      <c r="C308" s="6" t="n">
        <v>46224</v>
      </c>
      <c r="D308" s="4" t="s">
        <v>5909</v>
      </c>
      <c r="E308" s="4" t="s">
        <v>7021</v>
      </c>
      <c r="F308" s="7" t="n">
        <v>4275.64</v>
      </c>
      <c r="G308" s="25" t="s">
        <v>5987</v>
      </c>
      <c r="H308" s="4" t="s">
        <v>5907</v>
      </c>
      <c r="I308" s="4" t="s">
        <v>312</v>
      </c>
    </row>
    <row r="309" customFormat="false" ht="15" hidden="false" customHeight="false" outlineLevel="0" collapsed="false">
      <c r="A309" s="4" t="s">
        <v>960</v>
      </c>
      <c r="B309" s="23" t="n">
        <v>306</v>
      </c>
      <c r="C309" s="6" t="n">
        <v>46225</v>
      </c>
      <c r="D309" s="4" t="s">
        <v>962</v>
      </c>
      <c r="E309" s="4" t="s">
        <v>7022</v>
      </c>
      <c r="F309" s="7" t="n">
        <v>87275.79</v>
      </c>
      <c r="G309" s="24" t="s">
        <v>5951</v>
      </c>
      <c r="H309" s="4" t="s">
        <v>958</v>
      </c>
      <c r="I309" s="4"/>
    </row>
    <row r="310" customFormat="false" ht="15" hidden="false" customHeight="false" outlineLevel="0" collapsed="false">
      <c r="A310" s="4" t="s">
        <v>4029</v>
      </c>
      <c r="B310" s="23" t="n">
        <v>307</v>
      </c>
      <c r="C310" s="6" t="n">
        <v>46225</v>
      </c>
      <c r="D310" s="4" t="s">
        <v>4031</v>
      </c>
      <c r="E310" s="4" t="s">
        <v>6181</v>
      </c>
      <c r="F310" s="7" t="n">
        <v>75834.04</v>
      </c>
      <c r="G310" s="24" t="s">
        <v>5951</v>
      </c>
      <c r="H310" s="4" t="s">
        <v>4027</v>
      </c>
      <c r="I310" s="4"/>
    </row>
    <row r="311" customFormat="false" ht="15" hidden="false" customHeight="false" outlineLevel="0" collapsed="false">
      <c r="A311" s="4" t="s">
        <v>2683</v>
      </c>
      <c r="B311" s="23" t="n">
        <v>308</v>
      </c>
      <c r="C311" s="6" t="n">
        <v>46225</v>
      </c>
      <c r="D311" s="4" t="s">
        <v>2685</v>
      </c>
      <c r="E311" s="4" t="s">
        <v>6168</v>
      </c>
      <c r="F311" s="7" t="n">
        <v>30282.7</v>
      </c>
      <c r="G311" s="24" t="s">
        <v>5951</v>
      </c>
      <c r="H311" s="4" t="s">
        <v>2681</v>
      </c>
      <c r="I311" s="4"/>
    </row>
    <row r="312" customFormat="false" ht="15" hidden="false" customHeight="false" outlineLevel="0" collapsed="false">
      <c r="A312" s="4" t="s">
        <v>4034</v>
      </c>
      <c r="B312" s="23" t="n">
        <v>309</v>
      </c>
      <c r="C312" s="6" t="n">
        <v>46225</v>
      </c>
      <c r="D312" s="4" t="s">
        <v>4036</v>
      </c>
      <c r="E312" s="4" t="s">
        <v>7023</v>
      </c>
      <c r="F312" s="7" t="n">
        <v>-57834.6</v>
      </c>
      <c r="G312" s="24" t="s">
        <v>5951</v>
      </c>
      <c r="H312" s="4" t="s">
        <v>4032</v>
      </c>
      <c r="I312" s="4"/>
    </row>
    <row r="313" customFormat="false" ht="15" hidden="false" customHeight="false" outlineLevel="0" collapsed="false">
      <c r="A313" s="4" t="s">
        <v>5440</v>
      </c>
      <c r="B313" s="23" t="n">
        <v>310</v>
      </c>
      <c r="C313" s="6" t="n">
        <v>46225</v>
      </c>
      <c r="D313" s="4" t="s">
        <v>5442</v>
      </c>
      <c r="E313" s="4" t="s">
        <v>7024</v>
      </c>
      <c r="F313" s="7" t="n">
        <v>-45750.76</v>
      </c>
      <c r="G313" s="24" t="s">
        <v>5951</v>
      </c>
      <c r="H313" s="4" t="s">
        <v>5438</v>
      </c>
      <c r="I313" s="4"/>
    </row>
    <row r="314" customFormat="false" ht="15" hidden="false" customHeight="false" outlineLevel="0" collapsed="false">
      <c r="A314" s="4" t="s">
        <v>965</v>
      </c>
      <c r="B314" s="23" t="n">
        <v>311</v>
      </c>
      <c r="C314" s="6" t="n">
        <v>46225</v>
      </c>
      <c r="D314" s="4" t="s">
        <v>967</v>
      </c>
      <c r="E314" s="4" t="s">
        <v>7025</v>
      </c>
      <c r="F314" s="7" t="n">
        <v>-31763.46</v>
      </c>
      <c r="G314" s="24" t="s">
        <v>5951</v>
      </c>
      <c r="H314" s="4" t="s">
        <v>963</v>
      </c>
      <c r="I314" s="4"/>
    </row>
    <row r="315" customFormat="false" ht="15" hidden="false" customHeight="false" outlineLevel="0" collapsed="false">
      <c r="A315" s="4" t="s">
        <v>5017</v>
      </c>
      <c r="B315" s="23" t="n">
        <v>312</v>
      </c>
      <c r="C315" s="6" t="n">
        <v>46225</v>
      </c>
      <c r="D315" s="4" t="s">
        <v>5019</v>
      </c>
      <c r="E315" s="4" t="s">
        <v>7026</v>
      </c>
      <c r="F315" s="7" t="n">
        <v>-46454.69</v>
      </c>
      <c r="G315" s="24" t="s">
        <v>5951</v>
      </c>
      <c r="H315" s="4" t="s">
        <v>5015</v>
      </c>
      <c r="I315" s="4"/>
    </row>
    <row r="316" customFormat="false" ht="15" hidden="false" customHeight="false" outlineLevel="0" collapsed="false">
      <c r="A316" s="4" t="s">
        <v>298</v>
      </c>
      <c r="B316" s="23" t="n">
        <v>313</v>
      </c>
      <c r="C316" s="6" t="n">
        <v>46225</v>
      </c>
      <c r="D316" s="4" t="s">
        <v>300</v>
      </c>
      <c r="E316" s="4" t="s">
        <v>299</v>
      </c>
      <c r="F316" s="7" t="n">
        <v>-7415.8</v>
      </c>
      <c r="G316" s="26" t="s">
        <v>6043</v>
      </c>
      <c r="H316" s="4"/>
      <c r="I316" s="4" t="s">
        <v>297</v>
      </c>
    </row>
    <row r="317" customFormat="false" ht="15" hidden="false" customHeight="false" outlineLevel="0" collapsed="false">
      <c r="A317" s="4" t="s">
        <v>2688</v>
      </c>
      <c r="B317" s="23" t="n">
        <v>314</v>
      </c>
      <c r="C317" s="6" t="n">
        <v>46226</v>
      </c>
      <c r="D317" s="4" t="s">
        <v>2690</v>
      </c>
      <c r="E317" s="4" t="s">
        <v>6179</v>
      </c>
      <c r="F317" s="7" t="n">
        <v>49008.15</v>
      </c>
      <c r="G317" s="24" t="s">
        <v>5951</v>
      </c>
      <c r="H317" s="4" t="s">
        <v>2686</v>
      </c>
      <c r="I317" s="4"/>
    </row>
    <row r="318" customFormat="false" ht="15" hidden="false" customHeight="false" outlineLevel="0" collapsed="false">
      <c r="A318" s="4" t="s">
        <v>970</v>
      </c>
      <c r="B318" s="23" t="n">
        <v>315</v>
      </c>
      <c r="C318" s="6" t="n">
        <v>46226</v>
      </c>
      <c r="D318" s="4" t="s">
        <v>972</v>
      </c>
      <c r="E318" s="4" t="s">
        <v>6169</v>
      </c>
      <c r="F318" s="7" t="n">
        <v>24198.67</v>
      </c>
      <c r="G318" s="24" t="s">
        <v>5951</v>
      </c>
      <c r="H318" s="4" t="s">
        <v>968</v>
      </c>
      <c r="I318" s="4"/>
    </row>
    <row r="319" customFormat="false" ht="15" hidden="false" customHeight="false" outlineLevel="0" collapsed="false">
      <c r="A319" s="4" t="s">
        <v>4039</v>
      </c>
      <c r="B319" s="23" t="n">
        <v>316</v>
      </c>
      <c r="C319" s="6" t="n">
        <v>46226</v>
      </c>
      <c r="D319" s="4" t="s">
        <v>4041</v>
      </c>
      <c r="E319" s="4" t="s">
        <v>7027</v>
      </c>
      <c r="F319" s="7" t="n">
        <v>-55883.98</v>
      </c>
      <c r="G319" s="24" t="s">
        <v>5951</v>
      </c>
      <c r="H319" s="4" t="s">
        <v>4037</v>
      </c>
      <c r="I319" s="4"/>
    </row>
    <row r="320" customFormat="false" ht="15" hidden="false" customHeight="false" outlineLevel="0" collapsed="false">
      <c r="A320" s="4" t="s">
        <v>2693</v>
      </c>
      <c r="B320" s="23" t="n">
        <v>317</v>
      </c>
      <c r="C320" s="6" t="n">
        <v>46226</v>
      </c>
      <c r="D320" s="4" t="s">
        <v>2695</v>
      </c>
      <c r="E320" s="4" t="s">
        <v>7028</v>
      </c>
      <c r="F320" s="7" t="n">
        <v>-5619.2</v>
      </c>
      <c r="G320" s="24" t="s">
        <v>5951</v>
      </c>
      <c r="H320" s="4" t="s">
        <v>2691</v>
      </c>
      <c r="I320" s="4"/>
    </row>
    <row r="321" customFormat="false" ht="15" hidden="false" customHeight="false" outlineLevel="0" collapsed="false">
      <c r="A321" s="4" t="s">
        <v>5445</v>
      </c>
      <c r="B321" s="23" t="n">
        <v>318</v>
      </c>
      <c r="C321" s="6" t="n">
        <v>46226</v>
      </c>
      <c r="D321" s="4" t="s">
        <v>5447</v>
      </c>
      <c r="E321" s="4" t="s">
        <v>7029</v>
      </c>
      <c r="F321" s="7" t="n">
        <v>-57382.48</v>
      </c>
      <c r="G321" s="24" t="s">
        <v>5951</v>
      </c>
      <c r="H321" s="4" t="s">
        <v>5443</v>
      </c>
      <c r="I321" s="4"/>
    </row>
    <row r="322" customFormat="false" ht="15" hidden="false" customHeight="false" outlineLevel="0" collapsed="false">
      <c r="A322" s="4" t="s">
        <v>4044</v>
      </c>
      <c r="B322" s="23" t="n">
        <v>319</v>
      </c>
      <c r="C322" s="6" t="n">
        <v>46226</v>
      </c>
      <c r="D322" s="4" t="s">
        <v>4046</v>
      </c>
      <c r="E322" s="4" t="s">
        <v>7030</v>
      </c>
      <c r="F322" s="7" t="n">
        <v>-19495.81</v>
      </c>
      <c r="G322" s="24" t="s">
        <v>5951</v>
      </c>
      <c r="H322" s="4" t="s">
        <v>4042</v>
      </c>
      <c r="I322" s="4"/>
    </row>
    <row r="323" customFormat="false" ht="15" hidden="false" customHeight="false" outlineLevel="0" collapsed="false">
      <c r="A323" s="4" t="s">
        <v>975</v>
      </c>
      <c r="B323" s="23" t="n">
        <v>320</v>
      </c>
      <c r="C323" s="6" t="n">
        <v>46226</v>
      </c>
      <c r="D323" s="4" t="s">
        <v>977</v>
      </c>
      <c r="E323" s="4" t="s">
        <v>7031</v>
      </c>
      <c r="F323" s="7" t="n">
        <v>-48122.69</v>
      </c>
      <c r="G323" s="24" t="s">
        <v>5951</v>
      </c>
      <c r="H323" s="4" t="s">
        <v>973</v>
      </c>
      <c r="I323" s="4"/>
    </row>
    <row r="324" customFormat="false" ht="15" hidden="false" customHeight="false" outlineLevel="0" collapsed="false">
      <c r="A324" s="4" t="s">
        <v>5022</v>
      </c>
      <c r="B324" s="23" t="n">
        <v>321</v>
      </c>
      <c r="C324" s="6" t="n">
        <v>46226</v>
      </c>
      <c r="D324" s="4" t="s">
        <v>5024</v>
      </c>
      <c r="E324" s="4" t="s">
        <v>7032</v>
      </c>
      <c r="F324" s="7" t="n">
        <v>-28961.23</v>
      </c>
      <c r="G324" s="24" t="s">
        <v>5951</v>
      </c>
      <c r="H324" s="4" t="s">
        <v>5020</v>
      </c>
      <c r="I324" s="4"/>
    </row>
    <row r="325" customFormat="false" ht="15" hidden="false" customHeight="false" outlineLevel="0" collapsed="false">
      <c r="A325" s="4" t="s">
        <v>980</v>
      </c>
      <c r="B325" s="23" t="n">
        <v>322</v>
      </c>
      <c r="C325" s="6" t="n">
        <v>46226</v>
      </c>
      <c r="D325" s="4" t="s">
        <v>982</v>
      </c>
      <c r="E325" s="4" t="s">
        <v>7033</v>
      </c>
      <c r="F325" s="7" t="n">
        <v>-59698.35</v>
      </c>
      <c r="G325" s="24" t="s">
        <v>5951</v>
      </c>
      <c r="H325" s="4" t="s">
        <v>978</v>
      </c>
      <c r="I325" s="4"/>
    </row>
    <row r="326" customFormat="false" ht="15" hidden="false" customHeight="false" outlineLevel="0" collapsed="false">
      <c r="A326" s="4" t="s">
        <v>500</v>
      </c>
      <c r="B326" s="23" t="n">
        <v>323</v>
      </c>
      <c r="C326" s="6" t="n">
        <v>46226</v>
      </c>
      <c r="D326" s="4" t="s">
        <v>5873</v>
      </c>
      <c r="E326" s="4" t="s">
        <v>501</v>
      </c>
      <c r="F326" s="7" t="n">
        <v>12700.94</v>
      </c>
      <c r="G326" s="25" t="s">
        <v>5987</v>
      </c>
      <c r="H326" s="4" t="s">
        <v>5871</v>
      </c>
      <c r="I326" s="4" t="s">
        <v>498</v>
      </c>
    </row>
    <row r="327" customFormat="false" ht="15" hidden="false" customHeight="false" outlineLevel="0" collapsed="false">
      <c r="A327" s="4" t="s">
        <v>2698</v>
      </c>
      <c r="B327" s="23" t="n">
        <v>324</v>
      </c>
      <c r="C327" s="6" t="n">
        <v>46227</v>
      </c>
      <c r="D327" s="4" t="s">
        <v>2700</v>
      </c>
      <c r="E327" s="4" t="s">
        <v>6188</v>
      </c>
      <c r="F327" s="7" t="n">
        <v>79460.61</v>
      </c>
      <c r="G327" s="24" t="s">
        <v>5951</v>
      </c>
      <c r="H327" s="4" t="s">
        <v>2696</v>
      </c>
      <c r="I327" s="4"/>
    </row>
    <row r="328" customFormat="false" ht="15" hidden="false" customHeight="false" outlineLevel="0" collapsed="false">
      <c r="A328" s="4" t="s">
        <v>2703</v>
      </c>
      <c r="B328" s="23" t="n">
        <v>325</v>
      </c>
      <c r="C328" s="6" t="n">
        <v>46227</v>
      </c>
      <c r="D328" s="4" t="s">
        <v>2705</v>
      </c>
      <c r="E328" s="4" t="s">
        <v>6190</v>
      </c>
      <c r="F328" s="7" t="n">
        <v>28016.68</v>
      </c>
      <c r="G328" s="24" t="s">
        <v>5951</v>
      </c>
      <c r="H328" s="4" t="s">
        <v>2701</v>
      </c>
      <c r="I328" s="4"/>
    </row>
    <row r="329" customFormat="false" ht="15" hidden="false" customHeight="false" outlineLevel="0" collapsed="false">
      <c r="A329" s="4" t="s">
        <v>985</v>
      </c>
      <c r="B329" s="23" t="n">
        <v>326</v>
      </c>
      <c r="C329" s="6" t="n">
        <v>46227</v>
      </c>
      <c r="D329" s="4" t="s">
        <v>987</v>
      </c>
      <c r="E329" s="4" t="s">
        <v>6178</v>
      </c>
      <c r="F329" s="7" t="n">
        <v>27094.37</v>
      </c>
      <c r="G329" s="24" t="s">
        <v>5951</v>
      </c>
      <c r="H329" s="4" t="s">
        <v>983</v>
      </c>
      <c r="I329" s="4"/>
    </row>
    <row r="330" customFormat="false" ht="15" hidden="false" customHeight="false" outlineLevel="0" collapsed="false">
      <c r="A330" s="4" t="s">
        <v>990</v>
      </c>
      <c r="B330" s="23" t="n">
        <v>327</v>
      </c>
      <c r="C330" s="6" t="n">
        <v>46227</v>
      </c>
      <c r="D330" s="4" t="s">
        <v>992</v>
      </c>
      <c r="E330" s="4" t="s">
        <v>6180</v>
      </c>
      <c r="F330" s="7" t="n">
        <v>48610.36</v>
      </c>
      <c r="G330" s="24" t="s">
        <v>5951</v>
      </c>
      <c r="H330" s="4" t="s">
        <v>988</v>
      </c>
      <c r="I330" s="4"/>
    </row>
    <row r="331" customFormat="false" ht="15" hidden="false" customHeight="false" outlineLevel="0" collapsed="false">
      <c r="A331" s="4" t="s">
        <v>995</v>
      </c>
      <c r="B331" s="23" t="n">
        <v>328</v>
      </c>
      <c r="C331" s="6" t="n">
        <v>46227</v>
      </c>
      <c r="D331" s="4" t="s">
        <v>997</v>
      </c>
      <c r="E331" s="4" t="s">
        <v>7034</v>
      </c>
      <c r="F331" s="7" t="n">
        <v>5320.72</v>
      </c>
      <c r="G331" s="24" t="s">
        <v>5951</v>
      </c>
      <c r="H331" s="4" t="s">
        <v>993</v>
      </c>
      <c r="I331" s="4"/>
    </row>
    <row r="332" customFormat="false" ht="15" hidden="false" customHeight="false" outlineLevel="0" collapsed="false">
      <c r="A332" s="4" t="s">
        <v>2708</v>
      </c>
      <c r="B332" s="23" t="n">
        <v>329</v>
      </c>
      <c r="C332" s="6" t="n">
        <v>46227</v>
      </c>
      <c r="D332" s="4" t="s">
        <v>2710</v>
      </c>
      <c r="E332" s="4" t="s">
        <v>6193</v>
      </c>
      <c r="F332" s="7" t="n">
        <v>48216.54</v>
      </c>
      <c r="G332" s="24" t="s">
        <v>5951</v>
      </c>
      <c r="H332" s="4" t="s">
        <v>2706</v>
      </c>
      <c r="I332" s="4"/>
    </row>
    <row r="333" customFormat="false" ht="15" hidden="false" customHeight="false" outlineLevel="0" collapsed="false">
      <c r="A333" s="4" t="s">
        <v>2713</v>
      </c>
      <c r="B333" s="23" t="n">
        <v>330</v>
      </c>
      <c r="C333" s="6" t="n">
        <v>46227</v>
      </c>
      <c r="D333" s="4" t="s">
        <v>2715</v>
      </c>
      <c r="E333" s="4" t="s">
        <v>7035</v>
      </c>
      <c r="F333" s="7" t="n">
        <v>82345.45</v>
      </c>
      <c r="G333" s="24" t="s">
        <v>5951</v>
      </c>
      <c r="H333" s="4" t="s">
        <v>2711</v>
      </c>
      <c r="I333" s="4"/>
    </row>
    <row r="334" customFormat="false" ht="15" hidden="false" customHeight="false" outlineLevel="0" collapsed="false">
      <c r="A334" s="4" t="s">
        <v>4049</v>
      </c>
      <c r="B334" s="23" t="n">
        <v>331</v>
      </c>
      <c r="C334" s="6" t="n">
        <v>46227</v>
      </c>
      <c r="D334" s="4" t="s">
        <v>4051</v>
      </c>
      <c r="E334" s="4" t="s">
        <v>6201</v>
      </c>
      <c r="F334" s="7" t="n">
        <v>27495.88</v>
      </c>
      <c r="G334" s="24" t="s">
        <v>5951</v>
      </c>
      <c r="H334" s="4" t="s">
        <v>4047</v>
      </c>
      <c r="I334" s="4"/>
    </row>
    <row r="335" customFormat="false" ht="15" hidden="false" customHeight="false" outlineLevel="0" collapsed="false">
      <c r="A335" s="4" t="s">
        <v>1000</v>
      </c>
      <c r="B335" s="23" t="n">
        <v>332</v>
      </c>
      <c r="C335" s="6" t="n">
        <v>46227</v>
      </c>
      <c r="D335" s="4" t="s">
        <v>1002</v>
      </c>
      <c r="E335" s="4" t="s">
        <v>7036</v>
      </c>
      <c r="F335" s="7" t="n">
        <v>23580.31</v>
      </c>
      <c r="G335" s="24" t="s">
        <v>5951</v>
      </c>
      <c r="H335" s="4" t="s">
        <v>998</v>
      </c>
      <c r="I335" s="4"/>
    </row>
    <row r="336" customFormat="false" ht="15" hidden="false" customHeight="false" outlineLevel="0" collapsed="false">
      <c r="A336" s="4" t="s">
        <v>5450</v>
      </c>
      <c r="B336" s="23" t="n">
        <v>333</v>
      </c>
      <c r="C336" s="6" t="n">
        <v>46227</v>
      </c>
      <c r="D336" s="4" t="s">
        <v>5452</v>
      </c>
      <c r="E336" s="4" t="s">
        <v>7037</v>
      </c>
      <c r="F336" s="7" t="n">
        <v>-18130.76</v>
      </c>
      <c r="G336" s="24" t="s">
        <v>5951</v>
      </c>
      <c r="H336" s="4" t="s">
        <v>5448</v>
      </c>
      <c r="I336" s="4"/>
    </row>
    <row r="337" customFormat="false" ht="15" hidden="false" customHeight="false" outlineLevel="0" collapsed="false">
      <c r="A337" s="4" t="s">
        <v>5776</v>
      </c>
      <c r="B337" s="23" t="n">
        <v>334</v>
      </c>
      <c r="C337" s="6" t="n">
        <v>46227</v>
      </c>
      <c r="D337" s="4" t="s">
        <v>5778</v>
      </c>
      <c r="E337" s="4"/>
      <c r="F337" s="7" t="n">
        <v>-3427.02</v>
      </c>
      <c r="G337" s="24" t="s">
        <v>5951</v>
      </c>
      <c r="H337" s="4" t="s">
        <v>5773</v>
      </c>
      <c r="I337" s="4"/>
    </row>
    <row r="338" customFormat="false" ht="15" hidden="false" customHeight="false" outlineLevel="0" collapsed="false">
      <c r="A338" s="4" t="s">
        <v>2718</v>
      </c>
      <c r="B338" s="23" t="n">
        <v>335</v>
      </c>
      <c r="C338" s="6" t="n">
        <v>46228</v>
      </c>
      <c r="D338" s="4" t="s">
        <v>2720</v>
      </c>
      <c r="E338" s="4" t="s">
        <v>7038</v>
      </c>
      <c r="F338" s="7" t="n">
        <v>55550.8</v>
      </c>
      <c r="G338" s="24" t="s">
        <v>5951</v>
      </c>
      <c r="H338" s="4" t="s">
        <v>2716</v>
      </c>
      <c r="I338" s="4"/>
    </row>
    <row r="339" customFormat="false" ht="15" hidden="false" customHeight="false" outlineLevel="0" collapsed="false">
      <c r="A339" s="4" t="s">
        <v>1005</v>
      </c>
      <c r="B339" s="23" t="n">
        <v>336</v>
      </c>
      <c r="C339" s="6" t="n">
        <v>46228</v>
      </c>
      <c r="D339" s="4" t="s">
        <v>1007</v>
      </c>
      <c r="E339" s="4" t="s">
        <v>6189</v>
      </c>
      <c r="F339" s="7" t="n">
        <v>75532.73</v>
      </c>
      <c r="G339" s="24" t="s">
        <v>5951</v>
      </c>
      <c r="H339" s="4" t="s">
        <v>1003</v>
      </c>
      <c r="I339" s="4"/>
    </row>
    <row r="340" customFormat="false" ht="15" hidden="false" customHeight="false" outlineLevel="0" collapsed="false">
      <c r="A340" s="4" t="s">
        <v>4054</v>
      </c>
      <c r="B340" s="23" t="n">
        <v>337</v>
      </c>
      <c r="C340" s="6" t="n">
        <v>46228</v>
      </c>
      <c r="D340" s="4" t="s">
        <v>4056</v>
      </c>
      <c r="E340" s="4" t="s">
        <v>6204</v>
      </c>
      <c r="F340" s="7" t="n">
        <v>46446.09</v>
      </c>
      <c r="G340" s="24" t="s">
        <v>5951</v>
      </c>
      <c r="H340" s="4" t="s">
        <v>4052</v>
      </c>
      <c r="I340" s="4"/>
    </row>
    <row r="341" customFormat="false" ht="15" hidden="false" customHeight="false" outlineLevel="0" collapsed="false">
      <c r="A341" s="4" t="s">
        <v>1010</v>
      </c>
      <c r="B341" s="23" t="n">
        <v>338</v>
      </c>
      <c r="C341" s="6" t="n">
        <v>46228</v>
      </c>
      <c r="D341" s="4" t="s">
        <v>1012</v>
      </c>
      <c r="E341" s="4" t="s">
        <v>6191</v>
      </c>
      <c r="F341" s="7" t="n">
        <v>31677.85</v>
      </c>
      <c r="G341" s="24" t="s">
        <v>5951</v>
      </c>
      <c r="H341" s="4" t="s">
        <v>1008</v>
      </c>
      <c r="I341" s="4"/>
    </row>
    <row r="342" customFormat="false" ht="15" hidden="false" customHeight="false" outlineLevel="0" collapsed="false">
      <c r="A342" s="4" t="s">
        <v>2723</v>
      </c>
      <c r="B342" s="23" t="n">
        <v>339</v>
      </c>
      <c r="C342" s="6" t="n">
        <v>46228</v>
      </c>
      <c r="D342" s="4" t="s">
        <v>2725</v>
      </c>
      <c r="E342" s="4" t="s">
        <v>7039</v>
      </c>
      <c r="F342" s="7" t="n">
        <v>86496.28</v>
      </c>
      <c r="G342" s="24" t="s">
        <v>5951</v>
      </c>
      <c r="H342" s="4" t="s">
        <v>2721</v>
      </c>
      <c r="I342" s="4"/>
    </row>
    <row r="343" customFormat="false" ht="15" hidden="false" customHeight="false" outlineLevel="0" collapsed="false">
      <c r="A343" s="4" t="s">
        <v>1015</v>
      </c>
      <c r="B343" s="23" t="n">
        <v>340</v>
      </c>
      <c r="C343" s="6" t="n">
        <v>46228</v>
      </c>
      <c r="D343" s="4" t="s">
        <v>1017</v>
      </c>
      <c r="E343" s="4" t="s">
        <v>6192</v>
      </c>
      <c r="F343" s="7" t="n">
        <v>78039.78</v>
      </c>
      <c r="G343" s="24" t="s">
        <v>5951</v>
      </c>
      <c r="H343" s="4" t="s">
        <v>1013</v>
      </c>
      <c r="I343" s="4"/>
    </row>
    <row r="344" customFormat="false" ht="15" hidden="false" customHeight="false" outlineLevel="0" collapsed="false">
      <c r="A344" s="4" t="s">
        <v>4059</v>
      </c>
      <c r="B344" s="23" t="n">
        <v>341</v>
      </c>
      <c r="C344" s="6" t="n">
        <v>46228</v>
      </c>
      <c r="D344" s="4" t="s">
        <v>4061</v>
      </c>
      <c r="E344" s="4" t="s">
        <v>6209</v>
      </c>
      <c r="F344" s="7" t="n">
        <v>60816.91</v>
      </c>
      <c r="G344" s="24" t="s">
        <v>5951</v>
      </c>
      <c r="H344" s="4" t="s">
        <v>4057</v>
      </c>
      <c r="I344" s="4"/>
    </row>
    <row r="345" customFormat="false" ht="15" hidden="false" customHeight="false" outlineLevel="0" collapsed="false">
      <c r="A345" s="4" t="s">
        <v>2728</v>
      </c>
      <c r="B345" s="23" t="n">
        <v>342</v>
      </c>
      <c r="C345" s="6" t="n">
        <v>46228</v>
      </c>
      <c r="D345" s="4" t="s">
        <v>2730</v>
      </c>
      <c r="E345" s="4" t="s">
        <v>7040</v>
      </c>
      <c r="F345" s="7" t="n">
        <v>67304.99</v>
      </c>
      <c r="G345" s="24" t="s">
        <v>5951</v>
      </c>
      <c r="H345" s="4" t="s">
        <v>2726</v>
      </c>
      <c r="I345" s="4"/>
    </row>
    <row r="346" customFormat="false" ht="15" hidden="false" customHeight="false" outlineLevel="0" collapsed="false">
      <c r="A346" s="4" t="s">
        <v>4657</v>
      </c>
      <c r="B346" s="23" t="n">
        <v>343</v>
      </c>
      <c r="C346" s="6" t="n">
        <v>46228</v>
      </c>
      <c r="D346" s="4" t="s">
        <v>4659</v>
      </c>
      <c r="E346" s="4" t="s">
        <v>7041</v>
      </c>
      <c r="F346" s="7" t="n">
        <v>-9676.11</v>
      </c>
      <c r="G346" s="24" t="s">
        <v>5951</v>
      </c>
      <c r="H346" s="4" t="s">
        <v>4655</v>
      </c>
      <c r="I346" s="4"/>
    </row>
    <row r="347" customFormat="false" ht="15" hidden="false" customHeight="false" outlineLevel="0" collapsed="false">
      <c r="A347" s="4" t="s">
        <v>4662</v>
      </c>
      <c r="B347" s="23" t="n">
        <v>344</v>
      </c>
      <c r="C347" s="6" t="n">
        <v>46228</v>
      </c>
      <c r="D347" s="4" t="s">
        <v>4664</v>
      </c>
      <c r="E347" s="4" t="s">
        <v>7042</v>
      </c>
      <c r="F347" s="7" t="n">
        <v>-15073.69</v>
      </c>
      <c r="G347" s="24" t="s">
        <v>5951</v>
      </c>
      <c r="H347" s="4" t="s">
        <v>4660</v>
      </c>
      <c r="I347" s="4"/>
    </row>
    <row r="348" customFormat="false" ht="15" hidden="false" customHeight="false" outlineLevel="0" collapsed="false">
      <c r="A348" s="4" t="s">
        <v>1020</v>
      </c>
      <c r="B348" s="23" t="n">
        <v>345</v>
      </c>
      <c r="C348" s="6" t="n">
        <v>46228</v>
      </c>
      <c r="D348" s="4" t="s">
        <v>179</v>
      </c>
      <c r="E348" s="4" t="s">
        <v>178</v>
      </c>
      <c r="F348" s="7" t="n">
        <v>-45627.98</v>
      </c>
      <c r="G348" s="24" t="s">
        <v>5951</v>
      </c>
      <c r="H348" s="4" t="s">
        <v>1018</v>
      </c>
      <c r="I348" s="4"/>
    </row>
    <row r="349" customFormat="false" ht="15" hidden="false" customHeight="false" outlineLevel="0" collapsed="false">
      <c r="A349" s="4" t="s">
        <v>5027</v>
      </c>
      <c r="B349" s="23" t="n">
        <v>346</v>
      </c>
      <c r="C349" s="6" t="n">
        <v>46228</v>
      </c>
      <c r="D349" s="4" t="s">
        <v>5029</v>
      </c>
      <c r="E349" s="4" t="s">
        <v>7043</v>
      </c>
      <c r="F349" s="7" t="n">
        <v>-39155.61</v>
      </c>
      <c r="G349" s="24" t="s">
        <v>5951</v>
      </c>
      <c r="H349" s="4" t="s">
        <v>5025</v>
      </c>
      <c r="I349" s="4"/>
    </row>
    <row r="350" customFormat="false" ht="15" hidden="false" customHeight="false" outlineLevel="0" collapsed="false">
      <c r="A350" s="4" t="s">
        <v>5032</v>
      </c>
      <c r="B350" s="23" t="n">
        <v>347</v>
      </c>
      <c r="C350" s="6" t="n">
        <v>46228</v>
      </c>
      <c r="D350" s="4" t="s">
        <v>5034</v>
      </c>
      <c r="E350" s="4" t="s">
        <v>7044</v>
      </c>
      <c r="F350" s="7" t="n">
        <v>-10689.68</v>
      </c>
      <c r="G350" s="24" t="s">
        <v>5951</v>
      </c>
      <c r="H350" s="4" t="s">
        <v>5030</v>
      </c>
      <c r="I350" s="4"/>
    </row>
    <row r="351" customFormat="false" ht="15" hidden="false" customHeight="false" outlineLevel="0" collapsed="false">
      <c r="A351" s="4" t="s">
        <v>177</v>
      </c>
      <c r="B351" s="23" t="n">
        <v>348</v>
      </c>
      <c r="C351" s="6" t="n">
        <v>46228</v>
      </c>
      <c r="D351" s="4" t="s">
        <v>179</v>
      </c>
      <c r="E351" s="4" t="s">
        <v>178</v>
      </c>
      <c r="F351" s="7" t="n">
        <v>-45627.98</v>
      </c>
      <c r="G351" s="26" t="s">
        <v>6043</v>
      </c>
      <c r="H351" s="4"/>
      <c r="I351" s="4" t="s">
        <v>176</v>
      </c>
    </row>
    <row r="352" customFormat="false" ht="15" hidden="false" customHeight="false" outlineLevel="0" collapsed="false">
      <c r="A352" s="4" t="s">
        <v>7045</v>
      </c>
      <c r="B352" s="23" t="n">
        <v>349</v>
      </c>
      <c r="C352" s="6" t="n">
        <v>46228</v>
      </c>
      <c r="D352" s="4" t="s">
        <v>7046</v>
      </c>
      <c r="E352" s="4"/>
      <c r="F352" s="7" t="n">
        <v>7583.61</v>
      </c>
      <c r="G352" s="25" t="s">
        <v>5987</v>
      </c>
      <c r="H352" s="4" t="s">
        <v>5936</v>
      </c>
      <c r="I352" s="4" t="s">
        <v>390</v>
      </c>
    </row>
    <row r="353" customFormat="false" ht="15" hidden="false" customHeight="false" outlineLevel="0" collapsed="false">
      <c r="A353" s="4" t="s">
        <v>1024</v>
      </c>
      <c r="B353" s="23" t="n">
        <v>350</v>
      </c>
      <c r="C353" s="6" t="n">
        <v>46229</v>
      </c>
      <c r="D353" s="4" t="s">
        <v>1026</v>
      </c>
      <c r="E353" s="4" t="s">
        <v>6199</v>
      </c>
      <c r="F353" s="7" t="n">
        <v>49254.29</v>
      </c>
      <c r="G353" s="24" t="s">
        <v>5951</v>
      </c>
      <c r="H353" s="4" t="s">
        <v>1022</v>
      </c>
      <c r="I353" s="4"/>
    </row>
    <row r="354" customFormat="false" ht="15" hidden="false" customHeight="false" outlineLevel="0" collapsed="false">
      <c r="A354" s="4" t="s">
        <v>2733</v>
      </c>
      <c r="B354" s="23" t="n">
        <v>351</v>
      </c>
      <c r="C354" s="6" t="n">
        <v>46229</v>
      </c>
      <c r="D354" s="4" t="s">
        <v>2735</v>
      </c>
      <c r="E354" s="4" t="s">
        <v>7047</v>
      </c>
      <c r="F354" s="7" t="n">
        <v>75877.32</v>
      </c>
      <c r="G354" s="24" t="s">
        <v>5951</v>
      </c>
      <c r="H354" s="4" t="s">
        <v>2731</v>
      </c>
      <c r="I354" s="4"/>
    </row>
    <row r="355" customFormat="false" ht="15" hidden="false" customHeight="false" outlineLevel="0" collapsed="false">
      <c r="A355" s="4" t="s">
        <v>2738</v>
      </c>
      <c r="B355" s="23" t="n">
        <v>352</v>
      </c>
      <c r="C355" s="6" t="n">
        <v>46229</v>
      </c>
      <c r="D355" s="4" t="s">
        <v>2740</v>
      </c>
      <c r="E355" s="4" t="s">
        <v>7048</v>
      </c>
      <c r="F355" s="7" t="n">
        <v>59555.08</v>
      </c>
      <c r="G355" s="24" t="s">
        <v>5951</v>
      </c>
      <c r="H355" s="4" t="s">
        <v>2736</v>
      </c>
      <c r="I355" s="4"/>
    </row>
    <row r="356" customFormat="false" ht="15" hidden="false" customHeight="false" outlineLevel="0" collapsed="false">
      <c r="A356" s="4" t="s">
        <v>1029</v>
      </c>
      <c r="B356" s="23" t="n">
        <v>353</v>
      </c>
      <c r="C356" s="6" t="n">
        <v>46229</v>
      </c>
      <c r="D356" s="4" t="s">
        <v>1031</v>
      </c>
      <c r="E356" s="4" t="s">
        <v>6200</v>
      </c>
      <c r="F356" s="7" t="n">
        <v>63425.59</v>
      </c>
      <c r="G356" s="24" t="s">
        <v>5951</v>
      </c>
      <c r="H356" s="4" t="s">
        <v>1027</v>
      </c>
      <c r="I356" s="4"/>
    </row>
    <row r="357" customFormat="false" ht="15" hidden="false" customHeight="false" outlineLevel="0" collapsed="false">
      <c r="A357" s="4" t="s">
        <v>2743</v>
      </c>
      <c r="B357" s="23" t="n">
        <v>354</v>
      </c>
      <c r="C357" s="6" t="n">
        <v>46229</v>
      </c>
      <c r="D357" s="4" t="s">
        <v>2745</v>
      </c>
      <c r="E357" s="4" t="s">
        <v>6207</v>
      </c>
      <c r="F357" s="7" t="n">
        <v>3119.51</v>
      </c>
      <c r="G357" s="24" t="s">
        <v>5951</v>
      </c>
      <c r="H357" s="4" t="s">
        <v>2741</v>
      </c>
      <c r="I357" s="4"/>
    </row>
    <row r="358" customFormat="false" ht="15" hidden="false" customHeight="false" outlineLevel="0" collapsed="false">
      <c r="A358" s="4" t="s">
        <v>4064</v>
      </c>
      <c r="B358" s="23" t="n">
        <v>355</v>
      </c>
      <c r="C358" s="6" t="n">
        <v>46229</v>
      </c>
      <c r="D358" s="4" t="s">
        <v>4066</v>
      </c>
      <c r="E358" s="4" t="s">
        <v>6220</v>
      </c>
      <c r="F358" s="7" t="n">
        <v>23045.1</v>
      </c>
      <c r="G358" s="24" t="s">
        <v>5951</v>
      </c>
      <c r="H358" s="4" t="s">
        <v>4062</v>
      </c>
      <c r="I358" s="4"/>
    </row>
    <row r="359" customFormat="false" ht="15" hidden="false" customHeight="false" outlineLevel="0" collapsed="false">
      <c r="A359" s="4" t="s">
        <v>2748</v>
      </c>
      <c r="B359" s="23" t="n">
        <v>356</v>
      </c>
      <c r="C359" s="6" t="n">
        <v>46229</v>
      </c>
      <c r="D359" s="4" t="s">
        <v>2750</v>
      </c>
      <c r="E359" s="4" t="s">
        <v>6208</v>
      </c>
      <c r="F359" s="7" t="n">
        <v>80169.88</v>
      </c>
      <c r="G359" s="24" t="s">
        <v>5951</v>
      </c>
      <c r="H359" s="4" t="s">
        <v>2746</v>
      </c>
      <c r="I359" s="4"/>
    </row>
    <row r="360" customFormat="false" ht="15" hidden="false" customHeight="false" outlineLevel="0" collapsed="false">
      <c r="A360" s="4" t="s">
        <v>1034</v>
      </c>
      <c r="B360" s="23" t="n">
        <v>357</v>
      </c>
      <c r="C360" s="6" t="n">
        <v>46229</v>
      </c>
      <c r="D360" s="4" t="s">
        <v>1036</v>
      </c>
      <c r="E360" s="4" t="s">
        <v>7049</v>
      </c>
      <c r="F360" s="7" t="n">
        <v>49567.52</v>
      </c>
      <c r="G360" s="24" t="s">
        <v>5951</v>
      </c>
      <c r="H360" s="4" t="s">
        <v>1032</v>
      </c>
      <c r="I360" s="4"/>
    </row>
    <row r="361" customFormat="false" ht="15" hidden="false" customHeight="false" outlineLevel="0" collapsed="false">
      <c r="A361" s="4" t="s">
        <v>4069</v>
      </c>
      <c r="B361" s="23" t="n">
        <v>358</v>
      </c>
      <c r="C361" s="6" t="n">
        <v>46229</v>
      </c>
      <c r="D361" s="4" t="s">
        <v>4071</v>
      </c>
      <c r="E361" s="4" t="s">
        <v>6222</v>
      </c>
      <c r="F361" s="7" t="n">
        <v>32840.22</v>
      </c>
      <c r="G361" s="24" t="s">
        <v>5951</v>
      </c>
      <c r="H361" s="4" t="s">
        <v>4067</v>
      </c>
      <c r="I361" s="4"/>
    </row>
    <row r="362" customFormat="false" ht="15" hidden="false" customHeight="false" outlineLevel="0" collapsed="false">
      <c r="A362" s="4" t="s">
        <v>4074</v>
      </c>
      <c r="B362" s="23" t="n">
        <v>359</v>
      </c>
      <c r="C362" s="6" t="n">
        <v>46229</v>
      </c>
      <c r="D362" s="4" t="s">
        <v>4076</v>
      </c>
      <c r="E362" s="4" t="s">
        <v>6223</v>
      </c>
      <c r="F362" s="7" t="n">
        <v>35425.79</v>
      </c>
      <c r="G362" s="24" t="s">
        <v>5951</v>
      </c>
      <c r="H362" s="4" t="s">
        <v>4072</v>
      </c>
      <c r="I362" s="4"/>
    </row>
    <row r="363" customFormat="false" ht="15" hidden="false" customHeight="false" outlineLevel="0" collapsed="false">
      <c r="A363" s="4" t="s">
        <v>4667</v>
      </c>
      <c r="B363" s="23" t="n">
        <v>360</v>
      </c>
      <c r="C363" s="6" t="n">
        <v>46229</v>
      </c>
      <c r="D363" s="4" t="s">
        <v>4669</v>
      </c>
      <c r="E363" s="4" t="s">
        <v>7050</v>
      </c>
      <c r="F363" s="7" t="n">
        <v>-21212.1</v>
      </c>
      <c r="G363" s="24" t="s">
        <v>5951</v>
      </c>
      <c r="H363" s="4" t="s">
        <v>4665</v>
      </c>
      <c r="I363" s="4"/>
    </row>
    <row r="364" customFormat="false" ht="15" hidden="false" customHeight="false" outlineLevel="0" collapsed="false">
      <c r="A364" s="4" t="s">
        <v>5037</v>
      </c>
      <c r="B364" s="23" t="n">
        <v>361</v>
      </c>
      <c r="C364" s="6" t="n">
        <v>46229</v>
      </c>
      <c r="D364" s="4" t="s">
        <v>5039</v>
      </c>
      <c r="E364" s="4" t="s">
        <v>7051</v>
      </c>
      <c r="F364" s="7" t="n">
        <v>-11239.85</v>
      </c>
      <c r="G364" s="24" t="s">
        <v>5951</v>
      </c>
      <c r="H364" s="4" t="s">
        <v>5035</v>
      </c>
      <c r="I364" s="4"/>
    </row>
    <row r="365" customFormat="false" ht="15" hidden="false" customHeight="false" outlineLevel="0" collapsed="false">
      <c r="A365" s="4" t="s">
        <v>5042</v>
      </c>
      <c r="B365" s="23" t="n">
        <v>362</v>
      </c>
      <c r="C365" s="6" t="n">
        <v>46229</v>
      </c>
      <c r="D365" s="4" t="s">
        <v>5044</v>
      </c>
      <c r="E365" s="4" t="s">
        <v>7052</v>
      </c>
      <c r="F365" s="7" t="n">
        <v>-59322.86</v>
      </c>
      <c r="G365" s="24" t="s">
        <v>5951</v>
      </c>
      <c r="H365" s="4" t="s">
        <v>5040</v>
      </c>
      <c r="I365" s="4"/>
    </row>
    <row r="366" customFormat="false" ht="15" hidden="false" customHeight="false" outlineLevel="0" collapsed="false">
      <c r="A366" s="4" t="s">
        <v>2753</v>
      </c>
      <c r="B366" s="23" t="n">
        <v>363</v>
      </c>
      <c r="C366" s="6" t="n">
        <v>46229</v>
      </c>
      <c r="D366" s="4" t="s">
        <v>2755</v>
      </c>
      <c r="E366" s="4" t="s">
        <v>7053</v>
      </c>
      <c r="F366" s="7" t="n">
        <v>-39061.59</v>
      </c>
      <c r="G366" s="24" t="s">
        <v>5951</v>
      </c>
      <c r="H366" s="4" t="s">
        <v>2751</v>
      </c>
      <c r="I366" s="4"/>
    </row>
    <row r="367" customFormat="false" ht="15" hidden="false" customHeight="false" outlineLevel="0" collapsed="false">
      <c r="A367" s="4" t="s">
        <v>5455</v>
      </c>
      <c r="B367" s="23" t="n">
        <v>364</v>
      </c>
      <c r="C367" s="6" t="n">
        <v>46229</v>
      </c>
      <c r="D367" s="4" t="s">
        <v>5457</v>
      </c>
      <c r="E367" s="4" t="s">
        <v>7054</v>
      </c>
      <c r="F367" s="7" t="n">
        <v>-35323.8</v>
      </c>
      <c r="G367" s="24" t="s">
        <v>5951</v>
      </c>
      <c r="H367" s="4" t="s">
        <v>5453</v>
      </c>
      <c r="I367" s="4"/>
    </row>
    <row r="368" customFormat="false" ht="15" hidden="false" customHeight="false" outlineLevel="0" collapsed="false">
      <c r="A368" s="4" t="s">
        <v>4672</v>
      </c>
      <c r="B368" s="23" t="n">
        <v>365</v>
      </c>
      <c r="C368" s="6" t="n">
        <v>46229</v>
      </c>
      <c r="D368" s="4" t="s">
        <v>4674</v>
      </c>
      <c r="E368" s="4" t="s">
        <v>7055</v>
      </c>
      <c r="F368" s="7" t="n">
        <v>-14328.73</v>
      </c>
      <c r="G368" s="24" t="s">
        <v>5951</v>
      </c>
      <c r="H368" s="4" t="s">
        <v>4670</v>
      </c>
      <c r="I368" s="4"/>
    </row>
    <row r="369" customFormat="false" ht="15" hidden="false" customHeight="false" outlineLevel="0" collapsed="false">
      <c r="A369" s="4" t="s">
        <v>5460</v>
      </c>
      <c r="B369" s="23" t="n">
        <v>366</v>
      </c>
      <c r="C369" s="6" t="n">
        <v>46229</v>
      </c>
      <c r="D369" s="4" t="s">
        <v>5462</v>
      </c>
      <c r="E369" s="4" t="s">
        <v>7056</v>
      </c>
      <c r="F369" s="7" t="n">
        <v>-27529.52</v>
      </c>
      <c r="G369" s="24" t="s">
        <v>5951</v>
      </c>
      <c r="H369" s="4" t="s">
        <v>5458</v>
      </c>
      <c r="I369" s="4"/>
    </row>
    <row r="370" customFormat="false" ht="15" hidden="false" customHeight="false" outlineLevel="0" collapsed="false">
      <c r="A370" s="4" t="s">
        <v>2758</v>
      </c>
      <c r="B370" s="23" t="n">
        <v>367</v>
      </c>
      <c r="C370" s="6" t="n">
        <v>46229</v>
      </c>
      <c r="D370" s="4" t="s">
        <v>2760</v>
      </c>
      <c r="E370" s="4" t="s">
        <v>7057</v>
      </c>
      <c r="F370" s="7" t="n">
        <v>-15796.54</v>
      </c>
      <c r="G370" s="24" t="s">
        <v>5951</v>
      </c>
      <c r="H370" s="4" t="s">
        <v>2756</v>
      </c>
      <c r="I370" s="4"/>
    </row>
    <row r="371" customFormat="false" ht="15" hidden="false" customHeight="false" outlineLevel="0" collapsed="false">
      <c r="A371" s="4" t="s">
        <v>7058</v>
      </c>
      <c r="B371" s="23" t="n">
        <v>368</v>
      </c>
      <c r="C371" s="6" t="n">
        <v>46229</v>
      </c>
      <c r="D371" s="4" t="s">
        <v>5938</v>
      </c>
      <c r="E371" s="4"/>
      <c r="F371" s="7" t="n">
        <v>7391.24</v>
      </c>
      <c r="G371" s="25" t="s">
        <v>5987</v>
      </c>
      <c r="H371" s="4" t="s">
        <v>5936</v>
      </c>
      <c r="I371" s="4" t="s">
        <v>390</v>
      </c>
    </row>
    <row r="372" customFormat="false" ht="15" hidden="false" customHeight="false" outlineLevel="0" collapsed="false">
      <c r="A372" s="4" t="s">
        <v>7059</v>
      </c>
      <c r="B372" s="23" t="n">
        <v>369</v>
      </c>
      <c r="C372" s="6" t="n">
        <v>46229</v>
      </c>
      <c r="D372" s="4" t="s">
        <v>7060</v>
      </c>
      <c r="E372" s="4"/>
      <c r="F372" s="7" t="n">
        <v>3426.17</v>
      </c>
      <c r="G372" s="25" t="s">
        <v>5987</v>
      </c>
      <c r="H372" s="4" t="s">
        <v>5936</v>
      </c>
      <c r="I372" s="4" t="s">
        <v>390</v>
      </c>
    </row>
    <row r="373" customFormat="false" ht="15" hidden="false" customHeight="false" outlineLevel="0" collapsed="false">
      <c r="A373" s="4" t="s">
        <v>2763</v>
      </c>
      <c r="B373" s="23" t="n">
        <v>370</v>
      </c>
      <c r="C373" s="6" t="n">
        <v>46230</v>
      </c>
      <c r="D373" s="4" t="s">
        <v>2765</v>
      </c>
      <c r="E373" s="4" t="s">
        <v>7061</v>
      </c>
      <c r="F373" s="7" t="n">
        <v>9195.98</v>
      </c>
      <c r="G373" s="24" t="s">
        <v>5951</v>
      </c>
      <c r="H373" s="4" t="s">
        <v>2761</v>
      </c>
      <c r="I373" s="4"/>
    </row>
    <row r="374" customFormat="false" ht="15" hidden="false" customHeight="false" outlineLevel="0" collapsed="false">
      <c r="A374" s="4" t="s">
        <v>4079</v>
      </c>
      <c r="B374" s="23" t="n">
        <v>371</v>
      </c>
      <c r="C374" s="6" t="n">
        <v>46230</v>
      </c>
      <c r="D374" s="4" t="s">
        <v>4081</v>
      </c>
      <c r="E374" s="4" t="s">
        <v>6228</v>
      </c>
      <c r="F374" s="7" t="n">
        <v>9469.03</v>
      </c>
      <c r="G374" s="24" t="s">
        <v>5951</v>
      </c>
      <c r="H374" s="4" t="s">
        <v>4077</v>
      </c>
      <c r="I374" s="4"/>
    </row>
    <row r="375" customFormat="false" ht="15" hidden="false" customHeight="false" outlineLevel="0" collapsed="false">
      <c r="A375" s="4" t="s">
        <v>1039</v>
      </c>
      <c r="B375" s="23" t="n">
        <v>372</v>
      </c>
      <c r="C375" s="6" t="n">
        <v>46230</v>
      </c>
      <c r="D375" s="4" t="s">
        <v>1041</v>
      </c>
      <c r="E375" s="4" t="s">
        <v>6205</v>
      </c>
      <c r="F375" s="7" t="n">
        <v>38590.05</v>
      </c>
      <c r="G375" s="24" t="s">
        <v>5951</v>
      </c>
      <c r="H375" s="4" t="s">
        <v>1037</v>
      </c>
      <c r="I375" s="4"/>
    </row>
    <row r="376" customFormat="false" ht="15" hidden="false" customHeight="false" outlineLevel="0" collapsed="false">
      <c r="A376" s="4" t="s">
        <v>2768</v>
      </c>
      <c r="B376" s="23" t="n">
        <v>373</v>
      </c>
      <c r="C376" s="6" t="n">
        <v>46230</v>
      </c>
      <c r="D376" s="4" t="s">
        <v>2770</v>
      </c>
      <c r="E376" s="4" t="s">
        <v>6215</v>
      </c>
      <c r="F376" s="7" t="n">
        <v>71617.33</v>
      </c>
      <c r="G376" s="24" t="s">
        <v>5951</v>
      </c>
      <c r="H376" s="4" t="s">
        <v>2766</v>
      </c>
      <c r="I376" s="4"/>
    </row>
    <row r="377" customFormat="false" ht="15" hidden="false" customHeight="false" outlineLevel="0" collapsed="false">
      <c r="A377" s="4" t="s">
        <v>2773</v>
      </c>
      <c r="B377" s="23" t="n">
        <v>374</v>
      </c>
      <c r="C377" s="6" t="n">
        <v>46230</v>
      </c>
      <c r="D377" s="4" t="s">
        <v>2775</v>
      </c>
      <c r="E377" s="4" t="s">
        <v>6217</v>
      </c>
      <c r="F377" s="7" t="n">
        <v>49448.81</v>
      </c>
      <c r="G377" s="24" t="s">
        <v>5951</v>
      </c>
      <c r="H377" s="4" t="s">
        <v>2771</v>
      </c>
      <c r="I377" s="4"/>
    </row>
    <row r="378" customFormat="false" ht="15" hidden="false" customHeight="false" outlineLevel="0" collapsed="false">
      <c r="A378" s="4" t="s">
        <v>1044</v>
      </c>
      <c r="B378" s="23" t="n">
        <v>375</v>
      </c>
      <c r="C378" s="6" t="n">
        <v>46230</v>
      </c>
      <c r="D378" s="4" t="s">
        <v>1046</v>
      </c>
      <c r="E378" s="4" t="s">
        <v>6206</v>
      </c>
      <c r="F378" s="7" t="n">
        <v>31722.01</v>
      </c>
      <c r="G378" s="24" t="s">
        <v>5951</v>
      </c>
      <c r="H378" s="4" t="s">
        <v>1042</v>
      </c>
      <c r="I378" s="4"/>
    </row>
    <row r="379" customFormat="false" ht="15" hidden="false" customHeight="false" outlineLevel="0" collapsed="false">
      <c r="A379" s="4" t="s">
        <v>2778</v>
      </c>
      <c r="B379" s="23" t="n">
        <v>376</v>
      </c>
      <c r="C379" s="6" t="n">
        <v>46230</v>
      </c>
      <c r="D379" s="4" t="s">
        <v>2780</v>
      </c>
      <c r="E379" s="4" t="s">
        <v>6221</v>
      </c>
      <c r="F379" s="7" t="n">
        <v>53979.55</v>
      </c>
      <c r="G379" s="24" t="s">
        <v>5951</v>
      </c>
      <c r="H379" s="4" t="s">
        <v>2776</v>
      </c>
      <c r="I379" s="4"/>
    </row>
    <row r="380" customFormat="false" ht="15" hidden="false" customHeight="false" outlineLevel="0" collapsed="false">
      <c r="A380" s="4" t="s">
        <v>5047</v>
      </c>
      <c r="B380" s="23" t="n">
        <v>377</v>
      </c>
      <c r="C380" s="6" t="n">
        <v>46230</v>
      </c>
      <c r="D380" s="4" t="s">
        <v>5049</v>
      </c>
      <c r="E380" s="4" t="s">
        <v>7062</v>
      </c>
      <c r="F380" s="7" t="n">
        <v>-49061.68</v>
      </c>
      <c r="G380" s="24" t="s">
        <v>5951</v>
      </c>
      <c r="H380" s="4" t="s">
        <v>5045</v>
      </c>
      <c r="I380" s="4"/>
    </row>
    <row r="381" customFormat="false" ht="15" hidden="false" customHeight="false" outlineLevel="0" collapsed="false">
      <c r="A381" s="4" t="s">
        <v>1049</v>
      </c>
      <c r="B381" s="23" t="n">
        <v>378</v>
      </c>
      <c r="C381" s="6" t="n">
        <v>46230</v>
      </c>
      <c r="D381" s="4" t="s">
        <v>1051</v>
      </c>
      <c r="E381" s="4" t="s">
        <v>7063</v>
      </c>
      <c r="F381" s="7" t="n">
        <v>-21948.61</v>
      </c>
      <c r="G381" s="24" t="s">
        <v>5951</v>
      </c>
      <c r="H381" s="4" t="s">
        <v>1047</v>
      </c>
      <c r="I381" s="4"/>
    </row>
    <row r="382" customFormat="false" ht="15" hidden="false" customHeight="false" outlineLevel="0" collapsed="false">
      <c r="A382" s="4" t="s">
        <v>5465</v>
      </c>
      <c r="B382" s="23" t="n">
        <v>379</v>
      </c>
      <c r="C382" s="6" t="n">
        <v>46230</v>
      </c>
      <c r="D382" s="4" t="s">
        <v>5467</v>
      </c>
      <c r="E382" s="4" t="s">
        <v>7064</v>
      </c>
      <c r="F382" s="7" t="n">
        <v>-3601.61</v>
      </c>
      <c r="G382" s="24" t="s">
        <v>5951</v>
      </c>
      <c r="H382" s="4" t="s">
        <v>5463</v>
      </c>
      <c r="I382" s="4"/>
    </row>
    <row r="383" customFormat="false" ht="15" hidden="false" customHeight="false" outlineLevel="0" collapsed="false">
      <c r="A383" s="4" t="s">
        <v>4084</v>
      </c>
      <c r="B383" s="23" t="n">
        <v>380</v>
      </c>
      <c r="C383" s="6" t="n">
        <v>46230</v>
      </c>
      <c r="D383" s="4" t="s">
        <v>4086</v>
      </c>
      <c r="E383" s="4" t="s">
        <v>7065</v>
      </c>
      <c r="F383" s="7" t="n">
        <v>-4269.7</v>
      </c>
      <c r="G383" s="24" t="s">
        <v>5951</v>
      </c>
      <c r="H383" s="4" t="s">
        <v>4082</v>
      </c>
      <c r="I383" s="4"/>
    </row>
    <row r="384" customFormat="false" ht="15" hidden="false" customHeight="false" outlineLevel="0" collapsed="false">
      <c r="A384" s="4" t="s">
        <v>113</v>
      </c>
      <c r="B384" s="23" t="n">
        <v>381</v>
      </c>
      <c r="C384" s="6" t="n">
        <v>46230</v>
      </c>
      <c r="D384" s="4" t="s">
        <v>115</v>
      </c>
      <c r="E384" s="4" t="s">
        <v>114</v>
      </c>
      <c r="F384" s="7" t="n">
        <v>-28024.92</v>
      </c>
      <c r="G384" s="26" t="s">
        <v>6043</v>
      </c>
      <c r="H384" s="4"/>
      <c r="I384" s="4" t="s">
        <v>112</v>
      </c>
    </row>
    <row r="385" customFormat="false" ht="15" hidden="false" customHeight="false" outlineLevel="0" collapsed="false">
      <c r="A385" s="4" t="s">
        <v>2783</v>
      </c>
      <c r="B385" s="23" t="n">
        <v>382</v>
      </c>
      <c r="C385" s="6" t="n">
        <v>46231</v>
      </c>
      <c r="D385" s="4" t="s">
        <v>2785</v>
      </c>
      <c r="E385" s="4" t="s">
        <v>6229</v>
      </c>
      <c r="F385" s="7" t="n">
        <v>42407.16</v>
      </c>
      <c r="G385" s="24" t="s">
        <v>5951</v>
      </c>
      <c r="H385" s="4" t="s">
        <v>2781</v>
      </c>
      <c r="I385" s="4"/>
    </row>
    <row r="386" customFormat="false" ht="15" hidden="false" customHeight="false" outlineLevel="0" collapsed="false">
      <c r="A386" s="4" t="s">
        <v>1054</v>
      </c>
      <c r="B386" s="23" t="n">
        <v>383</v>
      </c>
      <c r="C386" s="6" t="n">
        <v>46231</v>
      </c>
      <c r="D386" s="4" t="s">
        <v>1056</v>
      </c>
      <c r="E386" s="4" t="s">
        <v>6216</v>
      </c>
      <c r="F386" s="7" t="n">
        <v>82383.24</v>
      </c>
      <c r="G386" s="24" t="s">
        <v>5951</v>
      </c>
      <c r="H386" s="4" t="s">
        <v>1052</v>
      </c>
      <c r="I386" s="4"/>
    </row>
    <row r="387" customFormat="false" ht="15" hidden="false" customHeight="false" outlineLevel="0" collapsed="false">
      <c r="A387" s="4" t="s">
        <v>1059</v>
      </c>
      <c r="B387" s="23" t="n">
        <v>384</v>
      </c>
      <c r="C387" s="6" t="n">
        <v>46231</v>
      </c>
      <c r="D387" s="4" t="s">
        <v>1060</v>
      </c>
      <c r="E387" s="4" t="s">
        <v>161</v>
      </c>
      <c r="F387" s="7" t="n">
        <v>39198.32</v>
      </c>
      <c r="G387" s="24" t="s">
        <v>5951</v>
      </c>
      <c r="H387" s="4" t="s">
        <v>1057</v>
      </c>
      <c r="I387" s="4"/>
    </row>
    <row r="388" customFormat="false" ht="15" hidden="false" customHeight="false" outlineLevel="0" collapsed="false">
      <c r="A388" s="4" t="s">
        <v>1063</v>
      </c>
      <c r="B388" s="23" t="n">
        <v>385</v>
      </c>
      <c r="C388" s="6" t="n">
        <v>46231</v>
      </c>
      <c r="D388" s="4" t="s">
        <v>1065</v>
      </c>
      <c r="E388" s="4" t="s">
        <v>6218</v>
      </c>
      <c r="F388" s="7" t="n">
        <v>30196.76</v>
      </c>
      <c r="G388" s="24" t="s">
        <v>5951</v>
      </c>
      <c r="H388" s="4" t="s">
        <v>1061</v>
      </c>
      <c r="I388" s="4"/>
    </row>
    <row r="389" customFormat="false" ht="15" hidden="false" customHeight="false" outlineLevel="0" collapsed="false">
      <c r="A389" s="4" t="s">
        <v>1068</v>
      </c>
      <c r="B389" s="23" t="n">
        <v>386</v>
      </c>
      <c r="C389" s="6" t="n">
        <v>46231</v>
      </c>
      <c r="D389" s="4" t="s">
        <v>1070</v>
      </c>
      <c r="E389" s="4" t="s">
        <v>6219</v>
      </c>
      <c r="F389" s="7" t="n">
        <v>17618.37</v>
      </c>
      <c r="G389" s="24" t="s">
        <v>5951</v>
      </c>
      <c r="H389" s="4" t="s">
        <v>1066</v>
      </c>
      <c r="I389" s="4"/>
    </row>
    <row r="390" customFormat="false" ht="15" hidden="false" customHeight="false" outlineLevel="0" collapsed="false">
      <c r="A390" s="4" t="s">
        <v>1073</v>
      </c>
      <c r="B390" s="23" t="n">
        <v>387</v>
      </c>
      <c r="C390" s="6" t="n">
        <v>46231</v>
      </c>
      <c r="D390" s="4" t="s">
        <v>1075</v>
      </c>
      <c r="E390" s="4" t="s">
        <v>7066</v>
      </c>
      <c r="F390" s="7" t="n">
        <v>81978.96</v>
      </c>
      <c r="G390" s="24" t="s">
        <v>5951</v>
      </c>
      <c r="H390" s="4" t="s">
        <v>1071</v>
      </c>
      <c r="I390" s="4"/>
    </row>
    <row r="391" customFormat="false" ht="15" hidden="false" customHeight="false" outlineLevel="0" collapsed="false">
      <c r="A391" s="4" t="s">
        <v>5470</v>
      </c>
      <c r="B391" s="23" t="n">
        <v>388</v>
      </c>
      <c r="C391" s="6" t="n">
        <v>46231</v>
      </c>
      <c r="D391" s="4" t="s">
        <v>5472</v>
      </c>
      <c r="E391" s="4" t="s">
        <v>7067</v>
      </c>
      <c r="F391" s="7" t="n">
        <v>-22391.07</v>
      </c>
      <c r="G391" s="24" t="s">
        <v>5951</v>
      </c>
      <c r="H391" s="4" t="s">
        <v>5468</v>
      </c>
      <c r="I391" s="4"/>
    </row>
    <row r="392" customFormat="false" ht="15" hidden="false" customHeight="false" outlineLevel="0" collapsed="false">
      <c r="A392" s="4" t="s">
        <v>5475</v>
      </c>
      <c r="B392" s="23" t="n">
        <v>389</v>
      </c>
      <c r="C392" s="6" t="n">
        <v>46231</v>
      </c>
      <c r="D392" s="4" t="s">
        <v>5477</v>
      </c>
      <c r="E392" s="4" t="s">
        <v>7068</v>
      </c>
      <c r="F392" s="7" t="n">
        <v>-29024.38</v>
      </c>
      <c r="G392" s="24" t="s">
        <v>5951</v>
      </c>
      <c r="H392" s="4" t="s">
        <v>5473</v>
      </c>
      <c r="I392" s="4"/>
    </row>
    <row r="393" customFormat="false" ht="15" hidden="false" customHeight="false" outlineLevel="0" collapsed="false">
      <c r="A393" s="4" t="s">
        <v>2788</v>
      </c>
      <c r="B393" s="23" t="n">
        <v>390</v>
      </c>
      <c r="C393" s="6" t="n">
        <v>46231</v>
      </c>
      <c r="D393" s="4" t="s">
        <v>2790</v>
      </c>
      <c r="E393" s="4" t="s">
        <v>7069</v>
      </c>
      <c r="F393" s="7" t="n">
        <v>-37664.84</v>
      </c>
      <c r="G393" s="24" t="s">
        <v>5951</v>
      </c>
      <c r="H393" s="4" t="s">
        <v>2786</v>
      </c>
      <c r="I393" s="4"/>
    </row>
    <row r="394" customFormat="false" ht="15" hidden="false" customHeight="false" outlineLevel="0" collapsed="false">
      <c r="A394" s="4" t="s">
        <v>4089</v>
      </c>
      <c r="B394" s="23" t="n">
        <v>391</v>
      </c>
      <c r="C394" s="6" t="n">
        <v>46231</v>
      </c>
      <c r="D394" s="4" t="s">
        <v>4091</v>
      </c>
      <c r="E394" s="4" t="s">
        <v>7070</v>
      </c>
      <c r="F394" s="7" t="n">
        <v>-55411.82</v>
      </c>
      <c r="G394" s="24" t="s">
        <v>5951</v>
      </c>
      <c r="H394" s="4" t="s">
        <v>4087</v>
      </c>
      <c r="I394" s="4"/>
    </row>
    <row r="395" customFormat="false" ht="15" hidden="false" customHeight="false" outlineLevel="0" collapsed="false">
      <c r="A395" s="4" t="s">
        <v>5052</v>
      </c>
      <c r="B395" s="23" t="n">
        <v>392</v>
      </c>
      <c r="C395" s="6" t="n">
        <v>46231</v>
      </c>
      <c r="D395" s="4" t="s">
        <v>5054</v>
      </c>
      <c r="E395" s="4" t="s">
        <v>7071</v>
      </c>
      <c r="F395" s="7" t="n">
        <v>-57431.3</v>
      </c>
      <c r="G395" s="24" t="s">
        <v>5951</v>
      </c>
      <c r="H395" s="4" t="s">
        <v>5050</v>
      </c>
      <c r="I395" s="4"/>
    </row>
    <row r="396" customFormat="false" ht="15" hidden="false" customHeight="false" outlineLevel="0" collapsed="false">
      <c r="A396" s="4" t="s">
        <v>2793</v>
      </c>
      <c r="B396" s="23" t="n">
        <v>393</v>
      </c>
      <c r="C396" s="6" t="n">
        <v>46231</v>
      </c>
      <c r="D396" s="4" t="s">
        <v>2795</v>
      </c>
      <c r="E396" s="4" t="s">
        <v>7072</v>
      </c>
      <c r="F396" s="7" t="n">
        <v>-21291.77</v>
      </c>
      <c r="G396" s="24" t="s">
        <v>5951</v>
      </c>
      <c r="H396" s="4" t="s">
        <v>2791</v>
      </c>
      <c r="I396" s="4"/>
    </row>
    <row r="397" customFormat="false" ht="15" hidden="false" customHeight="false" outlineLevel="0" collapsed="false">
      <c r="A397" s="4" t="s">
        <v>5057</v>
      </c>
      <c r="B397" s="23" t="n">
        <v>394</v>
      </c>
      <c r="C397" s="6" t="n">
        <v>46231</v>
      </c>
      <c r="D397" s="4" t="s">
        <v>5059</v>
      </c>
      <c r="E397" s="4" t="s">
        <v>7073</v>
      </c>
      <c r="F397" s="7" t="n">
        <v>-30068.11</v>
      </c>
      <c r="G397" s="24" t="s">
        <v>5951</v>
      </c>
      <c r="H397" s="4" t="s">
        <v>5055</v>
      </c>
      <c r="I397" s="4"/>
    </row>
    <row r="398" customFormat="false" ht="15" hidden="false" customHeight="false" outlineLevel="0" collapsed="false">
      <c r="A398" s="4" t="s">
        <v>346</v>
      </c>
      <c r="B398" s="23" t="n">
        <v>395</v>
      </c>
      <c r="C398" s="6" t="n">
        <v>46231</v>
      </c>
      <c r="D398" s="4" t="s">
        <v>5888</v>
      </c>
      <c r="E398" s="4" t="s">
        <v>347</v>
      </c>
      <c r="F398" s="7" t="n">
        <v>32573.35</v>
      </c>
      <c r="G398" s="25" t="s">
        <v>5987</v>
      </c>
      <c r="H398" s="4" t="s">
        <v>5886</v>
      </c>
      <c r="I398" s="4" t="s">
        <v>344</v>
      </c>
    </row>
    <row r="399" customFormat="false" ht="15" hidden="false" customHeight="false" outlineLevel="0" collapsed="false">
      <c r="A399" s="4" t="s">
        <v>1078</v>
      </c>
      <c r="B399" s="23" t="n">
        <v>396</v>
      </c>
      <c r="C399" s="6" t="n">
        <v>46232</v>
      </c>
      <c r="D399" s="4" t="s">
        <v>1080</v>
      </c>
      <c r="E399" s="4" t="s">
        <v>6227</v>
      </c>
      <c r="F399" s="7" t="n">
        <v>39494.6</v>
      </c>
      <c r="G399" s="24" t="s">
        <v>5951</v>
      </c>
      <c r="H399" s="4" t="s">
        <v>1076</v>
      </c>
      <c r="I399" s="4"/>
    </row>
    <row r="400" customFormat="false" ht="15" hidden="false" customHeight="false" outlineLevel="0" collapsed="false">
      <c r="A400" s="4" t="s">
        <v>1083</v>
      </c>
      <c r="B400" s="23" t="n">
        <v>397</v>
      </c>
      <c r="C400" s="6" t="n">
        <v>46232</v>
      </c>
      <c r="D400" s="4" t="s">
        <v>1085</v>
      </c>
      <c r="E400" s="4" t="s">
        <v>6230</v>
      </c>
      <c r="F400" s="7" t="n">
        <v>10704.31</v>
      </c>
      <c r="G400" s="24" t="s">
        <v>5951</v>
      </c>
      <c r="H400" s="4" t="s">
        <v>1081</v>
      </c>
      <c r="I400" s="4"/>
    </row>
    <row r="401" customFormat="false" ht="15" hidden="false" customHeight="false" outlineLevel="0" collapsed="false">
      <c r="A401" s="4" t="s">
        <v>1088</v>
      </c>
      <c r="B401" s="23" t="n">
        <v>398</v>
      </c>
      <c r="C401" s="6" t="n">
        <v>46232</v>
      </c>
      <c r="D401" s="4" t="s">
        <v>1090</v>
      </c>
      <c r="E401" s="4" t="s">
        <v>6231</v>
      </c>
      <c r="F401" s="7" t="n">
        <v>44628.83</v>
      </c>
      <c r="G401" s="24" t="s">
        <v>5951</v>
      </c>
      <c r="H401" s="4" t="s">
        <v>1086</v>
      </c>
      <c r="I401" s="4"/>
    </row>
    <row r="402" customFormat="false" ht="15" hidden="false" customHeight="false" outlineLevel="0" collapsed="false">
      <c r="A402" s="4" t="s">
        <v>4094</v>
      </c>
      <c r="B402" s="23" t="n">
        <v>399</v>
      </c>
      <c r="C402" s="6" t="n">
        <v>46232</v>
      </c>
      <c r="D402" s="4" t="s">
        <v>4096</v>
      </c>
      <c r="E402" s="4" t="s">
        <v>6252</v>
      </c>
      <c r="F402" s="7" t="n">
        <v>75772.4</v>
      </c>
      <c r="G402" s="24" t="s">
        <v>5951</v>
      </c>
      <c r="H402" s="4" t="s">
        <v>4092</v>
      </c>
      <c r="I402" s="4"/>
    </row>
    <row r="403" customFormat="false" ht="15" hidden="false" customHeight="false" outlineLevel="0" collapsed="false">
      <c r="A403" s="4" t="s">
        <v>2798</v>
      </c>
      <c r="B403" s="23" t="n">
        <v>400</v>
      </c>
      <c r="C403" s="6" t="n">
        <v>46232</v>
      </c>
      <c r="D403" s="4" t="s">
        <v>2800</v>
      </c>
      <c r="E403" s="4" t="s">
        <v>6242</v>
      </c>
      <c r="F403" s="7" t="n">
        <v>51491.03</v>
      </c>
      <c r="G403" s="24" t="s">
        <v>5951</v>
      </c>
      <c r="H403" s="4" t="s">
        <v>2796</v>
      </c>
      <c r="I403" s="4"/>
    </row>
    <row r="404" customFormat="false" ht="15" hidden="false" customHeight="false" outlineLevel="0" collapsed="false">
      <c r="A404" s="4" t="s">
        <v>1093</v>
      </c>
      <c r="B404" s="23" t="n">
        <v>401</v>
      </c>
      <c r="C404" s="6" t="n">
        <v>46232</v>
      </c>
      <c r="D404" s="4" t="s">
        <v>1095</v>
      </c>
      <c r="E404" s="4" t="s">
        <v>6232</v>
      </c>
      <c r="F404" s="7" t="n">
        <v>54708.96</v>
      </c>
      <c r="G404" s="24" t="s">
        <v>5951</v>
      </c>
      <c r="H404" s="4" t="s">
        <v>1091</v>
      </c>
      <c r="I404" s="4"/>
    </row>
    <row r="405" customFormat="false" ht="15" hidden="false" customHeight="false" outlineLevel="0" collapsed="false">
      <c r="A405" s="4" t="s">
        <v>1098</v>
      </c>
      <c r="B405" s="23" t="n">
        <v>402</v>
      </c>
      <c r="C405" s="6" t="n">
        <v>46232</v>
      </c>
      <c r="D405" s="4" t="s">
        <v>1100</v>
      </c>
      <c r="E405" s="4" t="s">
        <v>7074</v>
      </c>
      <c r="F405" s="7" t="n">
        <v>94237.85</v>
      </c>
      <c r="G405" s="24" t="s">
        <v>5951</v>
      </c>
      <c r="H405" s="4" t="s">
        <v>1096</v>
      </c>
      <c r="I405" s="4"/>
    </row>
    <row r="406" customFormat="false" ht="15" hidden="false" customHeight="false" outlineLevel="0" collapsed="false">
      <c r="A406" s="4" t="s">
        <v>5480</v>
      </c>
      <c r="B406" s="23" t="n">
        <v>403</v>
      </c>
      <c r="C406" s="6" t="n">
        <v>46232</v>
      </c>
      <c r="D406" s="4" t="s">
        <v>5482</v>
      </c>
      <c r="E406" s="4" t="s">
        <v>7075</v>
      </c>
      <c r="F406" s="7" t="n">
        <v>-50962.56</v>
      </c>
      <c r="G406" s="24" t="s">
        <v>5951</v>
      </c>
      <c r="H406" s="4" t="s">
        <v>5478</v>
      </c>
      <c r="I406" s="4"/>
    </row>
    <row r="407" customFormat="false" ht="15" hidden="false" customHeight="false" outlineLevel="0" collapsed="false">
      <c r="A407" s="4" t="s">
        <v>4099</v>
      </c>
      <c r="B407" s="23" t="n">
        <v>404</v>
      </c>
      <c r="C407" s="6" t="n">
        <v>46232</v>
      </c>
      <c r="D407" s="4" t="s">
        <v>4101</v>
      </c>
      <c r="E407" s="4" t="s">
        <v>7076</v>
      </c>
      <c r="F407" s="7" t="n">
        <v>-45115.86</v>
      </c>
      <c r="G407" s="24" t="s">
        <v>5951</v>
      </c>
      <c r="H407" s="4" t="s">
        <v>4097</v>
      </c>
      <c r="I407" s="4"/>
    </row>
    <row r="408" customFormat="false" ht="15" hidden="false" customHeight="false" outlineLevel="0" collapsed="false">
      <c r="A408" s="4" t="s">
        <v>5062</v>
      </c>
      <c r="B408" s="23" t="n">
        <v>405</v>
      </c>
      <c r="C408" s="6" t="n">
        <v>46232</v>
      </c>
      <c r="D408" s="4" t="s">
        <v>5064</v>
      </c>
      <c r="E408" s="4" t="s">
        <v>7077</v>
      </c>
      <c r="F408" s="7" t="n">
        <v>-33464.26</v>
      </c>
      <c r="G408" s="24" t="s">
        <v>5951</v>
      </c>
      <c r="H408" s="4" t="s">
        <v>5060</v>
      </c>
      <c r="I408" s="4"/>
    </row>
    <row r="409" customFormat="false" ht="15" hidden="false" customHeight="false" outlineLevel="0" collapsed="false">
      <c r="A409" s="4" t="s">
        <v>5485</v>
      </c>
      <c r="B409" s="23" t="n">
        <v>406</v>
      </c>
      <c r="C409" s="6" t="n">
        <v>46232</v>
      </c>
      <c r="D409" s="4" t="s">
        <v>5487</v>
      </c>
      <c r="E409" s="4" t="s">
        <v>7078</v>
      </c>
      <c r="F409" s="7" t="n">
        <v>-652.95</v>
      </c>
      <c r="G409" s="24" t="s">
        <v>5951</v>
      </c>
      <c r="H409" s="4" t="s">
        <v>5483</v>
      </c>
      <c r="I409" s="4"/>
    </row>
    <row r="410" customFormat="false" ht="15" hidden="false" customHeight="false" outlineLevel="0" collapsed="false">
      <c r="A410" s="4" t="s">
        <v>1103</v>
      </c>
      <c r="B410" s="23" t="n">
        <v>407</v>
      </c>
      <c r="C410" s="6" t="n">
        <v>46232</v>
      </c>
      <c r="D410" s="4" t="s">
        <v>1105</v>
      </c>
      <c r="E410" s="4" t="s">
        <v>7079</v>
      </c>
      <c r="F410" s="7" t="n">
        <v>-7528.09</v>
      </c>
      <c r="G410" s="24" t="s">
        <v>5951</v>
      </c>
      <c r="H410" s="4" t="s">
        <v>1101</v>
      </c>
      <c r="I410" s="4"/>
    </row>
    <row r="411" customFormat="false" ht="15" hidden="false" customHeight="false" outlineLevel="0" collapsed="false">
      <c r="A411" s="4" t="s">
        <v>1108</v>
      </c>
      <c r="B411" s="23" t="n">
        <v>408</v>
      </c>
      <c r="C411" s="6" t="n">
        <v>46233</v>
      </c>
      <c r="D411" s="4" t="s">
        <v>1110</v>
      </c>
      <c r="E411" s="4" t="s">
        <v>7080</v>
      </c>
      <c r="F411" s="7" t="n">
        <v>38000.6</v>
      </c>
      <c r="G411" s="24" t="s">
        <v>5951</v>
      </c>
      <c r="H411" s="4" t="s">
        <v>1106</v>
      </c>
      <c r="I411" s="4"/>
    </row>
    <row r="412" customFormat="false" ht="15" hidden="false" customHeight="false" outlineLevel="0" collapsed="false">
      <c r="A412" s="4" t="s">
        <v>1113</v>
      </c>
      <c r="B412" s="23" t="n">
        <v>409</v>
      </c>
      <c r="C412" s="6" t="n">
        <v>46233</v>
      </c>
      <c r="D412" s="4" t="s">
        <v>1114</v>
      </c>
      <c r="E412" s="4" t="s">
        <v>146</v>
      </c>
      <c r="F412" s="7" t="n">
        <v>71068.32</v>
      </c>
      <c r="G412" s="24" t="s">
        <v>5951</v>
      </c>
      <c r="H412" s="4" t="s">
        <v>1111</v>
      </c>
      <c r="I412" s="4"/>
    </row>
    <row r="413" customFormat="false" ht="15" hidden="false" customHeight="false" outlineLevel="0" collapsed="false">
      <c r="A413" s="4" t="s">
        <v>1117</v>
      </c>
      <c r="B413" s="23" t="n">
        <v>410</v>
      </c>
      <c r="C413" s="6" t="n">
        <v>46233</v>
      </c>
      <c r="D413" s="4" t="s">
        <v>1119</v>
      </c>
      <c r="E413" s="4" t="s">
        <v>7081</v>
      </c>
      <c r="F413" s="7" t="n">
        <v>87506.43</v>
      </c>
      <c r="G413" s="24" t="s">
        <v>5951</v>
      </c>
      <c r="H413" s="4" t="s">
        <v>1115</v>
      </c>
      <c r="I413" s="4"/>
    </row>
    <row r="414" customFormat="false" ht="15" hidden="false" customHeight="false" outlineLevel="0" collapsed="false">
      <c r="A414" s="4" t="s">
        <v>2803</v>
      </c>
      <c r="B414" s="23" t="n">
        <v>411</v>
      </c>
      <c r="C414" s="6" t="n">
        <v>46233</v>
      </c>
      <c r="D414" s="4" t="s">
        <v>2805</v>
      </c>
      <c r="E414" s="4" t="s">
        <v>6250</v>
      </c>
      <c r="F414" s="7" t="n">
        <v>72592.61</v>
      </c>
      <c r="G414" s="24" t="s">
        <v>5951</v>
      </c>
      <c r="H414" s="4" t="s">
        <v>2801</v>
      </c>
      <c r="I414" s="4"/>
    </row>
    <row r="415" customFormat="false" ht="15" hidden="false" customHeight="false" outlineLevel="0" collapsed="false">
      <c r="A415" s="4" t="s">
        <v>4104</v>
      </c>
      <c r="B415" s="23" t="n">
        <v>412</v>
      </c>
      <c r="C415" s="6" t="n">
        <v>46233</v>
      </c>
      <c r="D415" s="4" t="s">
        <v>4106</v>
      </c>
      <c r="E415" s="4" t="s">
        <v>6265</v>
      </c>
      <c r="F415" s="7" t="n">
        <v>41746.24</v>
      </c>
      <c r="G415" s="24" t="s">
        <v>5951</v>
      </c>
      <c r="H415" s="4" t="s">
        <v>4102</v>
      </c>
      <c r="I415" s="4"/>
    </row>
    <row r="416" customFormat="false" ht="15" hidden="false" customHeight="false" outlineLevel="0" collapsed="false">
      <c r="A416" s="4" t="s">
        <v>2808</v>
      </c>
      <c r="B416" s="23" t="n">
        <v>413</v>
      </c>
      <c r="C416" s="6" t="n">
        <v>46233</v>
      </c>
      <c r="D416" s="4" t="s">
        <v>2810</v>
      </c>
      <c r="E416" s="4" t="s">
        <v>6253</v>
      </c>
      <c r="F416" s="7" t="n">
        <v>46184.95</v>
      </c>
      <c r="G416" s="24" t="s">
        <v>5951</v>
      </c>
      <c r="H416" s="4" t="s">
        <v>2806</v>
      </c>
      <c r="I416" s="4"/>
    </row>
    <row r="417" customFormat="false" ht="15" hidden="false" customHeight="false" outlineLevel="0" collapsed="false">
      <c r="A417" s="4" t="s">
        <v>1122</v>
      </c>
      <c r="B417" s="23" t="n">
        <v>414</v>
      </c>
      <c r="C417" s="6" t="n">
        <v>46233</v>
      </c>
      <c r="D417" s="4" t="s">
        <v>1124</v>
      </c>
      <c r="E417" s="4" t="s">
        <v>6243</v>
      </c>
      <c r="F417" s="7" t="n">
        <v>27333.48</v>
      </c>
      <c r="G417" s="24" t="s">
        <v>5951</v>
      </c>
      <c r="H417" s="4" t="s">
        <v>1120</v>
      </c>
      <c r="I417" s="4"/>
    </row>
    <row r="418" customFormat="false" ht="15" hidden="false" customHeight="false" outlineLevel="0" collapsed="false">
      <c r="A418" s="4" t="s">
        <v>2813</v>
      </c>
      <c r="B418" s="23" t="n">
        <v>415</v>
      </c>
      <c r="C418" s="6" t="n">
        <v>46233</v>
      </c>
      <c r="D418" s="4" t="s">
        <v>2815</v>
      </c>
      <c r="E418" s="4" t="s">
        <v>6254</v>
      </c>
      <c r="F418" s="7" t="n">
        <v>21439.61</v>
      </c>
      <c r="G418" s="24" t="s">
        <v>5951</v>
      </c>
      <c r="H418" s="4" t="s">
        <v>2811</v>
      </c>
      <c r="I418" s="4"/>
    </row>
    <row r="419" customFormat="false" ht="15" hidden="false" customHeight="false" outlineLevel="0" collapsed="false">
      <c r="A419" s="4" t="s">
        <v>2818</v>
      </c>
      <c r="B419" s="23" t="n">
        <v>416</v>
      </c>
      <c r="C419" s="6" t="n">
        <v>46233</v>
      </c>
      <c r="D419" s="4" t="s">
        <v>2820</v>
      </c>
      <c r="E419" s="4" t="s">
        <v>7082</v>
      </c>
      <c r="F419" s="7" t="n">
        <v>34259.67</v>
      </c>
      <c r="G419" s="24" t="s">
        <v>5951</v>
      </c>
      <c r="H419" s="4" t="s">
        <v>2816</v>
      </c>
      <c r="I419" s="4"/>
    </row>
    <row r="420" customFormat="false" ht="15" hidden="false" customHeight="false" outlineLevel="0" collapsed="false">
      <c r="A420" s="4" t="s">
        <v>1127</v>
      </c>
      <c r="B420" s="23" t="n">
        <v>417</v>
      </c>
      <c r="C420" s="6" t="n">
        <v>46233</v>
      </c>
      <c r="D420" s="4" t="s">
        <v>1129</v>
      </c>
      <c r="E420" s="4" t="s">
        <v>6244</v>
      </c>
      <c r="F420" s="7" t="n">
        <v>37683.91</v>
      </c>
      <c r="G420" s="24" t="s">
        <v>5951</v>
      </c>
      <c r="H420" s="4" t="s">
        <v>1125</v>
      </c>
      <c r="I420" s="4"/>
    </row>
    <row r="421" customFormat="false" ht="15" hidden="false" customHeight="false" outlineLevel="0" collapsed="false">
      <c r="A421" s="4" t="s">
        <v>5067</v>
      </c>
      <c r="B421" s="23" t="n">
        <v>418</v>
      </c>
      <c r="C421" s="6" t="n">
        <v>46233</v>
      </c>
      <c r="D421" s="4" t="s">
        <v>5069</v>
      </c>
      <c r="E421" s="4" t="s">
        <v>7083</v>
      </c>
      <c r="F421" s="7" t="n">
        <v>-34090.72</v>
      </c>
      <c r="G421" s="24" t="s">
        <v>5951</v>
      </c>
      <c r="H421" s="4" t="s">
        <v>5065</v>
      </c>
      <c r="I421" s="4"/>
    </row>
    <row r="422" customFormat="false" ht="15" hidden="false" customHeight="false" outlineLevel="0" collapsed="false">
      <c r="A422" s="4" t="s">
        <v>2823</v>
      </c>
      <c r="B422" s="23" t="n">
        <v>419</v>
      </c>
      <c r="C422" s="6" t="n">
        <v>46233</v>
      </c>
      <c r="D422" s="4" t="s">
        <v>2825</v>
      </c>
      <c r="E422" s="4" t="s">
        <v>7084</v>
      </c>
      <c r="F422" s="7" t="n">
        <v>-8942.32</v>
      </c>
      <c r="G422" s="24" t="s">
        <v>5951</v>
      </c>
      <c r="H422" s="4" t="s">
        <v>2821</v>
      </c>
      <c r="I422" s="4"/>
    </row>
    <row r="423" customFormat="false" ht="15" hidden="false" customHeight="false" outlineLevel="0" collapsed="false">
      <c r="A423" s="4" t="s">
        <v>1132</v>
      </c>
      <c r="B423" s="23" t="n">
        <v>420</v>
      </c>
      <c r="C423" s="6" t="n">
        <v>46233</v>
      </c>
      <c r="D423" s="4" t="s">
        <v>1134</v>
      </c>
      <c r="E423" s="4" t="s">
        <v>7085</v>
      </c>
      <c r="F423" s="7" t="n">
        <v>-29264.55</v>
      </c>
      <c r="G423" s="24" t="s">
        <v>5951</v>
      </c>
      <c r="H423" s="4" t="s">
        <v>1130</v>
      </c>
      <c r="I423" s="4"/>
    </row>
    <row r="424" customFormat="false" ht="15" hidden="false" customHeight="false" outlineLevel="0" collapsed="false">
      <c r="A424" s="4" t="s">
        <v>4677</v>
      </c>
      <c r="B424" s="23" t="n">
        <v>421</v>
      </c>
      <c r="C424" s="6" t="n">
        <v>46233</v>
      </c>
      <c r="D424" s="4" t="s">
        <v>4679</v>
      </c>
      <c r="E424" s="4" t="s">
        <v>7086</v>
      </c>
      <c r="F424" s="7" t="n">
        <v>-59376.75</v>
      </c>
      <c r="G424" s="24" t="s">
        <v>5951</v>
      </c>
      <c r="H424" s="4" t="s">
        <v>4675</v>
      </c>
      <c r="I424" s="4"/>
    </row>
    <row r="425" customFormat="false" ht="15" hidden="false" customHeight="false" outlineLevel="0" collapsed="false">
      <c r="A425" s="4" t="s">
        <v>5072</v>
      </c>
      <c r="B425" s="23" t="n">
        <v>422</v>
      </c>
      <c r="C425" s="6" t="n">
        <v>46233</v>
      </c>
      <c r="D425" s="4" t="s">
        <v>5074</v>
      </c>
      <c r="E425" s="4" t="s">
        <v>7087</v>
      </c>
      <c r="F425" s="7" t="n">
        <v>-30534.47</v>
      </c>
      <c r="G425" s="24" t="s">
        <v>5951</v>
      </c>
      <c r="H425" s="4" t="s">
        <v>5070</v>
      </c>
      <c r="I425" s="4"/>
    </row>
    <row r="426" customFormat="false" ht="15" hidden="false" customHeight="false" outlineLevel="0" collapsed="false">
      <c r="A426" s="4" t="s">
        <v>303</v>
      </c>
      <c r="B426" s="23" t="n">
        <v>423</v>
      </c>
      <c r="C426" s="6" t="n">
        <v>46233</v>
      </c>
      <c r="D426" s="4" t="s">
        <v>305</v>
      </c>
      <c r="E426" s="4" t="s">
        <v>304</v>
      </c>
      <c r="F426" s="7" t="n">
        <v>-4851.06</v>
      </c>
      <c r="G426" s="26" t="s">
        <v>6043</v>
      </c>
      <c r="H426" s="4"/>
      <c r="I426" s="4" t="s">
        <v>302</v>
      </c>
    </row>
    <row r="427" customFormat="false" ht="15" hidden="false" customHeight="false" outlineLevel="0" collapsed="false">
      <c r="A427" s="4" t="s">
        <v>1137</v>
      </c>
      <c r="B427" s="23" t="n">
        <v>424</v>
      </c>
      <c r="C427" s="6" t="n">
        <v>46234</v>
      </c>
      <c r="D427" s="4" t="s">
        <v>1139</v>
      </c>
      <c r="E427" s="4" t="s">
        <v>6249</v>
      </c>
      <c r="F427" s="7" t="n">
        <v>51476.18</v>
      </c>
      <c r="G427" s="24" t="s">
        <v>5951</v>
      </c>
      <c r="H427" s="4" t="s">
        <v>1135</v>
      </c>
      <c r="I427" s="4"/>
    </row>
    <row r="428" customFormat="false" ht="15" hidden="false" customHeight="false" outlineLevel="0" collapsed="false">
      <c r="A428" s="4" t="s">
        <v>2828</v>
      </c>
      <c r="B428" s="23" t="n">
        <v>425</v>
      </c>
      <c r="C428" s="6" t="n">
        <v>46234</v>
      </c>
      <c r="D428" s="4" t="s">
        <v>2830</v>
      </c>
      <c r="E428" s="4" t="s">
        <v>6262</v>
      </c>
      <c r="F428" s="7" t="n">
        <v>11380.68</v>
      </c>
      <c r="G428" s="24" t="s">
        <v>5951</v>
      </c>
      <c r="H428" s="4" t="s">
        <v>2826</v>
      </c>
      <c r="I428" s="4"/>
    </row>
    <row r="429" customFormat="false" ht="15" hidden="false" customHeight="false" outlineLevel="0" collapsed="false">
      <c r="A429" s="4" t="s">
        <v>1142</v>
      </c>
      <c r="B429" s="23" t="n">
        <v>426</v>
      </c>
      <c r="C429" s="6" t="n">
        <v>46234</v>
      </c>
      <c r="D429" s="4" t="s">
        <v>1144</v>
      </c>
      <c r="E429" s="4" t="s">
        <v>6251</v>
      </c>
      <c r="F429" s="7" t="n">
        <v>20087.75</v>
      </c>
      <c r="G429" s="24" t="s">
        <v>5951</v>
      </c>
      <c r="H429" s="4" t="s">
        <v>1140</v>
      </c>
      <c r="I429" s="4"/>
    </row>
    <row r="430" customFormat="false" ht="15" hidden="false" customHeight="false" outlineLevel="0" collapsed="false">
      <c r="A430" s="4" t="s">
        <v>2833</v>
      </c>
      <c r="B430" s="23" t="n">
        <v>427</v>
      </c>
      <c r="C430" s="6" t="n">
        <v>46234</v>
      </c>
      <c r="D430" s="4" t="s">
        <v>2835</v>
      </c>
      <c r="E430" s="4" t="s">
        <v>6264</v>
      </c>
      <c r="F430" s="7" t="n">
        <v>59659.69</v>
      </c>
      <c r="G430" s="24" t="s">
        <v>5951</v>
      </c>
      <c r="H430" s="4" t="s">
        <v>2831</v>
      </c>
      <c r="I430" s="4"/>
    </row>
    <row r="431" customFormat="false" ht="15" hidden="false" customHeight="false" outlineLevel="0" collapsed="false">
      <c r="A431" s="4" t="s">
        <v>2838</v>
      </c>
      <c r="B431" s="23" t="n">
        <v>428</v>
      </c>
      <c r="C431" s="6" t="n">
        <v>46234</v>
      </c>
      <c r="D431" s="4" t="s">
        <v>2840</v>
      </c>
      <c r="E431" s="4" t="s">
        <v>6266</v>
      </c>
      <c r="F431" s="7" t="n">
        <v>35444.07</v>
      </c>
      <c r="G431" s="24" t="s">
        <v>5951</v>
      </c>
      <c r="H431" s="4" t="s">
        <v>2836</v>
      </c>
      <c r="I431" s="4"/>
    </row>
    <row r="432" customFormat="false" ht="15" hidden="false" customHeight="false" outlineLevel="0" collapsed="false">
      <c r="A432" s="4" t="s">
        <v>4109</v>
      </c>
      <c r="B432" s="23" t="n">
        <v>429</v>
      </c>
      <c r="C432" s="6" t="n">
        <v>46234</v>
      </c>
      <c r="D432" s="4" t="s">
        <v>4111</v>
      </c>
      <c r="E432" s="4" t="s">
        <v>7088</v>
      </c>
      <c r="F432" s="7" t="n">
        <v>-9063.67</v>
      </c>
      <c r="G432" s="24" t="s">
        <v>5951</v>
      </c>
      <c r="H432" s="4" t="s">
        <v>4107</v>
      </c>
      <c r="I432" s="4"/>
    </row>
    <row r="433" customFormat="false" ht="15" hidden="false" customHeight="false" outlineLevel="0" collapsed="false">
      <c r="A433" s="4" t="s">
        <v>4682</v>
      </c>
      <c r="B433" s="23" t="n">
        <v>430</v>
      </c>
      <c r="C433" s="6" t="n">
        <v>46234</v>
      </c>
      <c r="D433" s="4" t="s">
        <v>4684</v>
      </c>
      <c r="E433" s="4" t="s">
        <v>7089</v>
      </c>
      <c r="F433" s="7" t="n">
        <v>-17373.42</v>
      </c>
      <c r="G433" s="24" t="s">
        <v>5951</v>
      </c>
      <c r="H433" s="4" t="s">
        <v>4680</v>
      </c>
      <c r="I433" s="4"/>
    </row>
    <row r="434" customFormat="false" ht="15" hidden="false" customHeight="false" outlineLevel="0" collapsed="false">
      <c r="A434" s="4" t="s">
        <v>2843</v>
      </c>
      <c r="B434" s="23" t="n">
        <v>431</v>
      </c>
      <c r="C434" s="6" t="n">
        <v>46234</v>
      </c>
      <c r="D434" s="4" t="s">
        <v>2845</v>
      </c>
      <c r="E434" s="4" t="s">
        <v>7090</v>
      </c>
      <c r="F434" s="7" t="n">
        <v>-26876.87</v>
      </c>
      <c r="G434" s="24" t="s">
        <v>5951</v>
      </c>
      <c r="H434" s="4" t="s">
        <v>2841</v>
      </c>
      <c r="I434" s="4"/>
    </row>
    <row r="435" customFormat="false" ht="15" hidden="false" customHeight="false" outlineLevel="0" collapsed="false">
      <c r="A435" s="4" t="s">
        <v>1147</v>
      </c>
      <c r="B435" s="23" t="n">
        <v>432</v>
      </c>
      <c r="C435" s="6" t="n">
        <v>46234</v>
      </c>
      <c r="D435" s="4" t="s">
        <v>1149</v>
      </c>
      <c r="E435" s="4" t="s">
        <v>7091</v>
      </c>
      <c r="F435" s="7" t="n">
        <v>-29225.29</v>
      </c>
      <c r="G435" s="24" t="s">
        <v>5951</v>
      </c>
      <c r="H435" s="4" t="s">
        <v>1145</v>
      </c>
      <c r="I435" s="4"/>
    </row>
    <row r="436" customFormat="false" ht="15" hidden="false" customHeight="false" outlineLevel="0" collapsed="false">
      <c r="A436" s="4" t="s">
        <v>2848</v>
      </c>
      <c r="B436" s="23" t="n">
        <v>433</v>
      </c>
      <c r="C436" s="6" t="n">
        <v>46234</v>
      </c>
      <c r="D436" s="4" t="s">
        <v>2850</v>
      </c>
      <c r="E436" s="4" t="s">
        <v>7092</v>
      </c>
      <c r="F436" s="7" t="n">
        <v>-42701.22</v>
      </c>
      <c r="G436" s="24" t="s">
        <v>5951</v>
      </c>
      <c r="H436" s="4" t="s">
        <v>2846</v>
      </c>
      <c r="I436" s="4"/>
    </row>
    <row r="437" customFormat="false" ht="15" hidden="false" customHeight="false" outlineLevel="0" collapsed="false">
      <c r="A437" s="4" t="s">
        <v>5490</v>
      </c>
      <c r="B437" s="23" t="n">
        <v>434</v>
      </c>
      <c r="C437" s="6" t="n">
        <v>46234</v>
      </c>
      <c r="D437" s="4" t="s">
        <v>5492</v>
      </c>
      <c r="E437" s="4" t="s">
        <v>7093</v>
      </c>
      <c r="F437" s="7" t="n">
        <v>-59687.55</v>
      </c>
      <c r="G437" s="24" t="s">
        <v>5951</v>
      </c>
      <c r="H437" s="4" t="s">
        <v>5488</v>
      </c>
      <c r="I437" s="4"/>
    </row>
    <row r="438" customFormat="false" ht="15" hidden="false" customHeight="false" outlineLevel="0" collapsed="false">
      <c r="A438" s="4" t="s">
        <v>5495</v>
      </c>
      <c r="B438" s="23" t="n">
        <v>435</v>
      </c>
      <c r="C438" s="6" t="n">
        <v>46234</v>
      </c>
      <c r="D438" s="4" t="s">
        <v>5497</v>
      </c>
      <c r="E438" s="4" t="s">
        <v>7094</v>
      </c>
      <c r="F438" s="7" t="n">
        <v>-48894.5</v>
      </c>
      <c r="G438" s="24" t="s">
        <v>5951</v>
      </c>
      <c r="H438" s="4" t="s">
        <v>5493</v>
      </c>
      <c r="I438" s="4"/>
    </row>
    <row r="439" customFormat="false" ht="15" hidden="false" customHeight="false" outlineLevel="0" collapsed="false">
      <c r="A439" s="4" t="s">
        <v>1152</v>
      </c>
      <c r="B439" s="23" t="n">
        <v>436</v>
      </c>
      <c r="C439" s="6" t="n">
        <v>46235</v>
      </c>
      <c r="D439" s="4" t="s">
        <v>1154</v>
      </c>
      <c r="E439" s="4" t="s">
        <v>6261</v>
      </c>
      <c r="F439" s="7" t="n">
        <v>76082.91</v>
      </c>
      <c r="G439" s="24" t="s">
        <v>5951</v>
      </c>
      <c r="H439" s="4" t="s">
        <v>1150</v>
      </c>
      <c r="I439" s="4"/>
    </row>
    <row r="440" customFormat="false" ht="15" hidden="false" customHeight="false" outlineLevel="0" collapsed="false">
      <c r="A440" s="4" t="s">
        <v>2853</v>
      </c>
      <c r="B440" s="23" t="n">
        <v>437</v>
      </c>
      <c r="C440" s="6" t="n">
        <v>46235</v>
      </c>
      <c r="D440" s="4" t="s">
        <v>2855</v>
      </c>
      <c r="E440" s="4" t="s">
        <v>6273</v>
      </c>
      <c r="F440" s="7" t="n">
        <v>14899.3</v>
      </c>
      <c r="G440" s="24" t="s">
        <v>5951</v>
      </c>
      <c r="H440" s="4" t="s">
        <v>2851</v>
      </c>
      <c r="I440" s="4"/>
    </row>
    <row r="441" customFormat="false" ht="15" hidden="false" customHeight="false" outlineLevel="0" collapsed="false">
      <c r="A441" s="4" t="s">
        <v>4114</v>
      </c>
      <c r="B441" s="23" t="n">
        <v>438</v>
      </c>
      <c r="C441" s="6" t="n">
        <v>46235</v>
      </c>
      <c r="D441" s="4" t="s">
        <v>4116</v>
      </c>
      <c r="E441" s="4" t="s">
        <v>6286</v>
      </c>
      <c r="F441" s="7" t="n">
        <v>49713.17</v>
      </c>
      <c r="G441" s="24" t="s">
        <v>5951</v>
      </c>
      <c r="H441" s="4" t="s">
        <v>4112</v>
      </c>
      <c r="I441" s="4"/>
    </row>
    <row r="442" customFormat="false" ht="15" hidden="false" customHeight="false" outlineLevel="0" collapsed="false">
      <c r="A442" s="4" t="s">
        <v>2858</v>
      </c>
      <c r="B442" s="23" t="n">
        <v>439</v>
      </c>
      <c r="C442" s="6" t="n">
        <v>46235</v>
      </c>
      <c r="D442" s="4" t="s">
        <v>2860</v>
      </c>
      <c r="E442" s="4" t="s">
        <v>7095</v>
      </c>
      <c r="F442" s="7" t="n">
        <v>28937.86</v>
      </c>
      <c r="G442" s="24" t="s">
        <v>5951</v>
      </c>
      <c r="H442" s="4" t="s">
        <v>2856</v>
      </c>
      <c r="I442" s="4"/>
    </row>
    <row r="443" customFormat="false" ht="15" hidden="false" customHeight="false" outlineLevel="0" collapsed="false">
      <c r="A443" s="4" t="s">
        <v>1157</v>
      </c>
      <c r="B443" s="23" t="n">
        <v>440</v>
      </c>
      <c r="C443" s="6" t="n">
        <v>46235</v>
      </c>
      <c r="D443" s="4" t="s">
        <v>1159</v>
      </c>
      <c r="E443" s="4" t="s">
        <v>6263</v>
      </c>
      <c r="F443" s="7" t="n">
        <v>24598.66</v>
      </c>
      <c r="G443" s="24" t="s">
        <v>5951</v>
      </c>
      <c r="H443" s="4" t="s">
        <v>1155</v>
      </c>
      <c r="I443" s="4"/>
    </row>
    <row r="444" customFormat="false" ht="15" hidden="false" customHeight="false" outlineLevel="0" collapsed="false">
      <c r="A444" s="4" t="s">
        <v>2863</v>
      </c>
      <c r="B444" s="23" t="n">
        <v>441</v>
      </c>
      <c r="C444" s="6" t="n">
        <v>46235</v>
      </c>
      <c r="D444" s="4" t="s">
        <v>2865</v>
      </c>
      <c r="E444" s="4" t="s">
        <v>7096</v>
      </c>
      <c r="F444" s="7" t="n">
        <v>72265.48</v>
      </c>
      <c r="G444" s="24" t="s">
        <v>5951</v>
      </c>
      <c r="H444" s="4" t="s">
        <v>2861</v>
      </c>
      <c r="I444" s="4"/>
    </row>
    <row r="445" customFormat="false" ht="15" hidden="false" customHeight="false" outlineLevel="0" collapsed="false">
      <c r="A445" s="4" t="s">
        <v>4119</v>
      </c>
      <c r="B445" s="23" t="n">
        <v>442</v>
      </c>
      <c r="C445" s="6" t="n">
        <v>46235</v>
      </c>
      <c r="D445" s="4" t="s">
        <v>4121</v>
      </c>
      <c r="E445" s="4" t="s">
        <v>6290</v>
      </c>
      <c r="F445" s="7" t="n">
        <v>26152.14</v>
      </c>
      <c r="G445" s="24" t="s">
        <v>5951</v>
      </c>
      <c r="H445" s="4" t="s">
        <v>4117</v>
      </c>
      <c r="I445" s="4"/>
    </row>
    <row r="446" customFormat="false" ht="15" hidden="false" customHeight="false" outlineLevel="0" collapsed="false">
      <c r="A446" s="4" t="s">
        <v>2868</v>
      </c>
      <c r="B446" s="23" t="n">
        <v>443</v>
      </c>
      <c r="C446" s="6" t="n">
        <v>46235</v>
      </c>
      <c r="D446" s="4" t="s">
        <v>2870</v>
      </c>
      <c r="E446" s="4" t="s">
        <v>6275</v>
      </c>
      <c r="F446" s="7" t="n">
        <v>31355.47</v>
      </c>
      <c r="G446" s="24" t="s">
        <v>5951</v>
      </c>
      <c r="H446" s="4" t="s">
        <v>2866</v>
      </c>
      <c r="I446" s="4"/>
    </row>
    <row r="447" customFormat="false" ht="15" hidden="false" customHeight="false" outlineLevel="0" collapsed="false">
      <c r="A447" s="4" t="s">
        <v>2873</v>
      </c>
      <c r="B447" s="23" t="n">
        <v>444</v>
      </c>
      <c r="C447" s="6" t="n">
        <v>46235</v>
      </c>
      <c r="D447" s="4" t="s">
        <v>2875</v>
      </c>
      <c r="E447" s="4" t="s">
        <v>7097</v>
      </c>
      <c r="F447" s="7" t="n">
        <v>67438.79</v>
      </c>
      <c r="G447" s="24" t="s">
        <v>5951</v>
      </c>
      <c r="H447" s="4" t="s">
        <v>2871</v>
      </c>
      <c r="I447" s="4"/>
    </row>
    <row r="448" customFormat="false" ht="15" hidden="false" customHeight="false" outlineLevel="0" collapsed="false">
      <c r="A448" s="4" t="s">
        <v>2878</v>
      </c>
      <c r="B448" s="23" t="n">
        <v>445</v>
      </c>
      <c r="C448" s="6" t="n">
        <v>46235</v>
      </c>
      <c r="D448" s="4" t="s">
        <v>2880</v>
      </c>
      <c r="E448" s="4" t="s">
        <v>6277</v>
      </c>
      <c r="F448" s="7" t="n">
        <v>88958.64</v>
      </c>
      <c r="G448" s="24" t="s">
        <v>5951</v>
      </c>
      <c r="H448" s="4" t="s">
        <v>2876</v>
      </c>
      <c r="I448" s="4"/>
    </row>
    <row r="449" customFormat="false" ht="15" hidden="false" customHeight="false" outlineLevel="0" collapsed="false">
      <c r="A449" s="4" t="s">
        <v>1162</v>
      </c>
      <c r="B449" s="23" t="n">
        <v>446</v>
      </c>
      <c r="C449" s="6" t="n">
        <v>46235</v>
      </c>
      <c r="D449" s="4" t="s">
        <v>1164</v>
      </c>
      <c r="E449" s="4" t="s">
        <v>7098</v>
      </c>
      <c r="F449" s="7" t="n">
        <v>-29321.18</v>
      </c>
      <c r="G449" s="24" t="s">
        <v>5951</v>
      </c>
      <c r="H449" s="4" t="s">
        <v>1160</v>
      </c>
      <c r="I449" s="4"/>
    </row>
    <row r="450" customFormat="false" ht="15" hidden="false" customHeight="false" outlineLevel="0" collapsed="false">
      <c r="A450" s="4" t="s">
        <v>5500</v>
      </c>
      <c r="B450" s="23" t="n">
        <v>447</v>
      </c>
      <c r="C450" s="6" t="n">
        <v>46235</v>
      </c>
      <c r="D450" s="4" t="s">
        <v>5502</v>
      </c>
      <c r="E450" s="4" t="s">
        <v>7099</v>
      </c>
      <c r="F450" s="7" t="n">
        <v>-41912.26</v>
      </c>
      <c r="G450" s="24" t="s">
        <v>5951</v>
      </c>
      <c r="H450" s="4" t="s">
        <v>5498</v>
      </c>
      <c r="I450" s="4"/>
    </row>
    <row r="451" customFormat="false" ht="15" hidden="false" customHeight="false" outlineLevel="0" collapsed="false">
      <c r="A451" s="4" t="s">
        <v>4124</v>
      </c>
      <c r="B451" s="23" t="n">
        <v>448</v>
      </c>
      <c r="C451" s="6" t="n">
        <v>46235</v>
      </c>
      <c r="D451" s="4" t="s">
        <v>4126</v>
      </c>
      <c r="E451" s="4" t="s">
        <v>7100</v>
      </c>
      <c r="F451" s="7" t="n">
        <v>-55558.74</v>
      </c>
      <c r="G451" s="24" t="s">
        <v>5951</v>
      </c>
      <c r="H451" s="4" t="s">
        <v>4122</v>
      </c>
      <c r="I451" s="4"/>
    </row>
    <row r="452" customFormat="false" ht="15" hidden="false" customHeight="false" outlineLevel="0" collapsed="false">
      <c r="A452" s="4" t="s">
        <v>2883</v>
      </c>
      <c r="B452" s="23" t="n">
        <v>449</v>
      </c>
      <c r="C452" s="6" t="n">
        <v>46235</v>
      </c>
      <c r="D452" s="4" t="s">
        <v>2885</v>
      </c>
      <c r="E452" s="4" t="s">
        <v>7101</v>
      </c>
      <c r="F452" s="7" t="n">
        <v>-30472.13</v>
      </c>
      <c r="G452" s="24" t="s">
        <v>5951</v>
      </c>
      <c r="H452" s="4" t="s">
        <v>2881</v>
      </c>
      <c r="I452" s="4"/>
    </row>
    <row r="453" customFormat="false" ht="15" hidden="false" customHeight="false" outlineLevel="0" collapsed="false">
      <c r="A453" s="4" t="s">
        <v>4687</v>
      </c>
      <c r="B453" s="23" t="n">
        <v>450</v>
      </c>
      <c r="C453" s="6" t="n">
        <v>46235</v>
      </c>
      <c r="D453" s="4" t="s">
        <v>4689</v>
      </c>
      <c r="E453" s="4" t="s">
        <v>7102</v>
      </c>
      <c r="F453" s="7" t="n">
        <v>-2228.06</v>
      </c>
      <c r="G453" s="24" t="s">
        <v>5951</v>
      </c>
      <c r="H453" s="4" t="s">
        <v>4685</v>
      </c>
      <c r="I453" s="4"/>
    </row>
    <row r="454" customFormat="false" ht="15" hidden="false" customHeight="false" outlineLevel="0" collapsed="false">
      <c r="A454" s="4" t="s">
        <v>1167</v>
      </c>
      <c r="B454" s="23" t="n">
        <v>451</v>
      </c>
      <c r="C454" s="6" t="n">
        <v>46236</v>
      </c>
      <c r="D454" s="4" t="s">
        <v>1169</v>
      </c>
      <c r="E454" s="4" t="s">
        <v>6274</v>
      </c>
      <c r="F454" s="7" t="n">
        <v>22415.9</v>
      </c>
      <c r="G454" s="24" t="s">
        <v>5951</v>
      </c>
      <c r="H454" s="4" t="s">
        <v>1165</v>
      </c>
      <c r="I454" s="4"/>
    </row>
    <row r="455" customFormat="false" ht="15" hidden="false" customHeight="false" outlineLevel="0" collapsed="false">
      <c r="A455" s="4" t="s">
        <v>1172</v>
      </c>
      <c r="B455" s="23" t="n">
        <v>452</v>
      </c>
      <c r="C455" s="6" t="n">
        <v>46236</v>
      </c>
      <c r="D455" s="4" t="s">
        <v>1174</v>
      </c>
      <c r="E455" s="4" t="s">
        <v>7103</v>
      </c>
      <c r="F455" s="7" t="n">
        <v>4671.01</v>
      </c>
      <c r="G455" s="24" t="s">
        <v>5951</v>
      </c>
      <c r="H455" s="4" t="s">
        <v>1170</v>
      </c>
      <c r="I455" s="4"/>
    </row>
    <row r="456" customFormat="false" ht="15" hidden="false" customHeight="false" outlineLevel="0" collapsed="false">
      <c r="A456" s="4" t="s">
        <v>2888</v>
      </c>
      <c r="B456" s="23" t="n">
        <v>453</v>
      </c>
      <c r="C456" s="6" t="n">
        <v>46236</v>
      </c>
      <c r="D456" s="4" t="s">
        <v>2890</v>
      </c>
      <c r="E456" s="4" t="s">
        <v>7104</v>
      </c>
      <c r="F456" s="7" t="n">
        <v>60541.24</v>
      </c>
      <c r="G456" s="24" t="s">
        <v>5951</v>
      </c>
      <c r="H456" s="4" t="s">
        <v>2886</v>
      </c>
      <c r="I456" s="4"/>
    </row>
    <row r="457" customFormat="false" ht="15" hidden="false" customHeight="false" outlineLevel="0" collapsed="false">
      <c r="A457" s="4" t="s">
        <v>2893</v>
      </c>
      <c r="B457" s="23" t="n">
        <v>454</v>
      </c>
      <c r="C457" s="6" t="n">
        <v>46236</v>
      </c>
      <c r="D457" s="4" t="s">
        <v>2895</v>
      </c>
      <c r="E457" s="4" t="s">
        <v>6287</v>
      </c>
      <c r="F457" s="7" t="n">
        <v>16563.11</v>
      </c>
      <c r="G457" s="24" t="s">
        <v>5951</v>
      </c>
      <c r="H457" s="4" t="s">
        <v>2891</v>
      </c>
      <c r="I457" s="4"/>
    </row>
    <row r="458" customFormat="false" ht="15" hidden="false" customHeight="false" outlineLevel="0" collapsed="false">
      <c r="A458" s="4" t="s">
        <v>2898</v>
      </c>
      <c r="B458" s="23" t="n">
        <v>455</v>
      </c>
      <c r="C458" s="6" t="n">
        <v>46236</v>
      </c>
      <c r="D458" s="4" t="s">
        <v>2900</v>
      </c>
      <c r="E458" s="4" t="s">
        <v>6288</v>
      </c>
      <c r="F458" s="7" t="n">
        <v>38559.36</v>
      </c>
      <c r="G458" s="24" t="s">
        <v>5951</v>
      </c>
      <c r="H458" s="4" t="s">
        <v>2896</v>
      </c>
      <c r="I458" s="4"/>
    </row>
    <row r="459" customFormat="false" ht="15" hidden="false" customHeight="false" outlineLevel="0" collapsed="false">
      <c r="A459" s="4" t="s">
        <v>1177</v>
      </c>
      <c r="B459" s="23" t="n">
        <v>456</v>
      </c>
      <c r="C459" s="6" t="n">
        <v>46236</v>
      </c>
      <c r="D459" s="4" t="s">
        <v>1179</v>
      </c>
      <c r="E459" s="4" t="s">
        <v>6276</v>
      </c>
      <c r="F459" s="7" t="n">
        <v>35282.56</v>
      </c>
      <c r="G459" s="24" t="s">
        <v>5951</v>
      </c>
      <c r="H459" s="4" t="s">
        <v>1175</v>
      </c>
      <c r="I459" s="4"/>
    </row>
    <row r="460" customFormat="false" ht="15" hidden="false" customHeight="false" outlineLevel="0" collapsed="false">
      <c r="A460" s="4" t="s">
        <v>4692</v>
      </c>
      <c r="B460" s="23" t="n">
        <v>457</v>
      </c>
      <c r="C460" s="6" t="n">
        <v>46236</v>
      </c>
      <c r="D460" s="4" t="s">
        <v>4694</v>
      </c>
      <c r="E460" s="4" t="s">
        <v>7105</v>
      </c>
      <c r="F460" s="7" t="n">
        <v>-25393.4</v>
      </c>
      <c r="G460" s="24" t="s">
        <v>5951</v>
      </c>
      <c r="H460" s="4" t="s">
        <v>4690</v>
      </c>
      <c r="I460" s="4"/>
    </row>
    <row r="461" customFormat="false" ht="15" hidden="false" customHeight="false" outlineLevel="0" collapsed="false">
      <c r="A461" s="4" t="s">
        <v>5505</v>
      </c>
      <c r="B461" s="23" t="n">
        <v>458</v>
      </c>
      <c r="C461" s="6" t="n">
        <v>46236</v>
      </c>
      <c r="D461" s="4" t="s">
        <v>5507</v>
      </c>
      <c r="E461" s="4" t="s">
        <v>7106</v>
      </c>
      <c r="F461" s="7" t="n">
        <v>-39329.93</v>
      </c>
      <c r="G461" s="24" t="s">
        <v>5951</v>
      </c>
      <c r="H461" s="4" t="s">
        <v>5503</v>
      </c>
      <c r="I461" s="4"/>
    </row>
    <row r="462" customFormat="false" ht="15" hidden="false" customHeight="false" outlineLevel="0" collapsed="false">
      <c r="A462" s="4" t="s">
        <v>2903</v>
      </c>
      <c r="B462" s="23" t="n">
        <v>459</v>
      </c>
      <c r="C462" s="6" t="n">
        <v>46236</v>
      </c>
      <c r="D462" s="4" t="s">
        <v>2905</v>
      </c>
      <c r="E462" s="4" t="s">
        <v>7107</v>
      </c>
      <c r="F462" s="7" t="n">
        <v>-55222.9</v>
      </c>
      <c r="G462" s="24" t="s">
        <v>5951</v>
      </c>
      <c r="H462" s="4" t="s">
        <v>2901</v>
      </c>
      <c r="I462" s="4"/>
    </row>
    <row r="463" customFormat="false" ht="15" hidden="false" customHeight="false" outlineLevel="0" collapsed="false">
      <c r="A463" s="4" t="s">
        <v>1182</v>
      </c>
      <c r="B463" s="23" t="n">
        <v>460</v>
      </c>
      <c r="C463" s="6" t="n">
        <v>46236</v>
      </c>
      <c r="D463" s="4" t="s">
        <v>1184</v>
      </c>
      <c r="E463" s="4" t="s">
        <v>7108</v>
      </c>
      <c r="F463" s="7" t="n">
        <v>-40990.92</v>
      </c>
      <c r="G463" s="24" t="s">
        <v>5951</v>
      </c>
      <c r="H463" s="4" t="s">
        <v>1180</v>
      </c>
      <c r="I463" s="4"/>
    </row>
    <row r="464" customFormat="false" ht="15" hidden="false" customHeight="false" outlineLevel="0" collapsed="false">
      <c r="A464" s="4" t="s">
        <v>5510</v>
      </c>
      <c r="B464" s="23" t="n">
        <v>461</v>
      </c>
      <c r="C464" s="6" t="n">
        <v>46236</v>
      </c>
      <c r="D464" s="4" t="s">
        <v>5512</v>
      </c>
      <c r="E464" s="4" t="s">
        <v>7109</v>
      </c>
      <c r="F464" s="7" t="n">
        <v>-55613.87</v>
      </c>
      <c r="G464" s="24" t="s">
        <v>5951</v>
      </c>
      <c r="H464" s="4" t="s">
        <v>5508</v>
      </c>
      <c r="I464" s="4"/>
    </row>
    <row r="465" customFormat="false" ht="15" hidden="false" customHeight="false" outlineLevel="0" collapsed="false">
      <c r="A465" s="4" t="s">
        <v>1187</v>
      </c>
      <c r="B465" s="23" t="n">
        <v>462</v>
      </c>
      <c r="C465" s="6" t="n">
        <v>46236</v>
      </c>
      <c r="D465" s="4" t="s">
        <v>1189</v>
      </c>
      <c r="E465" s="4" t="s">
        <v>7110</v>
      </c>
      <c r="F465" s="7" t="n">
        <v>-48192.63</v>
      </c>
      <c r="G465" s="24" t="s">
        <v>5951</v>
      </c>
      <c r="H465" s="4" t="s">
        <v>1185</v>
      </c>
      <c r="I465" s="4"/>
    </row>
    <row r="466" customFormat="false" ht="15" hidden="false" customHeight="false" outlineLevel="0" collapsed="false">
      <c r="A466" s="4" t="s">
        <v>2908</v>
      </c>
      <c r="B466" s="23" t="n">
        <v>463</v>
      </c>
      <c r="C466" s="6" t="n">
        <v>46236</v>
      </c>
      <c r="D466" s="4" t="s">
        <v>2910</v>
      </c>
      <c r="E466" s="4" t="s">
        <v>7111</v>
      </c>
      <c r="F466" s="7" t="n">
        <v>-55057.04</v>
      </c>
      <c r="G466" s="24" t="s">
        <v>5951</v>
      </c>
      <c r="H466" s="4" t="s">
        <v>2906</v>
      </c>
      <c r="I466" s="4"/>
    </row>
    <row r="467" customFormat="false" ht="15" hidden="false" customHeight="false" outlineLevel="0" collapsed="false">
      <c r="A467" s="4" t="s">
        <v>4129</v>
      </c>
      <c r="B467" s="23" t="n">
        <v>464</v>
      </c>
      <c r="C467" s="6" t="n">
        <v>46237</v>
      </c>
      <c r="D467" s="4" t="s">
        <v>4131</v>
      </c>
      <c r="E467" s="4" t="s">
        <v>6309</v>
      </c>
      <c r="F467" s="7" t="n">
        <v>89680.61</v>
      </c>
      <c r="G467" s="24" t="s">
        <v>5951</v>
      </c>
      <c r="H467" s="4" t="s">
        <v>4127</v>
      </c>
      <c r="I467" s="4"/>
    </row>
    <row r="468" customFormat="false" ht="15" hidden="false" customHeight="false" outlineLevel="0" collapsed="false">
      <c r="A468" s="4" t="s">
        <v>2913</v>
      </c>
      <c r="B468" s="23" t="n">
        <v>465</v>
      </c>
      <c r="C468" s="6" t="n">
        <v>46237</v>
      </c>
      <c r="D468" s="4" t="s">
        <v>2915</v>
      </c>
      <c r="E468" s="4" t="s">
        <v>7112</v>
      </c>
      <c r="F468" s="7" t="n">
        <v>78419.51</v>
      </c>
      <c r="G468" s="24" t="s">
        <v>5951</v>
      </c>
      <c r="H468" s="4" t="s">
        <v>2911</v>
      </c>
      <c r="I468" s="4"/>
    </row>
    <row r="469" customFormat="false" ht="15" hidden="false" customHeight="false" outlineLevel="0" collapsed="false">
      <c r="A469" s="4" t="s">
        <v>1192</v>
      </c>
      <c r="B469" s="23" t="n">
        <v>466</v>
      </c>
      <c r="C469" s="6" t="n">
        <v>46237</v>
      </c>
      <c r="D469" s="4" t="s">
        <v>1194</v>
      </c>
      <c r="E469" s="4" t="s">
        <v>7113</v>
      </c>
      <c r="F469" s="7" t="n">
        <v>3455.45</v>
      </c>
      <c r="G469" s="24" t="s">
        <v>5951</v>
      </c>
      <c r="H469" s="4" t="s">
        <v>1190</v>
      </c>
      <c r="I469" s="4"/>
    </row>
    <row r="470" customFormat="false" ht="15" hidden="false" customHeight="false" outlineLevel="0" collapsed="false">
      <c r="A470" s="4" t="s">
        <v>2918</v>
      </c>
      <c r="B470" s="23" t="n">
        <v>467</v>
      </c>
      <c r="C470" s="6" t="n">
        <v>46237</v>
      </c>
      <c r="D470" s="4" t="s">
        <v>2920</v>
      </c>
      <c r="E470" s="4" t="s">
        <v>6302</v>
      </c>
      <c r="F470" s="7" t="n">
        <v>92819.25</v>
      </c>
      <c r="G470" s="24" t="s">
        <v>5951</v>
      </c>
      <c r="H470" s="4" t="s">
        <v>2916</v>
      </c>
      <c r="I470" s="4"/>
    </row>
    <row r="471" customFormat="false" ht="15" hidden="false" customHeight="false" outlineLevel="0" collapsed="false">
      <c r="A471" s="4" t="s">
        <v>1197</v>
      </c>
      <c r="B471" s="23" t="n">
        <v>468</v>
      </c>
      <c r="C471" s="6" t="n">
        <v>46237</v>
      </c>
      <c r="D471" s="4" t="s">
        <v>1199</v>
      </c>
      <c r="E471" s="4" t="s">
        <v>6289</v>
      </c>
      <c r="F471" s="7" t="n">
        <v>26373.2</v>
      </c>
      <c r="G471" s="24" t="s">
        <v>5951</v>
      </c>
      <c r="H471" s="4" t="s">
        <v>1195</v>
      </c>
      <c r="I471" s="4"/>
    </row>
    <row r="472" customFormat="false" ht="15" hidden="false" customHeight="false" outlineLevel="0" collapsed="false">
      <c r="A472" s="4" t="s">
        <v>1202</v>
      </c>
      <c r="B472" s="23" t="n">
        <v>469</v>
      </c>
      <c r="C472" s="6" t="n">
        <v>46237</v>
      </c>
      <c r="D472" s="4" t="s">
        <v>1204</v>
      </c>
      <c r="E472" s="4" t="s">
        <v>6291</v>
      </c>
      <c r="F472" s="7" t="n">
        <v>88116.39</v>
      </c>
      <c r="G472" s="24" t="s">
        <v>5951</v>
      </c>
      <c r="H472" s="4" t="s">
        <v>1200</v>
      </c>
      <c r="I472" s="4"/>
    </row>
    <row r="473" customFormat="false" ht="15" hidden="false" customHeight="false" outlineLevel="0" collapsed="false">
      <c r="A473" s="4" t="s">
        <v>1207</v>
      </c>
      <c r="B473" s="23" t="n">
        <v>470</v>
      </c>
      <c r="C473" s="6" t="n">
        <v>46237</v>
      </c>
      <c r="D473" s="4" t="s">
        <v>1209</v>
      </c>
      <c r="E473" s="4" t="s">
        <v>6292</v>
      </c>
      <c r="F473" s="7" t="n">
        <v>4400.95</v>
      </c>
      <c r="G473" s="24" t="s">
        <v>5951</v>
      </c>
      <c r="H473" s="4" t="s">
        <v>1205</v>
      </c>
      <c r="I473" s="4"/>
    </row>
    <row r="474" customFormat="false" ht="15" hidden="false" customHeight="false" outlineLevel="0" collapsed="false">
      <c r="A474" s="4" t="s">
        <v>1212</v>
      </c>
      <c r="B474" s="23" t="n">
        <v>471</v>
      </c>
      <c r="C474" s="6" t="n">
        <v>46237</v>
      </c>
      <c r="D474" s="4" t="s">
        <v>1214</v>
      </c>
      <c r="E474" s="4" t="s">
        <v>6293</v>
      </c>
      <c r="F474" s="7" t="n">
        <v>33959.45</v>
      </c>
      <c r="G474" s="24" t="s">
        <v>5951</v>
      </c>
      <c r="H474" s="4" t="s">
        <v>1210</v>
      </c>
      <c r="I474" s="4"/>
    </row>
    <row r="475" customFormat="false" ht="15" hidden="false" customHeight="false" outlineLevel="0" collapsed="false">
      <c r="A475" s="4" t="s">
        <v>4134</v>
      </c>
      <c r="B475" s="23" t="n">
        <v>472</v>
      </c>
      <c r="C475" s="6" t="n">
        <v>46237</v>
      </c>
      <c r="D475" s="4" t="s">
        <v>4136</v>
      </c>
      <c r="E475" s="4" t="s">
        <v>6312</v>
      </c>
      <c r="F475" s="7" t="n">
        <v>56322.32</v>
      </c>
      <c r="G475" s="24" t="s">
        <v>5951</v>
      </c>
      <c r="H475" s="4" t="s">
        <v>4132</v>
      </c>
      <c r="I475" s="4"/>
    </row>
    <row r="476" customFormat="false" ht="15" hidden="false" customHeight="false" outlineLevel="0" collapsed="false">
      <c r="A476" s="4" t="s">
        <v>5077</v>
      </c>
      <c r="B476" s="23" t="n">
        <v>473</v>
      </c>
      <c r="C476" s="6" t="n">
        <v>46237</v>
      </c>
      <c r="D476" s="4" t="s">
        <v>5079</v>
      </c>
      <c r="E476" s="4" t="s">
        <v>7114</v>
      </c>
      <c r="F476" s="7" t="n">
        <v>-8291.22</v>
      </c>
      <c r="G476" s="24" t="s">
        <v>5951</v>
      </c>
      <c r="H476" s="4" t="s">
        <v>5075</v>
      </c>
      <c r="I476" s="4"/>
    </row>
    <row r="477" customFormat="false" ht="15" hidden="false" customHeight="false" outlineLevel="0" collapsed="false">
      <c r="A477" s="4" t="s">
        <v>2923</v>
      </c>
      <c r="B477" s="23" t="n">
        <v>474</v>
      </c>
      <c r="C477" s="6" t="n">
        <v>46237</v>
      </c>
      <c r="D477" s="4" t="s">
        <v>2925</v>
      </c>
      <c r="E477" s="4" t="s">
        <v>7115</v>
      </c>
      <c r="F477" s="7" t="n">
        <v>-14542.2</v>
      </c>
      <c r="G477" s="24" t="s">
        <v>5951</v>
      </c>
      <c r="H477" s="4" t="s">
        <v>2921</v>
      </c>
      <c r="I477" s="4"/>
    </row>
    <row r="478" customFormat="false" ht="15" hidden="false" customHeight="false" outlineLevel="0" collapsed="false">
      <c r="A478" s="4" t="s">
        <v>2928</v>
      </c>
      <c r="B478" s="23" t="n">
        <v>475</v>
      </c>
      <c r="C478" s="6" t="n">
        <v>46237</v>
      </c>
      <c r="D478" s="4" t="s">
        <v>2930</v>
      </c>
      <c r="E478" s="4" t="s">
        <v>7116</v>
      </c>
      <c r="F478" s="7" t="n">
        <v>-7069.82</v>
      </c>
      <c r="G478" s="24" t="s">
        <v>5951</v>
      </c>
      <c r="H478" s="4" t="s">
        <v>2926</v>
      </c>
      <c r="I478" s="4"/>
    </row>
    <row r="479" customFormat="false" ht="15" hidden="false" customHeight="false" outlineLevel="0" collapsed="false">
      <c r="A479" s="4" t="s">
        <v>4139</v>
      </c>
      <c r="B479" s="23" t="n">
        <v>476</v>
      </c>
      <c r="C479" s="6" t="n">
        <v>46237</v>
      </c>
      <c r="D479" s="4" t="s">
        <v>4141</v>
      </c>
      <c r="E479" s="4" t="s">
        <v>7117</v>
      </c>
      <c r="F479" s="7" t="n">
        <v>-30250.1</v>
      </c>
      <c r="G479" s="24" t="s">
        <v>5951</v>
      </c>
      <c r="H479" s="4" t="s">
        <v>4137</v>
      </c>
      <c r="I479" s="4"/>
    </row>
    <row r="480" customFormat="false" ht="15" hidden="false" customHeight="false" outlineLevel="0" collapsed="false">
      <c r="A480" s="4" t="s">
        <v>4144</v>
      </c>
      <c r="B480" s="23" t="n">
        <v>477</v>
      </c>
      <c r="C480" s="6" t="n">
        <v>46237</v>
      </c>
      <c r="D480" s="4" t="s">
        <v>209</v>
      </c>
      <c r="E480" s="4" t="s">
        <v>208</v>
      </c>
      <c r="F480" s="7" t="n">
        <v>-11044.57</v>
      </c>
      <c r="G480" s="24" t="s">
        <v>5951</v>
      </c>
      <c r="H480" s="4" t="s">
        <v>4142</v>
      </c>
      <c r="I480" s="4"/>
    </row>
    <row r="481" customFormat="false" ht="15" hidden="false" customHeight="false" outlineLevel="0" collapsed="false">
      <c r="A481" s="4" t="s">
        <v>4148</v>
      </c>
      <c r="B481" s="23" t="n">
        <v>478</v>
      </c>
      <c r="C481" s="6" t="n">
        <v>46237</v>
      </c>
      <c r="D481" s="4" t="s">
        <v>4150</v>
      </c>
      <c r="E481" s="4" t="s">
        <v>7118</v>
      </c>
      <c r="F481" s="7" t="n">
        <v>-55474.88</v>
      </c>
      <c r="G481" s="24" t="s">
        <v>5951</v>
      </c>
      <c r="H481" s="4" t="s">
        <v>4146</v>
      </c>
      <c r="I481" s="4"/>
    </row>
    <row r="482" customFormat="false" ht="15" hidden="false" customHeight="false" outlineLevel="0" collapsed="false">
      <c r="A482" s="4" t="s">
        <v>5818</v>
      </c>
      <c r="B482" s="23" t="n">
        <v>479</v>
      </c>
      <c r="C482" s="6" t="n">
        <v>46237</v>
      </c>
      <c r="D482" s="4" t="s">
        <v>5807</v>
      </c>
      <c r="E482" s="4"/>
      <c r="F482" s="7" t="n">
        <v>-2404.01</v>
      </c>
      <c r="G482" s="24" t="s">
        <v>5951</v>
      </c>
      <c r="H482" s="4" t="s">
        <v>5816</v>
      </c>
      <c r="I482" s="4"/>
    </row>
    <row r="483" customFormat="false" ht="15" hidden="false" customHeight="false" outlineLevel="0" collapsed="false">
      <c r="A483" s="4" t="s">
        <v>207</v>
      </c>
      <c r="B483" s="23" t="n">
        <v>480</v>
      </c>
      <c r="C483" s="6" t="n">
        <v>46237</v>
      </c>
      <c r="D483" s="4" t="s">
        <v>209</v>
      </c>
      <c r="E483" s="4" t="s">
        <v>208</v>
      </c>
      <c r="F483" s="7" t="n">
        <v>-11044.57</v>
      </c>
      <c r="G483" s="26" t="s">
        <v>6043</v>
      </c>
      <c r="H483" s="4"/>
      <c r="I483" s="4" t="s">
        <v>206</v>
      </c>
    </row>
    <row r="484" customFormat="false" ht="15" hidden="false" customHeight="false" outlineLevel="0" collapsed="false">
      <c r="A484" s="4" t="s">
        <v>102</v>
      </c>
      <c r="B484" s="23" t="n">
        <v>481</v>
      </c>
      <c r="C484" s="6" t="n">
        <v>46237</v>
      </c>
      <c r="D484" s="4" t="s">
        <v>104</v>
      </c>
      <c r="E484" s="4" t="s">
        <v>103</v>
      </c>
      <c r="F484" s="7" t="n">
        <v>-39929.07</v>
      </c>
      <c r="G484" s="26" t="s">
        <v>6043</v>
      </c>
      <c r="H484" s="4"/>
      <c r="I484" s="4" t="s">
        <v>100</v>
      </c>
    </row>
    <row r="485" customFormat="false" ht="15" hidden="false" customHeight="false" outlineLevel="0" collapsed="false">
      <c r="A485" s="4" t="s">
        <v>2933</v>
      </c>
      <c r="B485" s="23" t="n">
        <v>482</v>
      </c>
      <c r="C485" s="6" t="n">
        <v>46238</v>
      </c>
      <c r="D485" s="4" t="s">
        <v>2935</v>
      </c>
      <c r="E485" s="4" t="s">
        <v>6308</v>
      </c>
      <c r="F485" s="7" t="n">
        <v>11610.83</v>
      </c>
      <c r="G485" s="24" t="s">
        <v>5951</v>
      </c>
      <c r="H485" s="4" t="s">
        <v>2931</v>
      </c>
      <c r="I485" s="4"/>
    </row>
    <row r="486" customFormat="false" ht="15" hidden="false" customHeight="false" outlineLevel="0" collapsed="false">
      <c r="A486" s="4" t="s">
        <v>4153</v>
      </c>
      <c r="B486" s="23" t="n">
        <v>483</v>
      </c>
      <c r="C486" s="6" t="n">
        <v>46238</v>
      </c>
      <c r="D486" s="4" t="s">
        <v>4155</v>
      </c>
      <c r="E486" s="4" t="s">
        <v>7119</v>
      </c>
      <c r="F486" s="7" t="n">
        <v>41433.95</v>
      </c>
      <c r="G486" s="24" t="s">
        <v>5951</v>
      </c>
      <c r="H486" s="4" t="s">
        <v>4151</v>
      </c>
      <c r="I486" s="4"/>
    </row>
    <row r="487" customFormat="false" ht="15" hidden="false" customHeight="false" outlineLevel="0" collapsed="false">
      <c r="A487" s="4" t="s">
        <v>2938</v>
      </c>
      <c r="B487" s="23" t="n">
        <v>484</v>
      </c>
      <c r="C487" s="6" t="n">
        <v>46238</v>
      </c>
      <c r="D487" s="4" t="s">
        <v>2940</v>
      </c>
      <c r="E487" s="4" t="s">
        <v>7120</v>
      </c>
      <c r="F487" s="7" t="n">
        <v>20052.39</v>
      </c>
      <c r="G487" s="24" t="s">
        <v>5951</v>
      </c>
      <c r="H487" s="4" t="s">
        <v>2936</v>
      </c>
      <c r="I487" s="4"/>
    </row>
    <row r="488" customFormat="false" ht="15" hidden="false" customHeight="false" outlineLevel="0" collapsed="false">
      <c r="A488" s="4" t="s">
        <v>2943</v>
      </c>
      <c r="B488" s="23" t="n">
        <v>485</v>
      </c>
      <c r="C488" s="6" t="n">
        <v>46238</v>
      </c>
      <c r="D488" s="4" t="s">
        <v>2945</v>
      </c>
      <c r="E488" s="4" t="s">
        <v>6311</v>
      </c>
      <c r="F488" s="7" t="n">
        <v>16700.12</v>
      </c>
      <c r="G488" s="24" t="s">
        <v>5951</v>
      </c>
      <c r="H488" s="4" t="s">
        <v>2941</v>
      </c>
      <c r="I488" s="4"/>
    </row>
    <row r="489" customFormat="false" ht="15" hidden="false" customHeight="false" outlineLevel="0" collapsed="false">
      <c r="A489" s="4" t="s">
        <v>4158</v>
      </c>
      <c r="B489" s="23" t="n">
        <v>486</v>
      </c>
      <c r="C489" s="6" t="n">
        <v>46238</v>
      </c>
      <c r="D489" s="4" t="s">
        <v>4160</v>
      </c>
      <c r="E489" s="4" t="s">
        <v>6320</v>
      </c>
      <c r="F489" s="7" t="n">
        <v>75334.29</v>
      </c>
      <c r="G489" s="24" t="s">
        <v>5951</v>
      </c>
      <c r="H489" s="4" t="s">
        <v>4156</v>
      </c>
      <c r="I489" s="4"/>
    </row>
    <row r="490" customFormat="false" ht="15" hidden="false" customHeight="false" outlineLevel="0" collapsed="false">
      <c r="A490" s="4" t="s">
        <v>5082</v>
      </c>
      <c r="B490" s="23" t="n">
        <v>487</v>
      </c>
      <c r="C490" s="6" t="n">
        <v>46238</v>
      </c>
      <c r="D490" s="4" t="s">
        <v>5084</v>
      </c>
      <c r="E490" s="4" t="s">
        <v>7121</v>
      </c>
      <c r="F490" s="7" t="n">
        <v>-17842.85</v>
      </c>
      <c r="G490" s="24" t="s">
        <v>5951</v>
      </c>
      <c r="H490" s="4" t="s">
        <v>5080</v>
      </c>
      <c r="I490" s="4"/>
    </row>
    <row r="491" customFormat="false" ht="15" hidden="false" customHeight="false" outlineLevel="0" collapsed="false">
      <c r="A491" s="4" t="s">
        <v>4697</v>
      </c>
      <c r="B491" s="23" t="n">
        <v>488</v>
      </c>
      <c r="C491" s="6" t="n">
        <v>46238</v>
      </c>
      <c r="D491" s="4" t="s">
        <v>4699</v>
      </c>
      <c r="E491" s="4" t="s">
        <v>7122</v>
      </c>
      <c r="F491" s="7" t="n">
        <v>-45805.9</v>
      </c>
      <c r="G491" s="24" t="s">
        <v>5951</v>
      </c>
      <c r="H491" s="4" t="s">
        <v>4695</v>
      </c>
      <c r="I491" s="4"/>
    </row>
    <row r="492" customFormat="false" ht="15" hidden="false" customHeight="false" outlineLevel="0" collapsed="false">
      <c r="A492" s="4" t="s">
        <v>1217</v>
      </c>
      <c r="B492" s="23" t="n">
        <v>489</v>
      </c>
      <c r="C492" s="6" t="n">
        <v>46238</v>
      </c>
      <c r="D492" s="4" t="s">
        <v>1219</v>
      </c>
      <c r="E492" s="4" t="s">
        <v>7123</v>
      </c>
      <c r="F492" s="7" t="n">
        <v>-16723.68</v>
      </c>
      <c r="G492" s="24" t="s">
        <v>5951</v>
      </c>
      <c r="H492" s="4" t="s">
        <v>1215</v>
      </c>
      <c r="I492" s="4"/>
    </row>
    <row r="493" customFormat="false" ht="15" hidden="false" customHeight="false" outlineLevel="0" collapsed="false">
      <c r="A493" s="4" t="s">
        <v>2948</v>
      </c>
      <c r="B493" s="23" t="n">
        <v>490</v>
      </c>
      <c r="C493" s="6" t="n">
        <v>46238</v>
      </c>
      <c r="D493" s="4" t="s">
        <v>2950</v>
      </c>
      <c r="E493" s="4" t="s">
        <v>7124</v>
      </c>
      <c r="F493" s="7" t="n">
        <v>-28903.59</v>
      </c>
      <c r="G493" s="24" t="s">
        <v>5951</v>
      </c>
      <c r="H493" s="4" t="s">
        <v>2946</v>
      </c>
      <c r="I493" s="4"/>
    </row>
    <row r="494" customFormat="false" ht="15" hidden="false" customHeight="false" outlineLevel="0" collapsed="false">
      <c r="A494" s="4" t="s">
        <v>5515</v>
      </c>
      <c r="B494" s="23" t="n">
        <v>491</v>
      </c>
      <c r="C494" s="6" t="n">
        <v>46238</v>
      </c>
      <c r="D494" s="4" t="s">
        <v>5517</v>
      </c>
      <c r="E494" s="4" t="s">
        <v>7125</v>
      </c>
      <c r="F494" s="7" t="n">
        <v>-44018.2</v>
      </c>
      <c r="G494" s="24" t="s">
        <v>5951</v>
      </c>
      <c r="H494" s="4" t="s">
        <v>5513</v>
      </c>
      <c r="I494" s="4"/>
    </row>
    <row r="495" customFormat="false" ht="15" hidden="false" customHeight="false" outlineLevel="0" collapsed="false">
      <c r="A495" s="4" t="s">
        <v>1222</v>
      </c>
      <c r="B495" s="23" t="n">
        <v>492</v>
      </c>
      <c r="C495" s="6" t="n">
        <v>46238</v>
      </c>
      <c r="D495" s="4" t="s">
        <v>1224</v>
      </c>
      <c r="E495" s="4" t="s">
        <v>7126</v>
      </c>
      <c r="F495" s="7" t="n">
        <v>-57139.7</v>
      </c>
      <c r="G495" s="24" t="s">
        <v>5951</v>
      </c>
      <c r="H495" s="4" t="s">
        <v>1220</v>
      </c>
      <c r="I495" s="4"/>
    </row>
    <row r="496" customFormat="false" ht="15" hidden="false" customHeight="false" outlineLevel="0" collapsed="false">
      <c r="A496" s="4" t="s">
        <v>1227</v>
      </c>
      <c r="B496" s="23" t="n">
        <v>493</v>
      </c>
      <c r="C496" s="6" t="n">
        <v>46239</v>
      </c>
      <c r="D496" s="4" t="s">
        <v>1229</v>
      </c>
      <c r="E496" s="4" t="s">
        <v>6310</v>
      </c>
      <c r="F496" s="7" t="n">
        <v>42380.85</v>
      </c>
      <c r="G496" s="24" t="s">
        <v>5951</v>
      </c>
      <c r="H496" s="4" t="s">
        <v>1225</v>
      </c>
      <c r="I496" s="4"/>
    </row>
    <row r="497" customFormat="false" ht="15" hidden="false" customHeight="false" outlineLevel="0" collapsed="false">
      <c r="A497" s="4" t="s">
        <v>4163</v>
      </c>
      <c r="B497" s="23" t="n">
        <v>494</v>
      </c>
      <c r="C497" s="6" t="n">
        <v>46239</v>
      </c>
      <c r="D497" s="4" t="s">
        <v>4165</v>
      </c>
      <c r="E497" s="4" t="s">
        <v>6326</v>
      </c>
      <c r="F497" s="7" t="n">
        <v>30040.95</v>
      </c>
      <c r="G497" s="24" t="s">
        <v>5951</v>
      </c>
      <c r="H497" s="4" t="s">
        <v>4161</v>
      </c>
      <c r="I497" s="4"/>
    </row>
    <row r="498" customFormat="false" ht="15" hidden="false" customHeight="false" outlineLevel="0" collapsed="false">
      <c r="A498" s="4" t="s">
        <v>2953</v>
      </c>
      <c r="B498" s="23" t="n">
        <v>495</v>
      </c>
      <c r="C498" s="6" t="n">
        <v>46239</v>
      </c>
      <c r="D498" s="4" t="s">
        <v>2955</v>
      </c>
      <c r="E498" s="4" t="s">
        <v>7127</v>
      </c>
      <c r="F498" s="7" t="n">
        <v>77100.16</v>
      </c>
      <c r="G498" s="24" t="s">
        <v>5951</v>
      </c>
      <c r="H498" s="4" t="s">
        <v>2951</v>
      </c>
      <c r="I498" s="4"/>
    </row>
    <row r="499" customFormat="false" ht="15" hidden="false" customHeight="false" outlineLevel="0" collapsed="false">
      <c r="A499" s="4" t="s">
        <v>2958</v>
      </c>
      <c r="B499" s="23" t="n">
        <v>496</v>
      </c>
      <c r="C499" s="6" t="n">
        <v>46239</v>
      </c>
      <c r="D499" s="4" t="s">
        <v>2960</v>
      </c>
      <c r="E499" s="4" t="s">
        <v>7128</v>
      </c>
      <c r="F499" s="7" t="n">
        <v>27066.92</v>
      </c>
      <c r="G499" s="24" t="s">
        <v>5951</v>
      </c>
      <c r="H499" s="4" t="s">
        <v>2956</v>
      </c>
      <c r="I499" s="4"/>
    </row>
    <row r="500" customFormat="false" ht="15" hidden="false" customHeight="false" outlineLevel="0" collapsed="false">
      <c r="A500" s="4" t="s">
        <v>4168</v>
      </c>
      <c r="B500" s="23" t="n">
        <v>497</v>
      </c>
      <c r="C500" s="6" t="n">
        <v>46239</v>
      </c>
      <c r="D500" s="4" t="s">
        <v>4170</v>
      </c>
      <c r="E500" s="4" t="s">
        <v>7129</v>
      </c>
      <c r="F500" s="7" t="n">
        <v>-4089.74</v>
      </c>
      <c r="G500" s="24" t="s">
        <v>5951</v>
      </c>
      <c r="H500" s="4" t="s">
        <v>4166</v>
      </c>
      <c r="I500" s="4"/>
    </row>
    <row r="501" customFormat="false" ht="15" hidden="false" customHeight="false" outlineLevel="0" collapsed="false">
      <c r="A501" s="4" t="s">
        <v>5087</v>
      </c>
      <c r="B501" s="23" t="n">
        <v>498</v>
      </c>
      <c r="C501" s="6" t="n">
        <v>46239</v>
      </c>
      <c r="D501" s="4" t="s">
        <v>5089</v>
      </c>
      <c r="E501" s="4" t="s">
        <v>7130</v>
      </c>
      <c r="F501" s="7" t="n">
        <v>-59326.5</v>
      </c>
      <c r="G501" s="24" t="s">
        <v>5951</v>
      </c>
      <c r="H501" s="4" t="s">
        <v>5085</v>
      </c>
      <c r="I501" s="4"/>
    </row>
    <row r="502" customFormat="false" ht="15" hidden="false" customHeight="false" outlineLevel="0" collapsed="false">
      <c r="A502" s="4" t="s">
        <v>2963</v>
      </c>
      <c r="B502" s="23" t="n">
        <v>499</v>
      </c>
      <c r="C502" s="6" t="n">
        <v>46240</v>
      </c>
      <c r="D502" s="4" t="s">
        <v>2965</v>
      </c>
      <c r="E502" s="4" t="s">
        <v>6324</v>
      </c>
      <c r="F502" s="7" t="n">
        <v>78617.08</v>
      </c>
      <c r="G502" s="24" t="s">
        <v>5951</v>
      </c>
      <c r="H502" s="4" t="s">
        <v>2961</v>
      </c>
      <c r="I502" s="4"/>
    </row>
    <row r="503" customFormat="false" ht="15" hidden="false" customHeight="false" outlineLevel="0" collapsed="false">
      <c r="A503" s="4" t="s">
        <v>2968</v>
      </c>
      <c r="B503" s="23" t="n">
        <v>500</v>
      </c>
      <c r="C503" s="6" t="n">
        <v>46240</v>
      </c>
      <c r="D503" s="4" t="s">
        <v>2970</v>
      </c>
      <c r="E503" s="4" t="s">
        <v>7131</v>
      </c>
      <c r="F503" s="7" t="n">
        <v>15748.67</v>
      </c>
      <c r="G503" s="24" t="s">
        <v>5951</v>
      </c>
      <c r="H503" s="4" t="s">
        <v>2966</v>
      </c>
      <c r="I503" s="4"/>
    </row>
    <row r="504" customFormat="false" ht="15" hidden="false" customHeight="false" outlineLevel="0" collapsed="false">
      <c r="A504" s="4" t="s">
        <v>2973</v>
      </c>
      <c r="B504" s="23" t="n">
        <v>501</v>
      </c>
      <c r="C504" s="6" t="n">
        <v>46240</v>
      </c>
      <c r="D504" s="4" t="s">
        <v>2975</v>
      </c>
      <c r="E504" s="4" t="s">
        <v>6327</v>
      </c>
      <c r="F504" s="7" t="n">
        <v>40700.58</v>
      </c>
      <c r="G504" s="24" t="s">
        <v>5951</v>
      </c>
      <c r="H504" s="4" t="s">
        <v>2971</v>
      </c>
      <c r="I504" s="4"/>
    </row>
    <row r="505" customFormat="false" ht="15" hidden="false" customHeight="false" outlineLevel="0" collapsed="false">
      <c r="A505" s="4" t="s">
        <v>2978</v>
      </c>
      <c r="B505" s="23" t="n">
        <v>502</v>
      </c>
      <c r="C505" s="6" t="n">
        <v>46240</v>
      </c>
      <c r="D505" s="4" t="s">
        <v>2980</v>
      </c>
      <c r="E505" s="4" t="s">
        <v>7132</v>
      </c>
      <c r="F505" s="7" t="n">
        <v>61101.36</v>
      </c>
      <c r="G505" s="24" t="s">
        <v>5951</v>
      </c>
      <c r="H505" s="4" t="s">
        <v>2976</v>
      </c>
      <c r="I505" s="4"/>
    </row>
    <row r="506" customFormat="false" ht="15" hidden="false" customHeight="false" outlineLevel="0" collapsed="false">
      <c r="A506" s="4" t="s">
        <v>1232</v>
      </c>
      <c r="B506" s="23" t="n">
        <v>503</v>
      </c>
      <c r="C506" s="6" t="n">
        <v>46240</v>
      </c>
      <c r="D506" s="4" t="s">
        <v>1234</v>
      </c>
      <c r="E506" s="4" t="s">
        <v>6321</v>
      </c>
      <c r="F506" s="7" t="n">
        <v>48209.48</v>
      </c>
      <c r="G506" s="24" t="s">
        <v>5951</v>
      </c>
      <c r="H506" s="4" t="s">
        <v>1230</v>
      </c>
      <c r="I506" s="4"/>
    </row>
    <row r="507" customFormat="false" ht="15" hidden="false" customHeight="false" outlineLevel="0" collapsed="false">
      <c r="A507" s="4" t="s">
        <v>5092</v>
      </c>
      <c r="B507" s="23" t="n">
        <v>504</v>
      </c>
      <c r="C507" s="6" t="n">
        <v>46240</v>
      </c>
      <c r="D507" s="4" t="s">
        <v>5094</v>
      </c>
      <c r="E507" s="4" t="s">
        <v>7133</v>
      </c>
      <c r="F507" s="7" t="n">
        <v>-53623.92</v>
      </c>
      <c r="G507" s="24" t="s">
        <v>5951</v>
      </c>
      <c r="H507" s="4" t="s">
        <v>5090</v>
      </c>
      <c r="I507" s="4"/>
    </row>
    <row r="508" customFormat="false" ht="15" hidden="false" customHeight="false" outlineLevel="0" collapsed="false">
      <c r="A508" s="4" t="s">
        <v>1237</v>
      </c>
      <c r="B508" s="23" t="n">
        <v>505</v>
      </c>
      <c r="C508" s="6" t="n">
        <v>46240</v>
      </c>
      <c r="D508" s="4" t="s">
        <v>1239</v>
      </c>
      <c r="E508" s="4" t="s">
        <v>7134</v>
      </c>
      <c r="F508" s="7" t="n">
        <v>-49458.37</v>
      </c>
      <c r="G508" s="24" t="s">
        <v>5951</v>
      </c>
      <c r="H508" s="4" t="s">
        <v>1235</v>
      </c>
      <c r="I508" s="4"/>
    </row>
    <row r="509" customFormat="false" ht="15" hidden="false" customHeight="false" outlineLevel="0" collapsed="false">
      <c r="A509" s="4" t="s">
        <v>5097</v>
      </c>
      <c r="B509" s="23" t="n">
        <v>506</v>
      </c>
      <c r="C509" s="6" t="n">
        <v>46240</v>
      </c>
      <c r="D509" s="4" t="s">
        <v>194</v>
      </c>
      <c r="E509" s="4" t="s">
        <v>193</v>
      </c>
      <c r="F509" s="7" t="n">
        <v>-27497.54</v>
      </c>
      <c r="G509" s="24" t="s">
        <v>5951</v>
      </c>
      <c r="H509" s="4" t="s">
        <v>5095</v>
      </c>
      <c r="I509" s="4"/>
    </row>
    <row r="510" customFormat="false" ht="15" hidden="false" customHeight="false" outlineLevel="0" collapsed="false">
      <c r="A510" s="4" t="s">
        <v>192</v>
      </c>
      <c r="B510" s="23" t="n">
        <v>507</v>
      </c>
      <c r="C510" s="6" t="n">
        <v>46240</v>
      </c>
      <c r="D510" s="4" t="s">
        <v>194</v>
      </c>
      <c r="E510" s="4" t="s">
        <v>193</v>
      </c>
      <c r="F510" s="7" t="n">
        <v>-27497.54</v>
      </c>
      <c r="G510" s="26" t="s">
        <v>6043</v>
      </c>
      <c r="H510" s="4"/>
      <c r="I510" s="4" t="s">
        <v>191</v>
      </c>
    </row>
    <row r="511" customFormat="false" ht="15" hidden="false" customHeight="false" outlineLevel="0" collapsed="false">
      <c r="A511" s="4" t="s">
        <v>2983</v>
      </c>
      <c r="B511" s="23" t="n">
        <v>508</v>
      </c>
      <c r="C511" s="6" t="n">
        <v>46241</v>
      </c>
      <c r="D511" s="4" t="s">
        <v>2985</v>
      </c>
      <c r="E511" s="4" t="s">
        <v>6336</v>
      </c>
      <c r="F511" s="7" t="n">
        <v>85944.12</v>
      </c>
      <c r="G511" s="24" t="s">
        <v>5951</v>
      </c>
      <c r="H511" s="4" t="s">
        <v>2981</v>
      </c>
      <c r="I511" s="4"/>
    </row>
    <row r="512" customFormat="false" ht="15" hidden="false" customHeight="false" outlineLevel="0" collapsed="false">
      <c r="A512" s="4" t="s">
        <v>1242</v>
      </c>
      <c r="B512" s="23" t="n">
        <v>509</v>
      </c>
      <c r="C512" s="6" t="n">
        <v>46241</v>
      </c>
      <c r="D512" s="4" t="s">
        <v>1244</v>
      </c>
      <c r="E512" s="4" t="s">
        <v>6325</v>
      </c>
      <c r="F512" s="7" t="n">
        <v>27382.02</v>
      </c>
      <c r="G512" s="24" t="s">
        <v>5951</v>
      </c>
      <c r="H512" s="4" t="s">
        <v>1240</v>
      </c>
      <c r="I512" s="4"/>
    </row>
    <row r="513" customFormat="false" ht="15" hidden="false" customHeight="false" outlineLevel="0" collapsed="false">
      <c r="A513" s="4" t="s">
        <v>2988</v>
      </c>
      <c r="B513" s="23" t="n">
        <v>510</v>
      </c>
      <c r="C513" s="6" t="n">
        <v>46241</v>
      </c>
      <c r="D513" s="4" t="s">
        <v>2990</v>
      </c>
      <c r="E513" s="4" t="s">
        <v>6339</v>
      </c>
      <c r="F513" s="7" t="n">
        <v>11481.33</v>
      </c>
      <c r="G513" s="24" t="s">
        <v>5951</v>
      </c>
      <c r="H513" s="4" t="s">
        <v>2986</v>
      </c>
      <c r="I513" s="4"/>
    </row>
    <row r="514" customFormat="false" ht="15" hidden="false" customHeight="false" outlineLevel="0" collapsed="false">
      <c r="A514" s="4" t="s">
        <v>1247</v>
      </c>
      <c r="B514" s="23" t="n">
        <v>511</v>
      </c>
      <c r="C514" s="6" t="n">
        <v>46241</v>
      </c>
      <c r="D514" s="4" t="s">
        <v>1249</v>
      </c>
      <c r="E514" s="4" t="s">
        <v>6328</v>
      </c>
      <c r="F514" s="7" t="n">
        <v>85619.91</v>
      </c>
      <c r="G514" s="24" t="s">
        <v>5951</v>
      </c>
      <c r="H514" s="4" t="s">
        <v>1245</v>
      </c>
      <c r="I514" s="4"/>
    </row>
    <row r="515" customFormat="false" ht="15" hidden="false" customHeight="false" outlineLevel="0" collapsed="false">
      <c r="A515" s="4" t="s">
        <v>2993</v>
      </c>
      <c r="B515" s="23" t="n">
        <v>512</v>
      </c>
      <c r="C515" s="6" t="n">
        <v>46241</v>
      </c>
      <c r="D515" s="4" t="s">
        <v>2995</v>
      </c>
      <c r="E515" s="4" t="s">
        <v>6340</v>
      </c>
      <c r="F515" s="7" t="n">
        <v>15085.98</v>
      </c>
      <c r="G515" s="24" t="s">
        <v>5951</v>
      </c>
      <c r="H515" s="4" t="s">
        <v>2991</v>
      </c>
      <c r="I515" s="4"/>
    </row>
    <row r="516" customFormat="false" ht="15" hidden="false" customHeight="false" outlineLevel="0" collapsed="false">
      <c r="A516" s="4" t="s">
        <v>5520</v>
      </c>
      <c r="B516" s="23" t="n">
        <v>513</v>
      </c>
      <c r="C516" s="6" t="n">
        <v>46241</v>
      </c>
      <c r="D516" s="4" t="s">
        <v>5522</v>
      </c>
      <c r="E516" s="4" t="s">
        <v>7135</v>
      </c>
      <c r="F516" s="7" t="n">
        <v>-7075.45</v>
      </c>
      <c r="G516" s="24" t="s">
        <v>5951</v>
      </c>
      <c r="H516" s="4" t="s">
        <v>5518</v>
      </c>
      <c r="I516" s="4"/>
    </row>
    <row r="517" customFormat="false" ht="15" hidden="false" customHeight="false" outlineLevel="0" collapsed="false">
      <c r="A517" s="4" t="s">
        <v>4702</v>
      </c>
      <c r="B517" s="23" t="n">
        <v>514</v>
      </c>
      <c r="C517" s="6" t="n">
        <v>46241</v>
      </c>
      <c r="D517" s="4" t="s">
        <v>4704</v>
      </c>
      <c r="E517" s="4" t="s">
        <v>7136</v>
      </c>
      <c r="F517" s="7" t="n">
        <v>-11599.89</v>
      </c>
      <c r="G517" s="24" t="s">
        <v>5951</v>
      </c>
      <c r="H517" s="4" t="s">
        <v>4700</v>
      </c>
      <c r="I517" s="4"/>
    </row>
    <row r="518" customFormat="false" ht="15" hidden="false" customHeight="false" outlineLevel="0" collapsed="false">
      <c r="A518" s="4" t="s">
        <v>1252</v>
      </c>
      <c r="B518" s="23" t="n">
        <v>515</v>
      </c>
      <c r="C518" s="6" t="n">
        <v>46241</v>
      </c>
      <c r="D518" s="4" t="s">
        <v>1254</v>
      </c>
      <c r="E518" s="4" t="s">
        <v>7137</v>
      </c>
      <c r="F518" s="7" t="n">
        <v>-7311.46</v>
      </c>
      <c r="G518" s="24" t="s">
        <v>5951</v>
      </c>
      <c r="H518" s="4" t="s">
        <v>1250</v>
      </c>
      <c r="I518" s="4"/>
    </row>
    <row r="519" customFormat="false" ht="15" hidden="false" customHeight="false" outlineLevel="0" collapsed="false">
      <c r="A519" s="4" t="s">
        <v>1257</v>
      </c>
      <c r="B519" s="23" t="n">
        <v>516</v>
      </c>
      <c r="C519" s="6" t="n">
        <v>46241</v>
      </c>
      <c r="D519" s="4" t="s">
        <v>1259</v>
      </c>
      <c r="E519" s="4" t="s">
        <v>7138</v>
      </c>
      <c r="F519" s="7" t="n">
        <v>-10285.65</v>
      </c>
      <c r="G519" s="24" t="s">
        <v>5951</v>
      </c>
      <c r="H519" s="4" t="s">
        <v>1255</v>
      </c>
      <c r="I519" s="4"/>
    </row>
    <row r="520" customFormat="false" ht="15" hidden="false" customHeight="false" outlineLevel="0" collapsed="false">
      <c r="A520" s="4" t="s">
        <v>5525</v>
      </c>
      <c r="B520" s="23" t="n">
        <v>517</v>
      </c>
      <c r="C520" s="6" t="n">
        <v>46241</v>
      </c>
      <c r="D520" s="4" t="s">
        <v>5527</v>
      </c>
      <c r="E520" s="4" t="s">
        <v>7139</v>
      </c>
      <c r="F520" s="7" t="n">
        <v>-9439.57</v>
      </c>
      <c r="G520" s="24" t="s">
        <v>5951</v>
      </c>
      <c r="H520" s="4" t="s">
        <v>5523</v>
      </c>
      <c r="I520" s="4"/>
    </row>
    <row r="521" customFormat="false" ht="15" hidden="false" customHeight="false" outlineLevel="0" collapsed="false">
      <c r="A521" s="4" t="s">
        <v>4707</v>
      </c>
      <c r="B521" s="23" t="n">
        <v>518</v>
      </c>
      <c r="C521" s="6" t="n">
        <v>46241</v>
      </c>
      <c r="D521" s="4" t="s">
        <v>4709</v>
      </c>
      <c r="E521" s="4" t="s">
        <v>7140</v>
      </c>
      <c r="F521" s="7" t="n">
        <v>-16863.31</v>
      </c>
      <c r="G521" s="24" t="s">
        <v>5951</v>
      </c>
      <c r="H521" s="4" t="s">
        <v>4705</v>
      </c>
      <c r="I521" s="4"/>
    </row>
    <row r="522" customFormat="false" ht="15" hidden="false" customHeight="false" outlineLevel="0" collapsed="false">
      <c r="A522" s="4" t="s">
        <v>4712</v>
      </c>
      <c r="B522" s="23" t="n">
        <v>519</v>
      </c>
      <c r="C522" s="6" t="n">
        <v>46241</v>
      </c>
      <c r="D522" s="4" t="s">
        <v>4714</v>
      </c>
      <c r="E522" s="4" t="s">
        <v>7141</v>
      </c>
      <c r="F522" s="7" t="n">
        <v>-2984.27</v>
      </c>
      <c r="G522" s="24" t="s">
        <v>5951</v>
      </c>
      <c r="H522" s="4" t="s">
        <v>4710</v>
      </c>
      <c r="I522" s="4"/>
    </row>
    <row r="523" customFormat="false" ht="15" hidden="false" customHeight="false" outlineLevel="0" collapsed="false">
      <c r="A523" s="4" t="s">
        <v>5101</v>
      </c>
      <c r="B523" s="23" t="n">
        <v>520</v>
      </c>
      <c r="C523" s="6" t="n">
        <v>46241</v>
      </c>
      <c r="D523" s="4" t="s">
        <v>5103</v>
      </c>
      <c r="E523" s="4" t="s">
        <v>7142</v>
      </c>
      <c r="F523" s="7" t="n">
        <v>-32729.09</v>
      </c>
      <c r="G523" s="24" t="s">
        <v>5951</v>
      </c>
      <c r="H523" s="4" t="s">
        <v>5099</v>
      </c>
      <c r="I523" s="4"/>
    </row>
    <row r="524" customFormat="false" ht="15" hidden="false" customHeight="false" outlineLevel="0" collapsed="false">
      <c r="A524" s="4" t="s">
        <v>5781</v>
      </c>
      <c r="B524" s="23" t="n">
        <v>521</v>
      </c>
      <c r="C524" s="6" t="n">
        <v>46241</v>
      </c>
      <c r="D524" s="4" t="s">
        <v>5783</v>
      </c>
      <c r="E524" s="4"/>
      <c r="F524" s="7" t="n">
        <v>-8006.87</v>
      </c>
      <c r="G524" s="24" t="s">
        <v>5951</v>
      </c>
      <c r="H524" s="4" t="s">
        <v>5779</v>
      </c>
      <c r="I524" s="4"/>
    </row>
    <row r="525" customFormat="false" ht="15" hidden="false" customHeight="false" outlineLevel="0" collapsed="false">
      <c r="A525" s="4" t="s">
        <v>321</v>
      </c>
      <c r="B525" s="23" t="n">
        <v>522</v>
      </c>
      <c r="C525" s="6" t="n">
        <v>46241</v>
      </c>
      <c r="D525" s="4" t="s">
        <v>5891</v>
      </c>
      <c r="E525" s="4" t="s">
        <v>322</v>
      </c>
      <c r="F525" s="7" t="n">
        <v>37297.84</v>
      </c>
      <c r="G525" s="25" t="s">
        <v>5987</v>
      </c>
      <c r="H525" s="4" t="s">
        <v>5889</v>
      </c>
      <c r="I525" s="4" t="s">
        <v>318</v>
      </c>
    </row>
    <row r="526" customFormat="false" ht="15" hidden="false" customHeight="false" outlineLevel="0" collapsed="false">
      <c r="A526" s="4" t="s">
        <v>2998</v>
      </c>
      <c r="B526" s="23" t="n">
        <v>523</v>
      </c>
      <c r="C526" s="6" t="n">
        <v>46242</v>
      </c>
      <c r="D526" s="4" t="s">
        <v>3000</v>
      </c>
      <c r="E526" s="4" t="s">
        <v>6344</v>
      </c>
      <c r="F526" s="7" t="n">
        <v>34616.98</v>
      </c>
      <c r="G526" s="24" t="s">
        <v>5951</v>
      </c>
      <c r="H526" s="4" t="s">
        <v>2996</v>
      </c>
      <c r="I526" s="4"/>
    </row>
    <row r="527" customFormat="false" ht="15" hidden="false" customHeight="false" outlineLevel="0" collapsed="false">
      <c r="A527" s="4" t="s">
        <v>1262</v>
      </c>
      <c r="B527" s="23" t="n">
        <v>524</v>
      </c>
      <c r="C527" s="6" t="n">
        <v>46242</v>
      </c>
      <c r="D527" s="4" t="s">
        <v>1264</v>
      </c>
      <c r="E527" s="4" t="s">
        <v>6337</v>
      </c>
      <c r="F527" s="7" t="n">
        <v>88657.17</v>
      </c>
      <c r="G527" s="24" t="s">
        <v>5951</v>
      </c>
      <c r="H527" s="4" t="s">
        <v>1260</v>
      </c>
      <c r="I527" s="4"/>
    </row>
    <row r="528" customFormat="false" ht="15" hidden="false" customHeight="false" outlineLevel="0" collapsed="false">
      <c r="A528" s="4" t="s">
        <v>1267</v>
      </c>
      <c r="B528" s="23" t="n">
        <v>525</v>
      </c>
      <c r="C528" s="6" t="n">
        <v>46242</v>
      </c>
      <c r="D528" s="4" t="s">
        <v>1269</v>
      </c>
      <c r="E528" s="4" t="s">
        <v>6338</v>
      </c>
      <c r="F528" s="7" t="n">
        <v>55175.15</v>
      </c>
      <c r="G528" s="24" t="s">
        <v>5951</v>
      </c>
      <c r="H528" s="4" t="s">
        <v>1265</v>
      </c>
      <c r="I528" s="4"/>
    </row>
    <row r="529" customFormat="false" ht="15" hidden="false" customHeight="false" outlineLevel="0" collapsed="false">
      <c r="A529" s="4" t="s">
        <v>3003</v>
      </c>
      <c r="B529" s="23" t="n">
        <v>526</v>
      </c>
      <c r="C529" s="6" t="n">
        <v>46242</v>
      </c>
      <c r="D529" s="4" t="s">
        <v>3005</v>
      </c>
      <c r="E529" s="4" t="s">
        <v>6345</v>
      </c>
      <c r="F529" s="7" t="n">
        <v>76129.68</v>
      </c>
      <c r="G529" s="24" t="s">
        <v>5951</v>
      </c>
      <c r="H529" s="4" t="s">
        <v>3001</v>
      </c>
      <c r="I529" s="4"/>
    </row>
    <row r="530" customFormat="false" ht="15" hidden="false" customHeight="false" outlineLevel="0" collapsed="false">
      <c r="A530" s="4" t="s">
        <v>3008</v>
      </c>
      <c r="B530" s="23" t="n">
        <v>527</v>
      </c>
      <c r="C530" s="6" t="n">
        <v>46242</v>
      </c>
      <c r="D530" s="4" t="s">
        <v>3010</v>
      </c>
      <c r="E530" s="4" t="s">
        <v>6346</v>
      </c>
      <c r="F530" s="7" t="n">
        <v>13051.78</v>
      </c>
      <c r="G530" s="24" t="s">
        <v>5951</v>
      </c>
      <c r="H530" s="4" t="s">
        <v>3006</v>
      </c>
      <c r="I530" s="4"/>
    </row>
    <row r="531" customFormat="false" ht="15" hidden="false" customHeight="false" outlineLevel="0" collapsed="false">
      <c r="A531" s="4" t="s">
        <v>1272</v>
      </c>
      <c r="B531" s="23" t="n">
        <v>528</v>
      </c>
      <c r="C531" s="6" t="n">
        <v>46242</v>
      </c>
      <c r="D531" s="4" t="s">
        <v>1274</v>
      </c>
      <c r="E531" s="4" t="s">
        <v>6341</v>
      </c>
      <c r="F531" s="7" t="n">
        <v>19947.47</v>
      </c>
      <c r="G531" s="24" t="s">
        <v>5951</v>
      </c>
      <c r="H531" s="4" t="s">
        <v>1270</v>
      </c>
      <c r="I531" s="4"/>
    </row>
    <row r="532" customFormat="false" ht="15" hidden="false" customHeight="false" outlineLevel="0" collapsed="false">
      <c r="A532" s="4" t="s">
        <v>3013</v>
      </c>
      <c r="B532" s="23" t="n">
        <v>529</v>
      </c>
      <c r="C532" s="6" t="n">
        <v>46242</v>
      </c>
      <c r="D532" s="4" t="s">
        <v>3015</v>
      </c>
      <c r="E532" s="4" t="s">
        <v>7143</v>
      </c>
      <c r="F532" s="7" t="n">
        <v>-12286.22</v>
      </c>
      <c r="G532" s="24" t="s">
        <v>5951</v>
      </c>
      <c r="H532" s="4" t="s">
        <v>3011</v>
      </c>
      <c r="I532" s="4"/>
    </row>
    <row r="533" customFormat="false" ht="15" hidden="false" customHeight="false" outlineLevel="0" collapsed="false">
      <c r="A533" s="4" t="s">
        <v>4173</v>
      </c>
      <c r="B533" s="23" t="n">
        <v>530</v>
      </c>
      <c r="C533" s="6" t="n">
        <v>46242</v>
      </c>
      <c r="D533" s="4" t="s">
        <v>4175</v>
      </c>
      <c r="E533" s="4" t="s">
        <v>7144</v>
      </c>
      <c r="F533" s="7" t="n">
        <v>-39017.79</v>
      </c>
      <c r="G533" s="24" t="s">
        <v>5951</v>
      </c>
      <c r="H533" s="4" t="s">
        <v>4171</v>
      </c>
      <c r="I533" s="4"/>
    </row>
    <row r="534" customFormat="false" ht="15" hidden="false" customHeight="false" outlineLevel="0" collapsed="false">
      <c r="A534" s="4" t="s">
        <v>5530</v>
      </c>
      <c r="B534" s="23" t="n">
        <v>531</v>
      </c>
      <c r="C534" s="6" t="n">
        <v>46242</v>
      </c>
      <c r="D534" s="4" t="s">
        <v>5532</v>
      </c>
      <c r="E534" s="4" t="s">
        <v>7145</v>
      </c>
      <c r="F534" s="7" t="n">
        <v>-4446.35</v>
      </c>
      <c r="G534" s="24" t="s">
        <v>5951</v>
      </c>
      <c r="H534" s="4" t="s">
        <v>5528</v>
      </c>
      <c r="I534" s="4"/>
    </row>
    <row r="535" customFormat="false" ht="15" hidden="false" customHeight="false" outlineLevel="0" collapsed="false">
      <c r="A535" s="4" t="s">
        <v>5106</v>
      </c>
      <c r="B535" s="23" t="n">
        <v>532</v>
      </c>
      <c r="C535" s="6" t="n">
        <v>46242</v>
      </c>
      <c r="D535" s="4" t="s">
        <v>5108</v>
      </c>
      <c r="E535" s="4" t="s">
        <v>7146</v>
      </c>
      <c r="F535" s="7" t="n">
        <v>-35302.92</v>
      </c>
      <c r="G535" s="24" t="s">
        <v>5951</v>
      </c>
      <c r="H535" s="4" t="s">
        <v>5104</v>
      </c>
      <c r="I535" s="4"/>
    </row>
    <row r="536" customFormat="false" ht="15" hidden="false" customHeight="false" outlineLevel="0" collapsed="false">
      <c r="A536" s="4" t="s">
        <v>4717</v>
      </c>
      <c r="B536" s="23" t="n">
        <v>533</v>
      </c>
      <c r="C536" s="6" t="n">
        <v>46242</v>
      </c>
      <c r="D536" s="4" t="s">
        <v>4719</v>
      </c>
      <c r="E536" s="4" t="s">
        <v>7147</v>
      </c>
      <c r="F536" s="7" t="n">
        <v>-38741.23</v>
      </c>
      <c r="G536" s="24" t="s">
        <v>5951</v>
      </c>
      <c r="H536" s="4" t="s">
        <v>4715</v>
      </c>
      <c r="I536" s="4"/>
    </row>
    <row r="537" customFormat="false" ht="15" hidden="false" customHeight="false" outlineLevel="0" collapsed="false">
      <c r="A537" s="4" t="s">
        <v>5111</v>
      </c>
      <c r="B537" s="23" t="n">
        <v>534</v>
      </c>
      <c r="C537" s="6" t="n">
        <v>46242</v>
      </c>
      <c r="D537" s="4" t="s">
        <v>5113</v>
      </c>
      <c r="E537" s="4" t="s">
        <v>7148</v>
      </c>
      <c r="F537" s="7" t="n">
        <v>-15673.92</v>
      </c>
      <c r="G537" s="24" t="s">
        <v>5951</v>
      </c>
      <c r="H537" s="4" t="s">
        <v>5109</v>
      </c>
      <c r="I537" s="4"/>
    </row>
    <row r="538" customFormat="false" ht="15" hidden="false" customHeight="false" outlineLevel="0" collapsed="false">
      <c r="A538" s="4" t="s">
        <v>3018</v>
      </c>
      <c r="B538" s="23" t="n">
        <v>535</v>
      </c>
      <c r="C538" s="6" t="n">
        <v>46242</v>
      </c>
      <c r="D538" s="4" t="s">
        <v>3020</v>
      </c>
      <c r="E538" s="4" t="s">
        <v>7149</v>
      </c>
      <c r="F538" s="7" t="n">
        <v>-3543.37</v>
      </c>
      <c r="G538" s="24" t="s">
        <v>5951</v>
      </c>
      <c r="H538" s="4" t="s">
        <v>3016</v>
      </c>
      <c r="I538" s="4"/>
    </row>
    <row r="539" customFormat="false" ht="15" hidden="false" customHeight="false" outlineLevel="0" collapsed="false">
      <c r="A539" s="4" t="s">
        <v>494</v>
      </c>
      <c r="B539" s="23" t="n">
        <v>536</v>
      </c>
      <c r="C539" s="6" t="n">
        <v>46242</v>
      </c>
      <c r="D539" s="4" t="s">
        <v>5849</v>
      </c>
      <c r="E539" s="4" t="s">
        <v>495</v>
      </c>
      <c r="F539" s="7" t="n">
        <v>23572.72</v>
      </c>
      <c r="G539" s="25" t="s">
        <v>5987</v>
      </c>
      <c r="H539" s="4" t="s">
        <v>5847</v>
      </c>
      <c r="I539" s="4" t="s">
        <v>492</v>
      </c>
    </row>
    <row r="540" customFormat="false" ht="15" hidden="false" customHeight="false" outlineLevel="0" collapsed="false">
      <c r="A540" s="4" t="s">
        <v>4178</v>
      </c>
      <c r="B540" s="23" t="n">
        <v>537</v>
      </c>
      <c r="C540" s="6" t="n">
        <v>46243</v>
      </c>
      <c r="D540" s="4" t="s">
        <v>4180</v>
      </c>
      <c r="E540" s="4" t="s">
        <v>6363</v>
      </c>
      <c r="F540" s="7" t="n">
        <v>70266.66</v>
      </c>
      <c r="G540" s="24" t="s">
        <v>5951</v>
      </c>
      <c r="H540" s="4" t="s">
        <v>4176</v>
      </c>
      <c r="I540" s="4"/>
    </row>
    <row r="541" customFormat="false" ht="15" hidden="false" customHeight="false" outlineLevel="0" collapsed="false">
      <c r="A541" s="4" t="s">
        <v>1277</v>
      </c>
      <c r="B541" s="23" t="n">
        <v>538</v>
      </c>
      <c r="C541" s="6" t="n">
        <v>46243</v>
      </c>
      <c r="D541" s="4" t="s">
        <v>1279</v>
      </c>
      <c r="E541" s="4" t="s">
        <v>6343</v>
      </c>
      <c r="F541" s="7" t="n">
        <v>91841.34</v>
      </c>
      <c r="G541" s="24" t="s">
        <v>5951</v>
      </c>
      <c r="H541" s="4" t="s">
        <v>1275</v>
      </c>
      <c r="I541" s="4"/>
    </row>
    <row r="542" customFormat="false" ht="15" hidden="false" customHeight="false" outlineLevel="0" collapsed="false">
      <c r="A542" s="4" t="s">
        <v>1282</v>
      </c>
      <c r="B542" s="23" t="n">
        <v>539</v>
      </c>
      <c r="C542" s="6" t="n">
        <v>46243</v>
      </c>
      <c r="D542" s="4" t="s">
        <v>1284</v>
      </c>
      <c r="E542" s="4" t="s">
        <v>7150</v>
      </c>
      <c r="F542" s="7" t="n">
        <v>67828.14</v>
      </c>
      <c r="G542" s="24" t="s">
        <v>5951</v>
      </c>
      <c r="H542" s="4" t="s">
        <v>1280</v>
      </c>
      <c r="I542" s="4"/>
    </row>
    <row r="543" customFormat="false" ht="15" hidden="false" customHeight="false" outlineLevel="0" collapsed="false">
      <c r="A543" s="4" t="s">
        <v>4183</v>
      </c>
      <c r="B543" s="23" t="n">
        <v>540</v>
      </c>
      <c r="C543" s="6" t="n">
        <v>46243</v>
      </c>
      <c r="D543" s="4" t="s">
        <v>4185</v>
      </c>
      <c r="E543" s="4" t="s">
        <v>6368</v>
      </c>
      <c r="F543" s="7" t="n">
        <v>78680.18</v>
      </c>
      <c r="G543" s="24" t="s">
        <v>5951</v>
      </c>
      <c r="H543" s="4" t="s">
        <v>4181</v>
      </c>
      <c r="I543" s="4"/>
    </row>
    <row r="544" customFormat="false" ht="15" hidden="false" customHeight="false" outlineLevel="0" collapsed="false">
      <c r="A544" s="4" t="s">
        <v>4722</v>
      </c>
      <c r="B544" s="23" t="n">
        <v>541</v>
      </c>
      <c r="C544" s="6" t="n">
        <v>46243</v>
      </c>
      <c r="D544" s="4" t="s">
        <v>4724</v>
      </c>
      <c r="E544" s="4" t="s">
        <v>7151</v>
      </c>
      <c r="F544" s="7" t="n">
        <v>-12228.23</v>
      </c>
      <c r="G544" s="24" t="s">
        <v>5951</v>
      </c>
      <c r="H544" s="4" t="s">
        <v>4720</v>
      </c>
      <c r="I544" s="4"/>
    </row>
    <row r="545" customFormat="false" ht="15" hidden="false" customHeight="false" outlineLevel="0" collapsed="false">
      <c r="A545" s="4" t="s">
        <v>5535</v>
      </c>
      <c r="B545" s="23" t="n">
        <v>542</v>
      </c>
      <c r="C545" s="6" t="n">
        <v>46243</v>
      </c>
      <c r="D545" s="4" t="s">
        <v>5537</v>
      </c>
      <c r="E545" s="4" t="s">
        <v>7152</v>
      </c>
      <c r="F545" s="7" t="n">
        <v>-47184.71</v>
      </c>
      <c r="G545" s="24" t="s">
        <v>5951</v>
      </c>
      <c r="H545" s="4" t="s">
        <v>5533</v>
      </c>
      <c r="I545" s="4"/>
    </row>
    <row r="546" customFormat="false" ht="15" hidden="false" customHeight="false" outlineLevel="0" collapsed="false">
      <c r="A546" s="4" t="s">
        <v>5540</v>
      </c>
      <c r="B546" s="23" t="n">
        <v>543</v>
      </c>
      <c r="C546" s="6" t="n">
        <v>46243</v>
      </c>
      <c r="D546" s="4" t="s">
        <v>5542</v>
      </c>
      <c r="E546" s="4" t="s">
        <v>7153</v>
      </c>
      <c r="F546" s="7" t="n">
        <v>-46671.51</v>
      </c>
      <c r="G546" s="24" t="s">
        <v>5951</v>
      </c>
      <c r="H546" s="4" t="s">
        <v>5538</v>
      </c>
      <c r="I546" s="4"/>
    </row>
    <row r="547" customFormat="false" ht="15" hidden="false" customHeight="false" outlineLevel="0" collapsed="false">
      <c r="A547" s="4" t="s">
        <v>3023</v>
      </c>
      <c r="B547" s="23" t="n">
        <v>544</v>
      </c>
      <c r="C547" s="6" t="n">
        <v>46244</v>
      </c>
      <c r="D547" s="4" t="s">
        <v>3025</v>
      </c>
      <c r="E547" s="4" t="s">
        <v>6362</v>
      </c>
      <c r="F547" s="7" t="n">
        <v>83543.96</v>
      </c>
      <c r="G547" s="24" t="s">
        <v>5951</v>
      </c>
      <c r="H547" s="4" t="s">
        <v>3021</v>
      </c>
      <c r="I547" s="4"/>
    </row>
    <row r="548" customFormat="false" ht="15" hidden="false" customHeight="false" outlineLevel="0" collapsed="false">
      <c r="A548" s="4" t="s">
        <v>1287</v>
      </c>
      <c r="B548" s="23" t="n">
        <v>545</v>
      </c>
      <c r="C548" s="6" t="n">
        <v>46244</v>
      </c>
      <c r="D548" s="4" t="s">
        <v>1289</v>
      </c>
      <c r="E548" s="4" t="s">
        <v>6351</v>
      </c>
      <c r="F548" s="7" t="n">
        <v>39097.52</v>
      </c>
      <c r="G548" s="24" t="s">
        <v>5951</v>
      </c>
      <c r="H548" s="4" t="s">
        <v>1285</v>
      </c>
      <c r="I548" s="4"/>
    </row>
    <row r="549" customFormat="false" ht="15" hidden="false" customHeight="false" outlineLevel="0" collapsed="false">
      <c r="A549" s="4" t="s">
        <v>1292</v>
      </c>
      <c r="B549" s="23" t="n">
        <v>546</v>
      </c>
      <c r="C549" s="6" t="n">
        <v>46244</v>
      </c>
      <c r="D549" s="4" t="s">
        <v>1294</v>
      </c>
      <c r="E549" s="4" t="s">
        <v>6352</v>
      </c>
      <c r="F549" s="7" t="n">
        <v>45383.54</v>
      </c>
      <c r="G549" s="24" t="s">
        <v>5951</v>
      </c>
      <c r="H549" s="4" t="s">
        <v>1290</v>
      </c>
      <c r="I549" s="4"/>
    </row>
    <row r="550" customFormat="false" ht="15" hidden="false" customHeight="false" outlineLevel="0" collapsed="false">
      <c r="A550" s="4" t="s">
        <v>1297</v>
      </c>
      <c r="B550" s="23" t="n">
        <v>547</v>
      </c>
      <c r="C550" s="6" t="n">
        <v>46244</v>
      </c>
      <c r="D550" s="4" t="s">
        <v>1299</v>
      </c>
      <c r="E550" s="4" t="s">
        <v>6353</v>
      </c>
      <c r="F550" s="7" t="n">
        <v>44367.06</v>
      </c>
      <c r="G550" s="24" t="s">
        <v>5951</v>
      </c>
      <c r="H550" s="4" t="s">
        <v>1295</v>
      </c>
      <c r="I550" s="4"/>
    </row>
    <row r="551" customFormat="false" ht="15" hidden="false" customHeight="false" outlineLevel="0" collapsed="false">
      <c r="A551" s="4" t="s">
        <v>3028</v>
      </c>
      <c r="B551" s="23" t="n">
        <v>548</v>
      </c>
      <c r="C551" s="6" t="n">
        <v>46244</v>
      </c>
      <c r="D551" s="4" t="s">
        <v>3030</v>
      </c>
      <c r="E551" s="4" t="s">
        <v>6364</v>
      </c>
      <c r="F551" s="7" t="n">
        <v>68930.49</v>
      </c>
      <c r="G551" s="24" t="s">
        <v>5951</v>
      </c>
      <c r="H551" s="4" t="s">
        <v>3026</v>
      </c>
      <c r="I551" s="4"/>
    </row>
    <row r="552" customFormat="false" ht="15" hidden="false" customHeight="false" outlineLevel="0" collapsed="false">
      <c r="A552" s="4" t="s">
        <v>3033</v>
      </c>
      <c r="B552" s="23" t="n">
        <v>549</v>
      </c>
      <c r="C552" s="6" t="n">
        <v>46244</v>
      </c>
      <c r="D552" s="4" t="s">
        <v>3035</v>
      </c>
      <c r="E552" s="4" t="s">
        <v>6365</v>
      </c>
      <c r="F552" s="7" t="n">
        <v>33157.58</v>
      </c>
      <c r="G552" s="24" t="s">
        <v>5951</v>
      </c>
      <c r="H552" s="4" t="s">
        <v>3031</v>
      </c>
      <c r="I552" s="4"/>
    </row>
    <row r="553" customFormat="false" ht="15" hidden="false" customHeight="false" outlineLevel="0" collapsed="false">
      <c r="A553" s="4" t="s">
        <v>3038</v>
      </c>
      <c r="B553" s="23" t="n">
        <v>550</v>
      </c>
      <c r="C553" s="6" t="n">
        <v>46244</v>
      </c>
      <c r="D553" s="4" t="s">
        <v>3040</v>
      </c>
      <c r="E553" s="4" t="s">
        <v>7154</v>
      </c>
      <c r="F553" s="7" t="n">
        <v>-7115.65</v>
      </c>
      <c r="G553" s="24" t="s">
        <v>5951</v>
      </c>
      <c r="H553" s="4" t="s">
        <v>3036</v>
      </c>
      <c r="I553" s="4"/>
    </row>
    <row r="554" customFormat="false" ht="15" hidden="false" customHeight="false" outlineLevel="0" collapsed="false">
      <c r="A554" s="4" t="s">
        <v>1302</v>
      </c>
      <c r="B554" s="23" t="n">
        <v>551</v>
      </c>
      <c r="C554" s="6" t="n">
        <v>46244</v>
      </c>
      <c r="D554" s="4" t="s">
        <v>1304</v>
      </c>
      <c r="E554" s="4" t="s">
        <v>7155</v>
      </c>
      <c r="F554" s="7" t="n">
        <v>-1686.14</v>
      </c>
      <c r="G554" s="24" t="s">
        <v>5951</v>
      </c>
      <c r="H554" s="4" t="s">
        <v>1300</v>
      </c>
      <c r="I554" s="4"/>
    </row>
    <row r="555" customFormat="false" ht="15" hidden="false" customHeight="false" outlineLevel="0" collapsed="false">
      <c r="A555" s="4" t="s">
        <v>4727</v>
      </c>
      <c r="B555" s="23" t="n">
        <v>552</v>
      </c>
      <c r="C555" s="6" t="n">
        <v>46244</v>
      </c>
      <c r="D555" s="4" t="s">
        <v>4729</v>
      </c>
      <c r="E555" s="4" t="s">
        <v>7156</v>
      </c>
      <c r="F555" s="7" t="n">
        <v>-16109.42</v>
      </c>
      <c r="G555" s="24" t="s">
        <v>5951</v>
      </c>
      <c r="H555" s="4" t="s">
        <v>4725</v>
      </c>
      <c r="I555" s="4"/>
    </row>
    <row r="556" customFormat="false" ht="15" hidden="false" customHeight="false" outlineLevel="0" collapsed="false">
      <c r="A556" s="4" t="s">
        <v>1307</v>
      </c>
      <c r="B556" s="23" t="n">
        <v>553</v>
      </c>
      <c r="C556" s="6" t="n">
        <v>46244</v>
      </c>
      <c r="D556" s="4" t="s">
        <v>1309</v>
      </c>
      <c r="E556" s="4" t="s">
        <v>7157</v>
      </c>
      <c r="F556" s="7" t="n">
        <v>-3544.04</v>
      </c>
      <c r="G556" s="24" t="s">
        <v>5951</v>
      </c>
      <c r="H556" s="4" t="s">
        <v>1305</v>
      </c>
      <c r="I556" s="4"/>
    </row>
    <row r="557" customFormat="false" ht="15" hidden="false" customHeight="false" outlineLevel="0" collapsed="false">
      <c r="A557" s="4" t="s">
        <v>3043</v>
      </c>
      <c r="B557" s="23" t="n">
        <v>554</v>
      </c>
      <c r="C557" s="6" t="n">
        <v>46245</v>
      </c>
      <c r="D557" s="4" t="s">
        <v>3045</v>
      </c>
      <c r="E557" s="4" t="s">
        <v>7158</v>
      </c>
      <c r="F557" s="7" t="n">
        <v>28594.23</v>
      </c>
      <c r="G557" s="24" t="s">
        <v>5951</v>
      </c>
      <c r="H557" s="4" t="s">
        <v>3041</v>
      </c>
      <c r="I557" s="4"/>
    </row>
    <row r="558" customFormat="false" ht="15" hidden="false" customHeight="false" outlineLevel="0" collapsed="false">
      <c r="A558" s="4" t="s">
        <v>4188</v>
      </c>
      <c r="B558" s="23" t="n">
        <v>555</v>
      </c>
      <c r="C558" s="6" t="n">
        <v>46245</v>
      </c>
      <c r="D558" s="4" t="s">
        <v>4190</v>
      </c>
      <c r="E558" s="4" t="s">
        <v>7159</v>
      </c>
      <c r="F558" s="7" t="n">
        <v>35060.66</v>
      </c>
      <c r="G558" s="24" t="s">
        <v>5951</v>
      </c>
      <c r="H558" s="4" t="s">
        <v>4186</v>
      </c>
      <c r="I558" s="4"/>
    </row>
    <row r="559" customFormat="false" ht="15" hidden="false" customHeight="false" outlineLevel="0" collapsed="false">
      <c r="A559" s="4" t="s">
        <v>4193</v>
      </c>
      <c r="B559" s="23" t="n">
        <v>556</v>
      </c>
      <c r="C559" s="6" t="n">
        <v>46245</v>
      </c>
      <c r="D559" s="4" t="s">
        <v>4195</v>
      </c>
      <c r="E559" s="4" t="s">
        <v>6388</v>
      </c>
      <c r="F559" s="7" t="n">
        <v>92678.59</v>
      </c>
      <c r="G559" s="24" t="s">
        <v>5951</v>
      </c>
      <c r="H559" s="4" t="s">
        <v>4191</v>
      </c>
      <c r="I559" s="4"/>
    </row>
    <row r="560" customFormat="false" ht="15" hidden="false" customHeight="false" outlineLevel="0" collapsed="false">
      <c r="A560" s="4" t="s">
        <v>1312</v>
      </c>
      <c r="B560" s="23" t="n">
        <v>557</v>
      </c>
      <c r="C560" s="6" t="n">
        <v>46245</v>
      </c>
      <c r="D560" s="4" t="s">
        <v>1314</v>
      </c>
      <c r="E560" s="4" t="s">
        <v>6366</v>
      </c>
      <c r="F560" s="7" t="n">
        <v>17805.04</v>
      </c>
      <c r="G560" s="24" t="s">
        <v>5951</v>
      </c>
      <c r="H560" s="4" t="s">
        <v>1310</v>
      </c>
      <c r="I560" s="4"/>
    </row>
    <row r="561" customFormat="false" ht="15" hidden="false" customHeight="false" outlineLevel="0" collapsed="false">
      <c r="A561" s="4" t="s">
        <v>1317</v>
      </c>
      <c r="B561" s="23" t="n">
        <v>558</v>
      </c>
      <c r="C561" s="6" t="n">
        <v>46245</v>
      </c>
      <c r="D561" s="4" t="s">
        <v>1319</v>
      </c>
      <c r="E561" s="4" t="s">
        <v>6367</v>
      </c>
      <c r="F561" s="7" t="n">
        <v>54942.22</v>
      </c>
      <c r="G561" s="24" t="s">
        <v>5951</v>
      </c>
      <c r="H561" s="4" t="s">
        <v>1315</v>
      </c>
      <c r="I561" s="4"/>
    </row>
    <row r="562" customFormat="false" ht="15" hidden="false" customHeight="false" outlineLevel="0" collapsed="false">
      <c r="A562" s="4" t="s">
        <v>3048</v>
      </c>
      <c r="B562" s="23" t="n">
        <v>559</v>
      </c>
      <c r="C562" s="6" t="n">
        <v>46245</v>
      </c>
      <c r="D562" s="4" t="s">
        <v>3050</v>
      </c>
      <c r="E562" s="4" t="s">
        <v>6377</v>
      </c>
      <c r="F562" s="7" t="n">
        <v>12698.63</v>
      </c>
      <c r="G562" s="24" t="s">
        <v>5951</v>
      </c>
      <c r="H562" s="4" t="s">
        <v>3046</v>
      </c>
      <c r="I562" s="4"/>
    </row>
    <row r="563" customFormat="false" ht="15" hidden="false" customHeight="false" outlineLevel="0" collapsed="false">
      <c r="A563" s="4" t="s">
        <v>3053</v>
      </c>
      <c r="B563" s="23" t="n">
        <v>560</v>
      </c>
      <c r="C563" s="6" t="n">
        <v>46245</v>
      </c>
      <c r="D563" s="4" t="s">
        <v>3055</v>
      </c>
      <c r="E563" s="4" t="s">
        <v>6379</v>
      </c>
      <c r="F563" s="7" t="n">
        <v>25514.8</v>
      </c>
      <c r="G563" s="24" t="s">
        <v>5951</v>
      </c>
      <c r="H563" s="4" t="s">
        <v>3051</v>
      </c>
      <c r="I563" s="4"/>
    </row>
    <row r="564" customFormat="false" ht="15" hidden="false" customHeight="false" outlineLevel="0" collapsed="false">
      <c r="A564" s="4" t="s">
        <v>3058</v>
      </c>
      <c r="B564" s="23" t="n">
        <v>561</v>
      </c>
      <c r="C564" s="6" t="n">
        <v>46245</v>
      </c>
      <c r="D564" s="4" t="s">
        <v>3060</v>
      </c>
      <c r="E564" s="4" t="s">
        <v>6380</v>
      </c>
      <c r="F564" s="7" t="n">
        <v>54927.06</v>
      </c>
      <c r="G564" s="24" t="s">
        <v>5951</v>
      </c>
      <c r="H564" s="4" t="s">
        <v>3056</v>
      </c>
      <c r="I564" s="4"/>
    </row>
    <row r="565" customFormat="false" ht="15" hidden="false" customHeight="false" outlineLevel="0" collapsed="false">
      <c r="A565" s="4" t="s">
        <v>1322</v>
      </c>
      <c r="B565" s="23" t="n">
        <v>562</v>
      </c>
      <c r="C565" s="6" t="n">
        <v>46245</v>
      </c>
      <c r="D565" s="4" t="s">
        <v>1324</v>
      </c>
      <c r="E565" s="4" t="s">
        <v>6369</v>
      </c>
      <c r="F565" s="7" t="n">
        <v>38374.08</v>
      </c>
      <c r="G565" s="24" t="s">
        <v>5951</v>
      </c>
      <c r="H565" s="4" t="s">
        <v>1320</v>
      </c>
      <c r="I565" s="4"/>
    </row>
    <row r="566" customFormat="false" ht="15" hidden="false" customHeight="false" outlineLevel="0" collapsed="false">
      <c r="A566" s="4" t="s">
        <v>5116</v>
      </c>
      <c r="B566" s="23" t="n">
        <v>563</v>
      </c>
      <c r="C566" s="6" t="n">
        <v>46245</v>
      </c>
      <c r="D566" s="4" t="s">
        <v>5118</v>
      </c>
      <c r="E566" s="4" t="s">
        <v>7160</v>
      </c>
      <c r="F566" s="7" t="n">
        <v>-5559.99</v>
      </c>
      <c r="G566" s="24" t="s">
        <v>5951</v>
      </c>
      <c r="H566" s="4" t="s">
        <v>5114</v>
      </c>
      <c r="I566" s="4"/>
    </row>
    <row r="567" customFormat="false" ht="15" hidden="false" customHeight="false" outlineLevel="0" collapsed="false">
      <c r="A567" s="4" t="s">
        <v>4732</v>
      </c>
      <c r="B567" s="23" t="n">
        <v>564</v>
      </c>
      <c r="C567" s="6" t="n">
        <v>46245</v>
      </c>
      <c r="D567" s="4" t="s">
        <v>4734</v>
      </c>
      <c r="E567" s="4" t="s">
        <v>7161</v>
      </c>
      <c r="F567" s="7" t="n">
        <v>-20564.37</v>
      </c>
      <c r="G567" s="24" t="s">
        <v>5951</v>
      </c>
      <c r="H567" s="4" t="s">
        <v>4730</v>
      </c>
      <c r="I567" s="4"/>
    </row>
    <row r="568" customFormat="false" ht="15" hidden="false" customHeight="false" outlineLevel="0" collapsed="false">
      <c r="A568" s="4" t="s">
        <v>1327</v>
      </c>
      <c r="B568" s="23" t="n">
        <v>565</v>
      </c>
      <c r="C568" s="6" t="n">
        <v>46245</v>
      </c>
      <c r="D568" s="4" t="s">
        <v>1329</v>
      </c>
      <c r="E568" s="4" t="s">
        <v>7162</v>
      </c>
      <c r="F568" s="7" t="n">
        <v>-27875.89</v>
      </c>
      <c r="G568" s="24" t="s">
        <v>5951</v>
      </c>
      <c r="H568" s="4" t="s">
        <v>1325</v>
      </c>
      <c r="I568" s="4"/>
    </row>
    <row r="569" customFormat="false" ht="15" hidden="false" customHeight="false" outlineLevel="0" collapsed="false">
      <c r="A569" s="4" t="s">
        <v>4737</v>
      </c>
      <c r="B569" s="23" t="n">
        <v>566</v>
      </c>
      <c r="C569" s="6" t="n">
        <v>46245</v>
      </c>
      <c r="D569" s="4" t="s">
        <v>4739</v>
      </c>
      <c r="E569" s="4" t="s">
        <v>7163</v>
      </c>
      <c r="F569" s="7" t="n">
        <v>-21581.1</v>
      </c>
      <c r="G569" s="24" t="s">
        <v>5951</v>
      </c>
      <c r="H569" s="4" t="s">
        <v>4735</v>
      </c>
      <c r="I569" s="4"/>
    </row>
    <row r="570" customFormat="false" ht="15" hidden="false" customHeight="false" outlineLevel="0" collapsed="false">
      <c r="A570" s="4" t="s">
        <v>5545</v>
      </c>
      <c r="B570" s="23" t="n">
        <v>567</v>
      </c>
      <c r="C570" s="6" t="n">
        <v>46245</v>
      </c>
      <c r="D570" s="4" t="s">
        <v>5547</v>
      </c>
      <c r="E570" s="4" t="s">
        <v>7164</v>
      </c>
      <c r="F570" s="7" t="n">
        <v>-41804.27</v>
      </c>
      <c r="G570" s="24" t="s">
        <v>5951</v>
      </c>
      <c r="H570" s="4" t="s">
        <v>5543</v>
      </c>
      <c r="I570" s="4"/>
    </row>
    <row r="571" customFormat="false" ht="15" hidden="false" customHeight="false" outlineLevel="0" collapsed="false">
      <c r="A571" s="4" t="s">
        <v>5786</v>
      </c>
      <c r="B571" s="23" t="n">
        <v>568</v>
      </c>
      <c r="C571" s="6" t="n">
        <v>46245</v>
      </c>
      <c r="D571" s="4" t="s">
        <v>5788</v>
      </c>
      <c r="E571" s="4"/>
      <c r="F571" s="7" t="n">
        <v>-2342.74</v>
      </c>
      <c r="G571" s="24" t="s">
        <v>5951</v>
      </c>
      <c r="H571" s="4" t="s">
        <v>5784</v>
      </c>
      <c r="I571" s="4"/>
    </row>
    <row r="572" customFormat="false" ht="15" hidden="false" customHeight="false" outlineLevel="0" collapsed="false">
      <c r="A572" s="4" t="s">
        <v>1332</v>
      </c>
      <c r="B572" s="23" t="n">
        <v>569</v>
      </c>
      <c r="C572" s="6" t="n">
        <v>46246</v>
      </c>
      <c r="D572" s="4" t="s">
        <v>1334</v>
      </c>
      <c r="E572" s="4" t="s">
        <v>6374</v>
      </c>
      <c r="F572" s="7" t="n">
        <v>74673.05</v>
      </c>
      <c r="G572" s="24" t="s">
        <v>5951</v>
      </c>
      <c r="H572" s="4" t="s">
        <v>1330</v>
      </c>
      <c r="I572" s="4"/>
    </row>
    <row r="573" customFormat="false" ht="15" hidden="false" customHeight="false" outlineLevel="0" collapsed="false">
      <c r="A573" s="4" t="s">
        <v>1337</v>
      </c>
      <c r="B573" s="23" t="n">
        <v>570</v>
      </c>
      <c r="C573" s="6" t="n">
        <v>46246</v>
      </c>
      <c r="D573" s="4" t="s">
        <v>1339</v>
      </c>
      <c r="E573" s="4" t="s">
        <v>6375</v>
      </c>
      <c r="F573" s="7" t="n">
        <v>75600.46</v>
      </c>
      <c r="G573" s="24" t="s">
        <v>5951</v>
      </c>
      <c r="H573" s="4" t="s">
        <v>1335</v>
      </c>
      <c r="I573" s="4"/>
    </row>
    <row r="574" customFormat="false" ht="15" hidden="false" customHeight="false" outlineLevel="0" collapsed="false">
      <c r="A574" s="4" t="s">
        <v>1342</v>
      </c>
      <c r="B574" s="23" t="n">
        <v>571</v>
      </c>
      <c r="C574" s="6" t="n">
        <v>46246</v>
      </c>
      <c r="D574" s="4" t="s">
        <v>1344</v>
      </c>
      <c r="E574" s="4" t="s">
        <v>7165</v>
      </c>
      <c r="F574" s="7" t="n">
        <v>88706.79</v>
      </c>
      <c r="G574" s="24" t="s">
        <v>5951</v>
      </c>
      <c r="H574" s="4" t="s">
        <v>1340</v>
      </c>
      <c r="I574" s="4"/>
    </row>
    <row r="575" customFormat="false" ht="15" hidden="false" customHeight="false" outlineLevel="0" collapsed="false">
      <c r="A575" s="4" t="s">
        <v>1347</v>
      </c>
      <c r="B575" s="23" t="n">
        <v>572</v>
      </c>
      <c r="C575" s="6" t="n">
        <v>46246</v>
      </c>
      <c r="D575" s="4" t="s">
        <v>1349</v>
      </c>
      <c r="E575" s="4" t="s">
        <v>6376</v>
      </c>
      <c r="F575" s="7" t="n">
        <v>65798.1</v>
      </c>
      <c r="G575" s="24" t="s">
        <v>5951</v>
      </c>
      <c r="H575" s="4" t="s">
        <v>1345</v>
      </c>
      <c r="I575" s="4"/>
    </row>
    <row r="576" customFormat="false" ht="15" hidden="false" customHeight="false" outlineLevel="0" collapsed="false">
      <c r="A576" s="4" t="s">
        <v>1352</v>
      </c>
      <c r="B576" s="23" t="n">
        <v>573</v>
      </c>
      <c r="C576" s="6" t="n">
        <v>46246</v>
      </c>
      <c r="D576" s="4" t="s">
        <v>1354</v>
      </c>
      <c r="E576" s="4" t="s">
        <v>6378</v>
      </c>
      <c r="F576" s="7" t="n">
        <v>36674.95</v>
      </c>
      <c r="G576" s="24" t="s">
        <v>5951</v>
      </c>
      <c r="H576" s="4" t="s">
        <v>1350</v>
      </c>
      <c r="I576" s="4"/>
    </row>
    <row r="577" customFormat="false" ht="15" hidden="false" customHeight="false" outlineLevel="0" collapsed="false">
      <c r="A577" s="4" t="s">
        <v>3063</v>
      </c>
      <c r="B577" s="23" t="n">
        <v>574</v>
      </c>
      <c r="C577" s="6" t="n">
        <v>46246</v>
      </c>
      <c r="D577" s="4" t="s">
        <v>3065</v>
      </c>
      <c r="E577" s="4" t="s">
        <v>6389</v>
      </c>
      <c r="F577" s="7" t="n">
        <v>25114.69</v>
      </c>
      <c r="G577" s="24" t="s">
        <v>5951</v>
      </c>
      <c r="H577" s="4" t="s">
        <v>3061</v>
      </c>
      <c r="I577" s="4"/>
    </row>
    <row r="578" customFormat="false" ht="15" hidden="false" customHeight="false" outlineLevel="0" collapsed="false">
      <c r="A578" s="4" t="s">
        <v>1357</v>
      </c>
      <c r="B578" s="23" t="n">
        <v>575</v>
      </c>
      <c r="C578" s="6" t="n">
        <v>46246</v>
      </c>
      <c r="D578" s="4" t="s">
        <v>1359</v>
      </c>
      <c r="E578" s="4" t="s">
        <v>7166</v>
      </c>
      <c r="F578" s="7" t="n">
        <v>5848.54</v>
      </c>
      <c r="G578" s="24" t="s">
        <v>5951</v>
      </c>
      <c r="H578" s="4" t="s">
        <v>1355</v>
      </c>
      <c r="I578" s="4"/>
    </row>
    <row r="579" customFormat="false" ht="15" hidden="false" customHeight="false" outlineLevel="0" collapsed="false">
      <c r="A579" s="4" t="s">
        <v>5550</v>
      </c>
      <c r="B579" s="23" t="n">
        <v>576</v>
      </c>
      <c r="C579" s="6" t="n">
        <v>46246</v>
      </c>
      <c r="D579" s="4" t="s">
        <v>5552</v>
      </c>
      <c r="E579" s="4" t="s">
        <v>7167</v>
      </c>
      <c r="F579" s="7" t="n">
        <v>-34014.48</v>
      </c>
      <c r="G579" s="24" t="s">
        <v>5951</v>
      </c>
      <c r="H579" s="4" t="s">
        <v>5548</v>
      </c>
      <c r="I579" s="4"/>
    </row>
    <row r="580" customFormat="false" ht="15" hidden="false" customHeight="false" outlineLevel="0" collapsed="false">
      <c r="A580" s="4" t="s">
        <v>5555</v>
      </c>
      <c r="B580" s="23" t="n">
        <v>577</v>
      </c>
      <c r="C580" s="6" t="n">
        <v>46246</v>
      </c>
      <c r="D580" s="4" t="s">
        <v>5557</v>
      </c>
      <c r="E580" s="4" t="s">
        <v>7168</v>
      </c>
      <c r="F580" s="7" t="n">
        <v>-5496.32</v>
      </c>
      <c r="G580" s="24" t="s">
        <v>5951</v>
      </c>
      <c r="H580" s="4" t="s">
        <v>5553</v>
      </c>
      <c r="I580" s="4"/>
    </row>
    <row r="581" customFormat="false" ht="15" hidden="false" customHeight="false" outlineLevel="0" collapsed="false">
      <c r="A581" s="4" t="s">
        <v>5121</v>
      </c>
      <c r="B581" s="23" t="n">
        <v>578</v>
      </c>
      <c r="C581" s="6" t="n">
        <v>46246</v>
      </c>
      <c r="D581" s="4" t="s">
        <v>5123</v>
      </c>
      <c r="E581" s="4" t="s">
        <v>7169</v>
      </c>
      <c r="F581" s="7" t="n">
        <v>-5015.07</v>
      </c>
      <c r="G581" s="24" t="s">
        <v>5951</v>
      </c>
      <c r="H581" s="4" t="s">
        <v>5119</v>
      </c>
      <c r="I581" s="4"/>
    </row>
    <row r="582" customFormat="false" ht="15" hidden="false" customHeight="false" outlineLevel="0" collapsed="false">
      <c r="A582" s="4" t="s">
        <v>5126</v>
      </c>
      <c r="B582" s="23" t="n">
        <v>579</v>
      </c>
      <c r="C582" s="6" t="n">
        <v>46246</v>
      </c>
      <c r="D582" s="4" t="s">
        <v>5128</v>
      </c>
      <c r="E582" s="4" t="s">
        <v>7170</v>
      </c>
      <c r="F582" s="7" t="n">
        <v>-19204.41</v>
      </c>
      <c r="G582" s="24" t="s">
        <v>5951</v>
      </c>
      <c r="H582" s="4" t="s">
        <v>5124</v>
      </c>
      <c r="I582" s="4"/>
    </row>
    <row r="583" customFormat="false" ht="15" hidden="false" customHeight="false" outlineLevel="0" collapsed="false">
      <c r="A583" s="4" t="s">
        <v>4742</v>
      </c>
      <c r="B583" s="23" t="n">
        <v>580</v>
      </c>
      <c r="C583" s="6" t="n">
        <v>46246</v>
      </c>
      <c r="D583" s="4" t="s">
        <v>4744</v>
      </c>
      <c r="E583" s="4" t="s">
        <v>7171</v>
      </c>
      <c r="F583" s="7" t="n">
        <v>-37765.52</v>
      </c>
      <c r="G583" s="24" t="s">
        <v>5951</v>
      </c>
      <c r="H583" s="4" t="s">
        <v>4740</v>
      </c>
      <c r="I583" s="4"/>
    </row>
    <row r="584" customFormat="false" ht="15" hidden="false" customHeight="false" outlineLevel="0" collapsed="false">
      <c r="A584" s="4" t="s">
        <v>3068</v>
      </c>
      <c r="B584" s="23" t="n">
        <v>581</v>
      </c>
      <c r="C584" s="6" t="n">
        <v>46246</v>
      </c>
      <c r="D584" s="4" t="s">
        <v>3070</v>
      </c>
      <c r="E584" s="4" t="s">
        <v>7172</v>
      </c>
      <c r="F584" s="7" t="n">
        <v>-37031.07</v>
      </c>
      <c r="G584" s="24" t="s">
        <v>5951</v>
      </c>
      <c r="H584" s="4" t="s">
        <v>3066</v>
      </c>
      <c r="I584" s="4"/>
    </row>
    <row r="585" customFormat="false" ht="15" hidden="false" customHeight="false" outlineLevel="0" collapsed="false">
      <c r="A585" s="4" t="s">
        <v>1362</v>
      </c>
      <c r="B585" s="23" t="n">
        <v>582</v>
      </c>
      <c r="C585" s="6" t="n">
        <v>46246</v>
      </c>
      <c r="D585" s="4" t="s">
        <v>1364</v>
      </c>
      <c r="E585" s="4" t="s">
        <v>7173</v>
      </c>
      <c r="F585" s="7" t="n">
        <v>-43123.22</v>
      </c>
      <c r="G585" s="24" t="s">
        <v>5951</v>
      </c>
      <c r="H585" s="4" t="s">
        <v>1360</v>
      </c>
      <c r="I585" s="4"/>
    </row>
    <row r="586" customFormat="false" ht="15" hidden="false" customHeight="false" outlineLevel="0" collapsed="false">
      <c r="A586" s="4" t="s">
        <v>3073</v>
      </c>
      <c r="B586" s="23" t="n">
        <v>583</v>
      </c>
      <c r="C586" s="6" t="n">
        <v>46246</v>
      </c>
      <c r="D586" s="4" t="s">
        <v>3075</v>
      </c>
      <c r="E586" s="4" t="s">
        <v>7174</v>
      </c>
      <c r="F586" s="7" t="n">
        <v>-9158.71</v>
      </c>
      <c r="G586" s="24" t="s">
        <v>5951</v>
      </c>
      <c r="H586" s="4" t="s">
        <v>3071</v>
      </c>
      <c r="I586" s="4"/>
    </row>
    <row r="587" customFormat="false" ht="15" hidden="false" customHeight="false" outlineLevel="0" collapsed="false">
      <c r="A587" s="4" t="s">
        <v>3078</v>
      </c>
      <c r="B587" s="23" t="n">
        <v>584</v>
      </c>
      <c r="C587" s="6" t="n">
        <v>46247</v>
      </c>
      <c r="D587" s="4" t="s">
        <v>3080</v>
      </c>
      <c r="E587" s="4" t="s">
        <v>6395</v>
      </c>
      <c r="F587" s="7" t="n">
        <v>51318.08</v>
      </c>
      <c r="G587" s="24" t="s">
        <v>5951</v>
      </c>
      <c r="H587" s="4" t="s">
        <v>3076</v>
      </c>
      <c r="I587" s="4"/>
    </row>
    <row r="588" customFormat="false" ht="15" hidden="false" customHeight="false" outlineLevel="0" collapsed="false">
      <c r="A588" s="4" t="s">
        <v>1367</v>
      </c>
      <c r="B588" s="23" t="n">
        <v>585</v>
      </c>
      <c r="C588" s="6" t="n">
        <v>46247</v>
      </c>
      <c r="D588" s="4" t="s">
        <v>1369</v>
      </c>
      <c r="E588" s="4" t="s">
        <v>6387</v>
      </c>
      <c r="F588" s="7" t="n">
        <v>93384.53</v>
      </c>
      <c r="G588" s="24" t="s">
        <v>5951</v>
      </c>
      <c r="H588" s="4" t="s">
        <v>1365</v>
      </c>
      <c r="I588" s="4"/>
    </row>
    <row r="589" customFormat="false" ht="15" hidden="false" customHeight="false" outlineLevel="0" collapsed="false">
      <c r="A589" s="4" t="s">
        <v>3083</v>
      </c>
      <c r="B589" s="23" t="n">
        <v>586</v>
      </c>
      <c r="C589" s="6" t="n">
        <v>46247</v>
      </c>
      <c r="D589" s="4" t="s">
        <v>3085</v>
      </c>
      <c r="E589" s="4" t="s">
        <v>6396</v>
      </c>
      <c r="F589" s="7" t="n">
        <v>6136.96</v>
      </c>
      <c r="G589" s="24" t="s">
        <v>5951</v>
      </c>
      <c r="H589" s="4" t="s">
        <v>3081</v>
      </c>
      <c r="I589" s="4"/>
    </row>
    <row r="590" customFormat="false" ht="15" hidden="false" customHeight="false" outlineLevel="0" collapsed="false">
      <c r="A590" s="4" t="s">
        <v>3088</v>
      </c>
      <c r="B590" s="23" t="n">
        <v>587</v>
      </c>
      <c r="C590" s="6" t="n">
        <v>46247</v>
      </c>
      <c r="D590" s="4" t="s">
        <v>3090</v>
      </c>
      <c r="E590" s="4" t="s">
        <v>6397</v>
      </c>
      <c r="F590" s="7" t="n">
        <v>63630.17</v>
      </c>
      <c r="G590" s="24" t="s">
        <v>5951</v>
      </c>
      <c r="H590" s="4" t="s">
        <v>3086</v>
      </c>
      <c r="I590" s="4"/>
    </row>
    <row r="591" customFormat="false" ht="15" hidden="false" customHeight="false" outlineLevel="0" collapsed="false">
      <c r="A591" s="4" t="s">
        <v>5560</v>
      </c>
      <c r="B591" s="23" t="n">
        <v>588</v>
      </c>
      <c r="C591" s="6" t="n">
        <v>46247</v>
      </c>
      <c r="D591" s="4" t="s">
        <v>5562</v>
      </c>
      <c r="E591" s="4" t="s">
        <v>7175</v>
      </c>
      <c r="F591" s="7" t="n">
        <v>-22335.45</v>
      </c>
      <c r="G591" s="24" t="s">
        <v>5951</v>
      </c>
      <c r="H591" s="4" t="s">
        <v>5558</v>
      </c>
      <c r="I591" s="4"/>
    </row>
    <row r="592" customFormat="false" ht="15" hidden="false" customHeight="false" outlineLevel="0" collapsed="false">
      <c r="A592" s="4" t="s">
        <v>3093</v>
      </c>
      <c r="B592" s="23" t="n">
        <v>589</v>
      </c>
      <c r="C592" s="6" t="n">
        <v>46247</v>
      </c>
      <c r="D592" s="4" t="s">
        <v>3095</v>
      </c>
      <c r="E592" s="4" t="s">
        <v>7176</v>
      </c>
      <c r="F592" s="7" t="n">
        <v>-1321.14</v>
      </c>
      <c r="G592" s="24" t="s">
        <v>5951</v>
      </c>
      <c r="H592" s="4" t="s">
        <v>3091</v>
      </c>
      <c r="I592" s="4"/>
    </row>
    <row r="593" customFormat="false" ht="15" hidden="false" customHeight="false" outlineLevel="0" collapsed="false">
      <c r="A593" s="4" t="s">
        <v>5565</v>
      </c>
      <c r="B593" s="23" t="n">
        <v>590</v>
      </c>
      <c r="C593" s="6" t="n">
        <v>46247</v>
      </c>
      <c r="D593" s="4" t="s">
        <v>5567</v>
      </c>
      <c r="E593" s="4" t="s">
        <v>7177</v>
      </c>
      <c r="F593" s="7" t="n">
        <v>-4785.82</v>
      </c>
      <c r="G593" s="24" t="s">
        <v>5951</v>
      </c>
      <c r="H593" s="4" t="s">
        <v>5563</v>
      </c>
      <c r="I593" s="4"/>
    </row>
    <row r="594" customFormat="false" ht="15" hidden="false" customHeight="false" outlineLevel="0" collapsed="false">
      <c r="A594" s="4" t="s">
        <v>1372</v>
      </c>
      <c r="B594" s="23" t="n">
        <v>591</v>
      </c>
      <c r="C594" s="6" t="n">
        <v>46247</v>
      </c>
      <c r="D594" s="4" t="s">
        <v>1374</v>
      </c>
      <c r="E594" s="4" t="s">
        <v>7178</v>
      </c>
      <c r="F594" s="7" t="n">
        <v>-39702.15</v>
      </c>
      <c r="G594" s="24" t="s">
        <v>5951</v>
      </c>
      <c r="H594" s="4" t="s">
        <v>1370</v>
      </c>
      <c r="I594" s="4"/>
    </row>
    <row r="595" customFormat="false" ht="15" hidden="false" customHeight="false" outlineLevel="0" collapsed="false">
      <c r="A595" s="4" t="s">
        <v>3098</v>
      </c>
      <c r="B595" s="23" t="n">
        <v>592</v>
      </c>
      <c r="C595" s="6" t="n">
        <v>46247</v>
      </c>
      <c r="D595" s="4" t="s">
        <v>3100</v>
      </c>
      <c r="E595" s="4" t="s">
        <v>7179</v>
      </c>
      <c r="F595" s="7" t="n">
        <v>-22260.83</v>
      </c>
      <c r="G595" s="24" t="s">
        <v>5951</v>
      </c>
      <c r="H595" s="4" t="s">
        <v>3096</v>
      </c>
      <c r="I595" s="4"/>
    </row>
    <row r="596" customFormat="false" ht="15" hidden="false" customHeight="false" outlineLevel="0" collapsed="false">
      <c r="A596" s="4" t="s">
        <v>4198</v>
      </c>
      <c r="B596" s="23" t="n">
        <v>593</v>
      </c>
      <c r="C596" s="6" t="n">
        <v>46248</v>
      </c>
      <c r="D596" s="4" t="s">
        <v>4200</v>
      </c>
      <c r="E596" s="4" t="s">
        <v>6411</v>
      </c>
      <c r="F596" s="7" t="n">
        <v>61365.68</v>
      </c>
      <c r="G596" s="24" t="s">
        <v>5951</v>
      </c>
      <c r="H596" s="4" t="s">
        <v>4196</v>
      </c>
      <c r="I596" s="4"/>
    </row>
    <row r="597" customFormat="false" ht="15" hidden="false" customHeight="false" outlineLevel="0" collapsed="false">
      <c r="A597" s="4" t="s">
        <v>3103</v>
      </c>
      <c r="B597" s="23" t="n">
        <v>594</v>
      </c>
      <c r="C597" s="6" t="n">
        <v>46248</v>
      </c>
      <c r="D597" s="4" t="s">
        <v>3105</v>
      </c>
      <c r="E597" s="4" t="s">
        <v>7180</v>
      </c>
      <c r="F597" s="7" t="n">
        <v>44144.95</v>
      </c>
      <c r="G597" s="24" t="s">
        <v>5951</v>
      </c>
      <c r="H597" s="4" t="s">
        <v>3101</v>
      </c>
      <c r="I597" s="4"/>
    </row>
    <row r="598" customFormat="false" ht="15" hidden="false" customHeight="false" outlineLevel="0" collapsed="false">
      <c r="A598" s="4" t="s">
        <v>3108</v>
      </c>
      <c r="B598" s="23" t="n">
        <v>595</v>
      </c>
      <c r="C598" s="6" t="n">
        <v>46248</v>
      </c>
      <c r="D598" s="4" t="s">
        <v>3110</v>
      </c>
      <c r="E598" s="4" t="s">
        <v>6405</v>
      </c>
      <c r="F598" s="7" t="n">
        <v>15945.06</v>
      </c>
      <c r="G598" s="24" t="s">
        <v>5951</v>
      </c>
      <c r="H598" s="4" t="s">
        <v>3106</v>
      </c>
      <c r="I598" s="4"/>
    </row>
    <row r="599" customFormat="false" ht="15" hidden="false" customHeight="false" outlineLevel="0" collapsed="false">
      <c r="A599" s="4" t="s">
        <v>3113</v>
      </c>
      <c r="B599" s="23" t="n">
        <v>596</v>
      </c>
      <c r="C599" s="6" t="n">
        <v>46248</v>
      </c>
      <c r="D599" s="4" t="s">
        <v>3115</v>
      </c>
      <c r="E599" s="4" t="s">
        <v>6406</v>
      </c>
      <c r="F599" s="7" t="n">
        <v>57943.54</v>
      </c>
      <c r="G599" s="24" t="s">
        <v>5951</v>
      </c>
      <c r="H599" s="4" t="s">
        <v>3111</v>
      </c>
      <c r="I599" s="4"/>
    </row>
    <row r="600" customFormat="false" ht="15" hidden="false" customHeight="false" outlineLevel="0" collapsed="false">
      <c r="A600" s="4" t="s">
        <v>5131</v>
      </c>
      <c r="B600" s="23" t="n">
        <v>597</v>
      </c>
      <c r="C600" s="6" t="n">
        <v>46248</v>
      </c>
      <c r="D600" s="4" t="s">
        <v>5133</v>
      </c>
      <c r="E600" s="4" t="s">
        <v>7181</v>
      </c>
      <c r="F600" s="7" t="n">
        <v>-25625.48</v>
      </c>
      <c r="G600" s="24" t="s">
        <v>5951</v>
      </c>
      <c r="H600" s="4" t="s">
        <v>5129</v>
      </c>
      <c r="I600" s="4"/>
    </row>
    <row r="601" customFormat="false" ht="15" hidden="false" customHeight="false" outlineLevel="0" collapsed="false">
      <c r="A601" s="4" t="s">
        <v>4747</v>
      </c>
      <c r="B601" s="23" t="n">
        <v>598</v>
      </c>
      <c r="C601" s="6" t="n">
        <v>46248</v>
      </c>
      <c r="D601" s="4" t="s">
        <v>4749</v>
      </c>
      <c r="E601" s="4" t="s">
        <v>7182</v>
      </c>
      <c r="F601" s="7" t="n">
        <v>-48063.77</v>
      </c>
      <c r="G601" s="24" t="s">
        <v>5951</v>
      </c>
      <c r="H601" s="4" t="s">
        <v>4745</v>
      </c>
      <c r="I601" s="4"/>
    </row>
    <row r="602" customFormat="false" ht="15" hidden="false" customHeight="false" outlineLevel="0" collapsed="false">
      <c r="A602" s="4" t="s">
        <v>5570</v>
      </c>
      <c r="B602" s="23" t="n">
        <v>599</v>
      </c>
      <c r="C602" s="6" t="n">
        <v>46248</v>
      </c>
      <c r="D602" s="4" t="s">
        <v>5572</v>
      </c>
      <c r="E602" s="4" t="s">
        <v>7183</v>
      </c>
      <c r="F602" s="7" t="n">
        <v>-46738.68</v>
      </c>
      <c r="G602" s="24" t="s">
        <v>5951</v>
      </c>
      <c r="H602" s="4" t="s">
        <v>5568</v>
      </c>
      <c r="I602" s="4"/>
    </row>
    <row r="603" customFormat="false" ht="15" hidden="false" customHeight="false" outlineLevel="0" collapsed="false">
      <c r="A603" s="4" t="s">
        <v>5575</v>
      </c>
      <c r="B603" s="23" t="n">
        <v>600</v>
      </c>
      <c r="C603" s="6" t="n">
        <v>46248</v>
      </c>
      <c r="D603" s="4" t="s">
        <v>5577</v>
      </c>
      <c r="E603" s="4" t="s">
        <v>7184</v>
      </c>
      <c r="F603" s="7" t="n">
        <v>-56182.69</v>
      </c>
      <c r="G603" s="24" t="s">
        <v>5951</v>
      </c>
      <c r="H603" s="4" t="s">
        <v>5573</v>
      </c>
      <c r="I603" s="4"/>
    </row>
    <row r="604" customFormat="false" ht="15" hidden="false" customHeight="false" outlineLevel="0" collapsed="false">
      <c r="A604" s="4" t="s">
        <v>4752</v>
      </c>
      <c r="B604" s="23" t="n">
        <v>601</v>
      </c>
      <c r="C604" s="6" t="n">
        <v>46248</v>
      </c>
      <c r="D604" s="4" t="s">
        <v>4754</v>
      </c>
      <c r="E604" s="4" t="s">
        <v>7185</v>
      </c>
      <c r="F604" s="7" t="n">
        <v>-38349.47</v>
      </c>
      <c r="G604" s="24" t="s">
        <v>5951</v>
      </c>
      <c r="H604" s="4" t="s">
        <v>4750</v>
      </c>
      <c r="I604" s="4"/>
    </row>
    <row r="605" customFormat="false" ht="15" hidden="false" customHeight="false" outlineLevel="0" collapsed="false">
      <c r="A605" s="4" t="s">
        <v>487</v>
      </c>
      <c r="B605" s="23" t="n">
        <v>602</v>
      </c>
      <c r="C605" s="6" t="n">
        <v>46248</v>
      </c>
      <c r="D605" s="4" t="s">
        <v>5894</v>
      </c>
      <c r="E605" s="4" t="s">
        <v>488</v>
      </c>
      <c r="F605" s="7" t="n">
        <v>38726.83</v>
      </c>
      <c r="G605" s="25" t="s">
        <v>5987</v>
      </c>
      <c r="H605" s="4" t="s">
        <v>5892</v>
      </c>
      <c r="I605" s="4" t="s">
        <v>484</v>
      </c>
    </row>
    <row r="606" customFormat="false" ht="15" hidden="false" customHeight="false" outlineLevel="0" collapsed="false">
      <c r="A606" s="4" t="s">
        <v>359</v>
      </c>
      <c r="B606" s="23" t="n">
        <v>603</v>
      </c>
      <c r="C606" s="6" t="n">
        <v>46248</v>
      </c>
      <c r="D606" s="4" t="s">
        <v>5922</v>
      </c>
      <c r="E606" s="4"/>
      <c r="F606" s="7" t="n">
        <v>-2708.5</v>
      </c>
      <c r="G606" s="25" t="s">
        <v>5987</v>
      </c>
      <c r="H606" s="4" t="s">
        <v>5920</v>
      </c>
      <c r="I606" s="4" t="s">
        <v>356</v>
      </c>
    </row>
    <row r="607" customFormat="false" ht="15" hidden="false" customHeight="false" outlineLevel="0" collapsed="false">
      <c r="A607" s="4" t="s">
        <v>1377</v>
      </c>
      <c r="B607" s="23" t="n">
        <v>604</v>
      </c>
      <c r="C607" s="6" t="n">
        <v>46249</v>
      </c>
      <c r="D607" s="4" t="s">
        <v>1379</v>
      </c>
      <c r="E607" s="4" t="s">
        <v>6404</v>
      </c>
      <c r="F607" s="7" t="n">
        <v>86559.79</v>
      </c>
      <c r="G607" s="24" t="s">
        <v>5951</v>
      </c>
      <c r="H607" s="4" t="s">
        <v>1375</v>
      </c>
      <c r="I607" s="4"/>
    </row>
    <row r="608" customFormat="false" ht="15" hidden="false" customHeight="false" outlineLevel="0" collapsed="false">
      <c r="A608" s="4" t="s">
        <v>3118</v>
      </c>
      <c r="B608" s="23" t="n">
        <v>605</v>
      </c>
      <c r="C608" s="6" t="n">
        <v>46249</v>
      </c>
      <c r="D608" s="4" t="s">
        <v>3120</v>
      </c>
      <c r="E608" s="4" t="s">
        <v>6414</v>
      </c>
      <c r="F608" s="7" t="n">
        <v>22081.02</v>
      </c>
      <c r="G608" s="24" t="s">
        <v>5951</v>
      </c>
      <c r="H608" s="4" t="s">
        <v>3116</v>
      </c>
      <c r="I608" s="4"/>
    </row>
    <row r="609" customFormat="false" ht="15" hidden="false" customHeight="false" outlineLevel="0" collapsed="false">
      <c r="A609" s="4" t="s">
        <v>1382</v>
      </c>
      <c r="B609" s="23" t="n">
        <v>606</v>
      </c>
      <c r="C609" s="6" t="n">
        <v>46249</v>
      </c>
      <c r="D609" s="4" t="s">
        <v>1384</v>
      </c>
      <c r="E609" s="4" t="s">
        <v>7186</v>
      </c>
      <c r="F609" s="7" t="n">
        <v>11068.49</v>
      </c>
      <c r="G609" s="24" t="s">
        <v>5951</v>
      </c>
      <c r="H609" s="4" t="s">
        <v>1380</v>
      </c>
      <c r="I609" s="4"/>
    </row>
    <row r="610" customFormat="false" ht="15" hidden="false" customHeight="false" outlineLevel="0" collapsed="false">
      <c r="A610" s="4" t="s">
        <v>1387</v>
      </c>
      <c r="B610" s="23" t="n">
        <v>607</v>
      </c>
      <c r="C610" s="6" t="n">
        <v>46249</v>
      </c>
      <c r="D610" s="4" t="s">
        <v>1389</v>
      </c>
      <c r="E610" s="4" t="s">
        <v>6407</v>
      </c>
      <c r="F610" s="7" t="n">
        <v>26539.32</v>
      </c>
      <c r="G610" s="24" t="s">
        <v>5951</v>
      </c>
      <c r="H610" s="4" t="s">
        <v>1385</v>
      </c>
      <c r="I610" s="4"/>
    </row>
    <row r="611" customFormat="false" ht="15" hidden="false" customHeight="false" outlineLevel="0" collapsed="false">
      <c r="A611" s="4" t="s">
        <v>4203</v>
      </c>
      <c r="B611" s="23" t="n">
        <v>608</v>
      </c>
      <c r="C611" s="6" t="n">
        <v>46249</v>
      </c>
      <c r="D611" s="4" t="s">
        <v>4205</v>
      </c>
      <c r="E611" s="4" t="s">
        <v>6421</v>
      </c>
      <c r="F611" s="7" t="n">
        <v>81942.73</v>
      </c>
      <c r="G611" s="24" t="s">
        <v>5951</v>
      </c>
      <c r="H611" s="4" t="s">
        <v>4201</v>
      </c>
      <c r="I611" s="4"/>
    </row>
    <row r="612" customFormat="false" ht="15" hidden="false" customHeight="false" outlineLevel="0" collapsed="false">
      <c r="A612" s="4" t="s">
        <v>1392</v>
      </c>
      <c r="B612" s="23" t="n">
        <v>609</v>
      </c>
      <c r="C612" s="6" t="n">
        <v>46249</v>
      </c>
      <c r="D612" s="4" t="s">
        <v>1394</v>
      </c>
      <c r="E612" s="4" t="s">
        <v>6408</v>
      </c>
      <c r="F612" s="7" t="n">
        <v>79758.36</v>
      </c>
      <c r="G612" s="24" t="s">
        <v>5951</v>
      </c>
      <c r="H612" s="4" t="s">
        <v>1390</v>
      </c>
      <c r="I612" s="4"/>
    </row>
    <row r="613" customFormat="false" ht="15" hidden="false" customHeight="false" outlineLevel="0" collapsed="false">
      <c r="A613" s="4" t="s">
        <v>4757</v>
      </c>
      <c r="B613" s="23" t="n">
        <v>610</v>
      </c>
      <c r="C613" s="6" t="n">
        <v>46249</v>
      </c>
      <c r="D613" s="4" t="s">
        <v>4759</v>
      </c>
      <c r="E613" s="4" t="s">
        <v>7187</v>
      </c>
      <c r="F613" s="7" t="n">
        <v>-10821.32</v>
      </c>
      <c r="G613" s="24" t="s">
        <v>5951</v>
      </c>
      <c r="H613" s="4" t="s">
        <v>4755</v>
      </c>
      <c r="I613" s="4"/>
    </row>
    <row r="614" customFormat="false" ht="15" hidden="false" customHeight="false" outlineLevel="0" collapsed="false">
      <c r="A614" s="4" t="s">
        <v>4208</v>
      </c>
      <c r="B614" s="23" t="n">
        <v>611</v>
      </c>
      <c r="C614" s="6" t="n">
        <v>46249</v>
      </c>
      <c r="D614" s="4" t="s">
        <v>4210</v>
      </c>
      <c r="E614" s="4" t="s">
        <v>7188</v>
      </c>
      <c r="F614" s="7" t="n">
        <v>-39014.65</v>
      </c>
      <c r="G614" s="24" t="s">
        <v>5951</v>
      </c>
      <c r="H614" s="4" t="s">
        <v>4206</v>
      </c>
      <c r="I614" s="4"/>
    </row>
    <row r="615" customFormat="false" ht="15" hidden="false" customHeight="false" outlineLevel="0" collapsed="false">
      <c r="A615" s="4" t="s">
        <v>3123</v>
      </c>
      <c r="B615" s="23" t="n">
        <v>612</v>
      </c>
      <c r="C615" s="6" t="n">
        <v>46249</v>
      </c>
      <c r="D615" s="4" t="s">
        <v>3125</v>
      </c>
      <c r="E615" s="4" t="s">
        <v>7189</v>
      </c>
      <c r="F615" s="7" t="n">
        <v>-7325.3</v>
      </c>
      <c r="G615" s="24" t="s">
        <v>5951</v>
      </c>
      <c r="H615" s="4" t="s">
        <v>3121</v>
      </c>
      <c r="I615" s="4"/>
    </row>
    <row r="616" customFormat="false" ht="15" hidden="false" customHeight="false" outlineLevel="0" collapsed="false">
      <c r="A616" s="4" t="s">
        <v>5580</v>
      </c>
      <c r="B616" s="23" t="n">
        <v>613</v>
      </c>
      <c r="C616" s="6" t="n">
        <v>46249</v>
      </c>
      <c r="D616" s="4" t="s">
        <v>5582</v>
      </c>
      <c r="E616" s="4" t="s">
        <v>7190</v>
      </c>
      <c r="F616" s="7" t="n">
        <v>-31720.17</v>
      </c>
      <c r="G616" s="24" t="s">
        <v>5951</v>
      </c>
      <c r="H616" s="4" t="s">
        <v>5578</v>
      </c>
      <c r="I616" s="4"/>
    </row>
    <row r="617" customFormat="false" ht="15" hidden="false" customHeight="false" outlineLevel="0" collapsed="false">
      <c r="A617" s="4" t="s">
        <v>5821</v>
      </c>
      <c r="B617" s="23" t="n">
        <v>614</v>
      </c>
      <c r="C617" s="6" t="n">
        <v>46249</v>
      </c>
      <c r="D617" s="4" t="s">
        <v>5799</v>
      </c>
      <c r="E617" s="4"/>
      <c r="F617" s="7" t="n">
        <v>-7700.07</v>
      </c>
      <c r="G617" s="24" t="s">
        <v>5951</v>
      </c>
      <c r="H617" s="4" t="s">
        <v>5819</v>
      </c>
      <c r="I617" s="4"/>
    </row>
    <row r="618" customFormat="false" ht="15" hidden="false" customHeight="false" outlineLevel="0" collapsed="false">
      <c r="A618" s="4" t="s">
        <v>480</v>
      </c>
      <c r="B618" s="23" t="n">
        <v>615</v>
      </c>
      <c r="C618" s="6" t="n">
        <v>46249</v>
      </c>
      <c r="D618" s="4" t="s">
        <v>5852</v>
      </c>
      <c r="E618" s="4" t="s">
        <v>481</v>
      </c>
      <c r="F618" s="7" t="n">
        <v>13577.96</v>
      </c>
      <c r="G618" s="25" t="s">
        <v>5987</v>
      </c>
      <c r="H618" s="4" t="s">
        <v>5850</v>
      </c>
      <c r="I618" s="4" t="s">
        <v>478</v>
      </c>
    </row>
    <row r="619" customFormat="false" ht="15" hidden="false" customHeight="false" outlineLevel="0" collapsed="false">
      <c r="A619" s="4" t="s">
        <v>1397</v>
      </c>
      <c r="B619" s="23" t="n">
        <v>616</v>
      </c>
      <c r="C619" s="6" t="n">
        <v>46250</v>
      </c>
      <c r="D619" s="4" t="s">
        <v>1399</v>
      </c>
      <c r="E619" s="4" t="s">
        <v>6412</v>
      </c>
      <c r="F619" s="7" t="n">
        <v>11481.85</v>
      </c>
      <c r="G619" s="24" t="s">
        <v>5951</v>
      </c>
      <c r="H619" s="4" t="s">
        <v>1395</v>
      </c>
      <c r="I619" s="4"/>
    </row>
    <row r="620" customFormat="false" ht="15" hidden="false" customHeight="false" outlineLevel="0" collapsed="false">
      <c r="A620" s="4" t="s">
        <v>1402</v>
      </c>
      <c r="B620" s="23" t="n">
        <v>617</v>
      </c>
      <c r="C620" s="6" t="n">
        <v>46250</v>
      </c>
      <c r="D620" s="4" t="s">
        <v>1404</v>
      </c>
      <c r="E620" s="4" t="s">
        <v>6413</v>
      </c>
      <c r="F620" s="7" t="n">
        <v>13366.34</v>
      </c>
      <c r="G620" s="24" t="s">
        <v>5951</v>
      </c>
      <c r="H620" s="4" t="s">
        <v>1400</v>
      </c>
      <c r="I620" s="4"/>
    </row>
    <row r="621" customFormat="false" ht="15" hidden="false" customHeight="false" outlineLevel="0" collapsed="false">
      <c r="A621" s="4" t="s">
        <v>1407</v>
      </c>
      <c r="B621" s="23" t="n">
        <v>618</v>
      </c>
      <c r="C621" s="6" t="n">
        <v>46250</v>
      </c>
      <c r="D621" s="4" t="s">
        <v>1409</v>
      </c>
      <c r="E621" s="4" t="s">
        <v>6415</v>
      </c>
      <c r="F621" s="7" t="n">
        <v>4675.61</v>
      </c>
      <c r="G621" s="24" t="s">
        <v>5951</v>
      </c>
      <c r="H621" s="4" t="s">
        <v>1405</v>
      </c>
      <c r="I621" s="4"/>
    </row>
    <row r="622" customFormat="false" ht="15" hidden="false" customHeight="false" outlineLevel="0" collapsed="false">
      <c r="A622" s="4" t="s">
        <v>4213</v>
      </c>
      <c r="B622" s="23" t="n">
        <v>619</v>
      </c>
      <c r="C622" s="6" t="n">
        <v>46250</v>
      </c>
      <c r="D622" s="4" t="s">
        <v>4215</v>
      </c>
      <c r="E622" s="4" t="s">
        <v>6433</v>
      </c>
      <c r="F622" s="7" t="n">
        <v>15302.86</v>
      </c>
      <c r="G622" s="24" t="s">
        <v>5951</v>
      </c>
      <c r="H622" s="4" t="s">
        <v>4211</v>
      </c>
      <c r="I622" s="4"/>
    </row>
    <row r="623" customFormat="false" ht="15" hidden="false" customHeight="false" outlineLevel="0" collapsed="false">
      <c r="A623" s="4" t="s">
        <v>3128</v>
      </c>
      <c r="B623" s="23" t="n">
        <v>620</v>
      </c>
      <c r="C623" s="6" t="n">
        <v>46250</v>
      </c>
      <c r="D623" s="4" t="s">
        <v>3130</v>
      </c>
      <c r="E623" s="4" t="s">
        <v>6422</v>
      </c>
      <c r="F623" s="7" t="n">
        <v>21509.65</v>
      </c>
      <c r="G623" s="24" t="s">
        <v>5951</v>
      </c>
      <c r="H623" s="4" t="s">
        <v>3126</v>
      </c>
      <c r="I623" s="4"/>
    </row>
    <row r="624" customFormat="false" ht="15" hidden="false" customHeight="false" outlineLevel="0" collapsed="false">
      <c r="A624" s="4" t="s">
        <v>1412</v>
      </c>
      <c r="B624" s="23" t="n">
        <v>621</v>
      </c>
      <c r="C624" s="6" t="n">
        <v>46250</v>
      </c>
      <c r="D624" s="4" t="s">
        <v>1414</v>
      </c>
      <c r="E624" s="4" t="s">
        <v>7191</v>
      </c>
      <c r="F624" s="7" t="n">
        <v>-22081.65</v>
      </c>
      <c r="G624" s="24" t="s">
        <v>5951</v>
      </c>
      <c r="H624" s="4" t="s">
        <v>1410</v>
      </c>
      <c r="I624" s="4"/>
    </row>
    <row r="625" customFormat="false" ht="15" hidden="false" customHeight="false" outlineLevel="0" collapsed="false">
      <c r="A625" s="4" t="s">
        <v>5136</v>
      </c>
      <c r="B625" s="23" t="n">
        <v>622</v>
      </c>
      <c r="C625" s="6" t="n">
        <v>46250</v>
      </c>
      <c r="D625" s="4" t="s">
        <v>5138</v>
      </c>
      <c r="E625" s="4" t="s">
        <v>7192</v>
      </c>
      <c r="F625" s="7" t="n">
        <v>-4550.81</v>
      </c>
      <c r="G625" s="24" t="s">
        <v>5951</v>
      </c>
      <c r="H625" s="4" t="s">
        <v>5134</v>
      </c>
      <c r="I625" s="4"/>
    </row>
    <row r="626" customFormat="false" ht="15" hidden="false" customHeight="false" outlineLevel="0" collapsed="false">
      <c r="A626" s="4" t="s">
        <v>5585</v>
      </c>
      <c r="B626" s="23" t="n">
        <v>623</v>
      </c>
      <c r="C626" s="6" t="n">
        <v>46250</v>
      </c>
      <c r="D626" s="4" t="s">
        <v>5587</v>
      </c>
      <c r="E626" s="4" t="s">
        <v>7193</v>
      </c>
      <c r="F626" s="7" t="n">
        <v>-10995.41</v>
      </c>
      <c r="G626" s="24" t="s">
        <v>5951</v>
      </c>
      <c r="H626" s="4" t="s">
        <v>5583</v>
      </c>
      <c r="I626" s="4"/>
    </row>
    <row r="627" customFormat="false" ht="15" hidden="false" customHeight="false" outlineLevel="0" collapsed="false">
      <c r="A627" s="4" t="s">
        <v>4218</v>
      </c>
      <c r="B627" s="23" t="n">
        <v>624</v>
      </c>
      <c r="C627" s="6" t="n">
        <v>46250</v>
      </c>
      <c r="D627" s="4" t="s">
        <v>4220</v>
      </c>
      <c r="E627" s="4" t="s">
        <v>7194</v>
      </c>
      <c r="F627" s="7" t="n">
        <v>-38260.09</v>
      </c>
      <c r="G627" s="24" t="s">
        <v>5951</v>
      </c>
      <c r="H627" s="4" t="s">
        <v>4216</v>
      </c>
      <c r="I627" s="4"/>
    </row>
    <row r="628" customFormat="false" ht="15" hidden="false" customHeight="false" outlineLevel="0" collapsed="false">
      <c r="A628" s="4" t="s">
        <v>3133</v>
      </c>
      <c r="B628" s="23" t="n">
        <v>625</v>
      </c>
      <c r="C628" s="6" t="n">
        <v>46250</v>
      </c>
      <c r="D628" s="4" t="s">
        <v>3135</v>
      </c>
      <c r="E628" s="4" t="s">
        <v>7195</v>
      </c>
      <c r="F628" s="7" t="n">
        <v>-39493.98</v>
      </c>
      <c r="G628" s="24" t="s">
        <v>5951</v>
      </c>
      <c r="H628" s="4" t="s">
        <v>3131</v>
      </c>
      <c r="I628" s="4"/>
    </row>
    <row r="629" customFormat="false" ht="15" hidden="false" customHeight="false" outlineLevel="0" collapsed="false">
      <c r="A629" s="4" t="s">
        <v>4762</v>
      </c>
      <c r="B629" s="23" t="n">
        <v>626</v>
      </c>
      <c r="C629" s="6" t="n">
        <v>46250</v>
      </c>
      <c r="D629" s="4" t="s">
        <v>4764</v>
      </c>
      <c r="E629" s="4" t="s">
        <v>7196</v>
      </c>
      <c r="F629" s="7" t="n">
        <v>-19656.8</v>
      </c>
      <c r="G629" s="24" t="s">
        <v>5951</v>
      </c>
      <c r="H629" s="4" t="s">
        <v>4760</v>
      </c>
      <c r="I629" s="4"/>
    </row>
    <row r="630" customFormat="false" ht="15" hidden="false" customHeight="false" outlineLevel="0" collapsed="false">
      <c r="A630" s="4" t="s">
        <v>506</v>
      </c>
      <c r="B630" s="23" t="n">
        <v>627</v>
      </c>
      <c r="C630" s="6" t="n">
        <v>46250</v>
      </c>
      <c r="D630" s="4" t="s">
        <v>5876</v>
      </c>
      <c r="E630" s="4" t="s">
        <v>507</v>
      </c>
      <c r="F630" s="7" t="n">
        <v>10648.46</v>
      </c>
      <c r="G630" s="25" t="s">
        <v>5987</v>
      </c>
      <c r="H630" s="4" t="s">
        <v>5874</v>
      </c>
      <c r="I630" s="4" t="s">
        <v>504</v>
      </c>
    </row>
    <row r="631" customFormat="false" ht="15" hidden="false" customHeight="false" outlineLevel="0" collapsed="false">
      <c r="A631" s="4" t="s">
        <v>3138</v>
      </c>
      <c r="B631" s="23" t="n">
        <v>628</v>
      </c>
      <c r="C631" s="6" t="n">
        <v>46251</v>
      </c>
      <c r="D631" s="4" t="s">
        <v>3140</v>
      </c>
      <c r="E631" s="4" t="s">
        <v>6431</v>
      </c>
      <c r="F631" s="7" t="n">
        <v>20466.11</v>
      </c>
      <c r="G631" s="24" t="s">
        <v>5951</v>
      </c>
      <c r="H631" s="4" t="s">
        <v>3136</v>
      </c>
      <c r="I631" s="4"/>
    </row>
    <row r="632" customFormat="false" ht="15" hidden="false" customHeight="false" outlineLevel="0" collapsed="false">
      <c r="A632" s="4" t="s">
        <v>3143</v>
      </c>
      <c r="B632" s="23" t="n">
        <v>629</v>
      </c>
      <c r="C632" s="6" t="n">
        <v>46251</v>
      </c>
      <c r="D632" s="4" t="s">
        <v>3145</v>
      </c>
      <c r="E632" s="4" t="s">
        <v>6432</v>
      </c>
      <c r="F632" s="7" t="n">
        <v>69734.71</v>
      </c>
      <c r="G632" s="24" t="s">
        <v>5951</v>
      </c>
      <c r="H632" s="4" t="s">
        <v>3141</v>
      </c>
      <c r="I632" s="4"/>
    </row>
    <row r="633" customFormat="false" ht="15" hidden="false" customHeight="false" outlineLevel="0" collapsed="false">
      <c r="A633" s="4" t="s">
        <v>4223</v>
      </c>
      <c r="B633" s="23" t="n">
        <v>630</v>
      </c>
      <c r="C633" s="6" t="n">
        <v>46251</v>
      </c>
      <c r="D633" s="4" t="s">
        <v>4224</v>
      </c>
      <c r="E633" s="4" t="s">
        <v>7197</v>
      </c>
      <c r="F633" s="7" t="n">
        <v>60241.9</v>
      </c>
      <c r="G633" s="24" t="s">
        <v>5951</v>
      </c>
      <c r="H633" s="4" t="s">
        <v>4221</v>
      </c>
      <c r="I633" s="4"/>
    </row>
    <row r="634" customFormat="false" ht="15" hidden="false" customHeight="false" outlineLevel="0" collapsed="false">
      <c r="A634" s="4" t="s">
        <v>3148</v>
      </c>
      <c r="B634" s="23" t="n">
        <v>631</v>
      </c>
      <c r="C634" s="6" t="n">
        <v>46251</v>
      </c>
      <c r="D634" s="4" t="s">
        <v>3150</v>
      </c>
      <c r="E634" s="4" t="s">
        <v>6434</v>
      </c>
      <c r="F634" s="7" t="n">
        <v>80332.06</v>
      </c>
      <c r="G634" s="24" t="s">
        <v>5951</v>
      </c>
      <c r="H634" s="4" t="s">
        <v>3146</v>
      </c>
      <c r="I634" s="4"/>
    </row>
    <row r="635" customFormat="false" ht="15" hidden="false" customHeight="false" outlineLevel="0" collapsed="false">
      <c r="A635" s="4" t="s">
        <v>5141</v>
      </c>
      <c r="B635" s="23" t="n">
        <v>632</v>
      </c>
      <c r="C635" s="6" t="n">
        <v>46251</v>
      </c>
      <c r="D635" s="4" t="s">
        <v>5143</v>
      </c>
      <c r="E635" s="4" t="s">
        <v>7198</v>
      </c>
      <c r="F635" s="7" t="n">
        <v>-6388.49</v>
      </c>
      <c r="G635" s="24" t="s">
        <v>5951</v>
      </c>
      <c r="H635" s="4" t="s">
        <v>5139</v>
      </c>
      <c r="I635" s="4"/>
    </row>
    <row r="636" customFormat="false" ht="15" hidden="false" customHeight="false" outlineLevel="0" collapsed="false">
      <c r="A636" s="4" t="s">
        <v>5146</v>
      </c>
      <c r="B636" s="23" t="n">
        <v>633</v>
      </c>
      <c r="C636" s="6" t="n">
        <v>46251</v>
      </c>
      <c r="D636" s="4" t="s">
        <v>5148</v>
      </c>
      <c r="E636" s="4" t="s">
        <v>7199</v>
      </c>
      <c r="F636" s="7" t="n">
        <v>-39798.69</v>
      </c>
      <c r="G636" s="24" t="s">
        <v>5951</v>
      </c>
      <c r="H636" s="4" t="s">
        <v>5144</v>
      </c>
      <c r="I636" s="4"/>
    </row>
    <row r="637" customFormat="false" ht="15" hidden="false" customHeight="false" outlineLevel="0" collapsed="false">
      <c r="A637" s="4" t="s">
        <v>1417</v>
      </c>
      <c r="B637" s="23" t="n">
        <v>634</v>
      </c>
      <c r="C637" s="6" t="n">
        <v>46251</v>
      </c>
      <c r="D637" s="4" t="s">
        <v>1419</v>
      </c>
      <c r="E637" s="4" t="s">
        <v>7200</v>
      </c>
      <c r="F637" s="7" t="n">
        <v>-37262.76</v>
      </c>
      <c r="G637" s="24" t="s">
        <v>5951</v>
      </c>
      <c r="H637" s="4" t="s">
        <v>1415</v>
      </c>
      <c r="I637" s="4"/>
    </row>
    <row r="638" customFormat="false" ht="15" hidden="false" customHeight="false" outlineLevel="0" collapsed="false">
      <c r="A638" s="4" t="s">
        <v>7201</v>
      </c>
      <c r="B638" s="23" t="n">
        <v>635</v>
      </c>
      <c r="C638" s="6" t="n">
        <v>46251</v>
      </c>
      <c r="D638" s="4" t="s">
        <v>7202</v>
      </c>
      <c r="E638" s="4"/>
      <c r="F638" s="7" t="n">
        <v>6960.18</v>
      </c>
      <c r="G638" s="25" t="s">
        <v>5987</v>
      </c>
      <c r="H638" s="4" t="s">
        <v>5942</v>
      </c>
      <c r="I638" s="4" t="s">
        <v>400</v>
      </c>
    </row>
    <row r="639" customFormat="false" ht="15" hidden="false" customHeight="false" outlineLevel="0" collapsed="false">
      <c r="A639" s="4" t="s">
        <v>4227</v>
      </c>
      <c r="B639" s="23" t="n">
        <v>636</v>
      </c>
      <c r="C639" s="6" t="n">
        <v>46252</v>
      </c>
      <c r="D639" s="4" t="s">
        <v>4229</v>
      </c>
      <c r="E639" s="4" t="s">
        <v>6449</v>
      </c>
      <c r="F639" s="7" t="n">
        <v>10772.61</v>
      </c>
      <c r="G639" s="24" t="s">
        <v>5951</v>
      </c>
      <c r="H639" s="4" t="s">
        <v>4225</v>
      </c>
      <c r="I639" s="4"/>
    </row>
    <row r="640" customFormat="false" ht="15" hidden="false" customHeight="false" outlineLevel="0" collapsed="false">
      <c r="A640" s="4" t="s">
        <v>1422</v>
      </c>
      <c r="B640" s="23" t="n">
        <v>637</v>
      </c>
      <c r="C640" s="6" t="n">
        <v>46252</v>
      </c>
      <c r="D640" s="4" t="s">
        <v>1424</v>
      </c>
      <c r="E640" s="4" t="s">
        <v>6430</v>
      </c>
      <c r="F640" s="7" t="n">
        <v>3098.34</v>
      </c>
      <c r="G640" s="24" t="s">
        <v>5951</v>
      </c>
      <c r="H640" s="4" t="s">
        <v>1420</v>
      </c>
      <c r="I640" s="4"/>
    </row>
    <row r="641" customFormat="false" ht="15" hidden="false" customHeight="false" outlineLevel="0" collapsed="false">
      <c r="A641" s="4" t="s">
        <v>1427</v>
      </c>
      <c r="B641" s="23" t="n">
        <v>638</v>
      </c>
      <c r="C641" s="6" t="n">
        <v>46252</v>
      </c>
      <c r="D641" s="4" t="s">
        <v>1429</v>
      </c>
      <c r="E641" s="4" t="s">
        <v>7203</v>
      </c>
      <c r="F641" s="7" t="n">
        <v>49361.01</v>
      </c>
      <c r="G641" s="24" t="s">
        <v>5951</v>
      </c>
      <c r="H641" s="4" t="s">
        <v>1425</v>
      </c>
      <c r="I641" s="4"/>
    </row>
    <row r="642" customFormat="false" ht="15" hidden="false" customHeight="false" outlineLevel="0" collapsed="false">
      <c r="A642" s="4" t="s">
        <v>3153</v>
      </c>
      <c r="B642" s="23" t="n">
        <v>639</v>
      </c>
      <c r="C642" s="6" t="n">
        <v>46252</v>
      </c>
      <c r="D642" s="4" t="s">
        <v>3155</v>
      </c>
      <c r="E642" s="4" t="s">
        <v>7204</v>
      </c>
      <c r="F642" s="7" t="n">
        <v>-37199.31</v>
      </c>
      <c r="G642" s="24" t="s">
        <v>5951</v>
      </c>
      <c r="H642" s="4" t="s">
        <v>3151</v>
      </c>
      <c r="I642" s="4"/>
    </row>
    <row r="643" customFormat="false" ht="15" hidden="false" customHeight="false" outlineLevel="0" collapsed="false">
      <c r="A643" s="4" t="s">
        <v>3158</v>
      </c>
      <c r="B643" s="23" t="n">
        <v>640</v>
      </c>
      <c r="C643" s="6" t="n">
        <v>46252</v>
      </c>
      <c r="D643" s="4" t="s">
        <v>3160</v>
      </c>
      <c r="E643" s="4" t="s">
        <v>7205</v>
      </c>
      <c r="F643" s="7" t="n">
        <v>-36849.01</v>
      </c>
      <c r="G643" s="24" t="s">
        <v>5951</v>
      </c>
      <c r="H643" s="4" t="s">
        <v>3156</v>
      </c>
      <c r="I643" s="4"/>
    </row>
    <row r="644" customFormat="false" ht="15" hidden="false" customHeight="false" outlineLevel="0" collapsed="false">
      <c r="A644" s="4" t="s">
        <v>4232</v>
      </c>
      <c r="B644" s="23" t="n">
        <v>641</v>
      </c>
      <c r="C644" s="6" t="n">
        <v>46252</v>
      </c>
      <c r="D644" s="4" t="s">
        <v>4234</v>
      </c>
      <c r="E644" s="4" t="s">
        <v>7206</v>
      </c>
      <c r="F644" s="7" t="n">
        <v>-47586.53</v>
      </c>
      <c r="G644" s="24" t="s">
        <v>5951</v>
      </c>
      <c r="H644" s="4" t="s">
        <v>4230</v>
      </c>
      <c r="I644" s="4"/>
    </row>
    <row r="645" customFormat="false" ht="15" hidden="false" customHeight="false" outlineLevel="0" collapsed="false">
      <c r="A645" s="4" t="s">
        <v>4237</v>
      </c>
      <c r="B645" s="23" t="n">
        <v>642</v>
      </c>
      <c r="C645" s="6" t="n">
        <v>46252</v>
      </c>
      <c r="D645" s="4" t="s">
        <v>4239</v>
      </c>
      <c r="E645" s="4" t="s">
        <v>7207</v>
      </c>
      <c r="F645" s="7" t="n">
        <v>-43185.55</v>
      </c>
      <c r="G645" s="24" t="s">
        <v>5951</v>
      </c>
      <c r="H645" s="4" t="s">
        <v>4235</v>
      </c>
      <c r="I645" s="4"/>
    </row>
    <row r="646" customFormat="false" ht="15" hidden="false" customHeight="false" outlineLevel="0" collapsed="false">
      <c r="A646" s="4" t="s">
        <v>7208</v>
      </c>
      <c r="B646" s="23" t="n">
        <v>643</v>
      </c>
      <c r="C646" s="6" t="n">
        <v>46252</v>
      </c>
      <c r="D646" s="4" t="s">
        <v>7209</v>
      </c>
      <c r="E646" s="4"/>
      <c r="F646" s="7" t="n">
        <v>2588.02</v>
      </c>
      <c r="G646" s="25" t="s">
        <v>5987</v>
      </c>
      <c r="H646" s="4" t="s">
        <v>5939</v>
      </c>
      <c r="I646" s="4" t="s">
        <v>395</v>
      </c>
    </row>
    <row r="647" customFormat="false" ht="15" hidden="false" customHeight="false" outlineLevel="0" collapsed="false">
      <c r="A647" s="4" t="s">
        <v>7210</v>
      </c>
      <c r="B647" s="23" t="n">
        <v>644</v>
      </c>
      <c r="C647" s="6" t="n">
        <v>46252</v>
      </c>
      <c r="D647" s="4" t="s">
        <v>5944</v>
      </c>
      <c r="E647" s="4"/>
      <c r="F647" s="7" t="n">
        <v>2468.22</v>
      </c>
      <c r="G647" s="25" t="s">
        <v>5987</v>
      </c>
      <c r="H647" s="4" t="s">
        <v>5942</v>
      </c>
      <c r="I647" s="4" t="s">
        <v>400</v>
      </c>
    </row>
    <row r="648" customFormat="false" ht="15" hidden="false" customHeight="false" outlineLevel="0" collapsed="false">
      <c r="A648" s="4" t="s">
        <v>7211</v>
      </c>
      <c r="B648" s="23" t="n">
        <v>645</v>
      </c>
      <c r="C648" s="6" t="n">
        <v>46252</v>
      </c>
      <c r="D648" s="4" t="s">
        <v>7212</v>
      </c>
      <c r="E648" s="4"/>
      <c r="F648" s="7" t="n">
        <v>2019.93</v>
      </c>
      <c r="G648" s="25" t="s">
        <v>5987</v>
      </c>
      <c r="H648" s="4" t="s">
        <v>5942</v>
      </c>
      <c r="I648" s="4" t="s">
        <v>400</v>
      </c>
    </row>
    <row r="649" customFormat="false" ht="15" hidden="false" customHeight="false" outlineLevel="0" collapsed="false">
      <c r="A649" s="4" t="s">
        <v>1432</v>
      </c>
      <c r="B649" s="23" t="n">
        <v>646</v>
      </c>
      <c r="C649" s="6" t="n">
        <v>46253</v>
      </c>
      <c r="D649" s="4" t="s">
        <v>1434</v>
      </c>
      <c r="E649" s="4" t="s">
        <v>6440</v>
      </c>
      <c r="F649" s="7" t="n">
        <v>14031.13</v>
      </c>
      <c r="G649" s="24" t="s">
        <v>5951</v>
      </c>
      <c r="H649" s="4" t="s">
        <v>1430</v>
      </c>
      <c r="I649" s="4"/>
    </row>
    <row r="650" customFormat="false" ht="15" hidden="false" customHeight="false" outlineLevel="0" collapsed="false">
      <c r="A650" s="4" t="s">
        <v>3163</v>
      </c>
      <c r="B650" s="23" t="n">
        <v>647</v>
      </c>
      <c r="C650" s="6" t="n">
        <v>46253</v>
      </c>
      <c r="D650" s="4" t="s">
        <v>3165</v>
      </c>
      <c r="E650" s="4" t="s">
        <v>7213</v>
      </c>
      <c r="F650" s="7" t="n">
        <v>56625.97</v>
      </c>
      <c r="G650" s="24" t="s">
        <v>5951</v>
      </c>
      <c r="H650" s="4" t="s">
        <v>3161</v>
      </c>
      <c r="I650" s="4"/>
    </row>
    <row r="651" customFormat="false" ht="15" hidden="false" customHeight="false" outlineLevel="0" collapsed="false">
      <c r="A651" s="4" t="s">
        <v>3168</v>
      </c>
      <c r="B651" s="23" t="n">
        <v>648</v>
      </c>
      <c r="C651" s="6" t="n">
        <v>46253</v>
      </c>
      <c r="D651" s="4" t="s">
        <v>3170</v>
      </c>
      <c r="E651" s="4" t="s">
        <v>6451</v>
      </c>
      <c r="F651" s="7" t="n">
        <v>9172.9</v>
      </c>
      <c r="G651" s="24" t="s">
        <v>5951</v>
      </c>
      <c r="H651" s="4" t="s">
        <v>3166</v>
      </c>
      <c r="I651" s="4"/>
    </row>
    <row r="652" customFormat="false" ht="15" hidden="false" customHeight="false" outlineLevel="0" collapsed="false">
      <c r="A652" s="4" t="s">
        <v>1437</v>
      </c>
      <c r="B652" s="23" t="n">
        <v>649</v>
      </c>
      <c r="C652" s="6" t="n">
        <v>46253</v>
      </c>
      <c r="D652" s="4" t="s">
        <v>1439</v>
      </c>
      <c r="E652" s="4" t="s">
        <v>6441</v>
      </c>
      <c r="F652" s="7" t="n">
        <v>88207.44</v>
      </c>
      <c r="G652" s="24" t="s">
        <v>5951</v>
      </c>
      <c r="H652" s="4" t="s">
        <v>1435</v>
      </c>
      <c r="I652" s="4"/>
    </row>
    <row r="653" customFormat="false" ht="15" hidden="false" customHeight="false" outlineLevel="0" collapsed="false">
      <c r="A653" s="4" t="s">
        <v>1442</v>
      </c>
      <c r="B653" s="23" t="n">
        <v>650</v>
      </c>
      <c r="C653" s="6" t="n">
        <v>46253</v>
      </c>
      <c r="D653" s="4" t="s">
        <v>1444</v>
      </c>
      <c r="E653" s="4" t="s">
        <v>7214</v>
      </c>
      <c r="F653" s="7" t="n">
        <v>72531.08</v>
      </c>
      <c r="G653" s="24" t="s">
        <v>5951</v>
      </c>
      <c r="H653" s="4" t="s">
        <v>1440</v>
      </c>
      <c r="I653" s="4"/>
    </row>
    <row r="654" customFormat="false" ht="15" hidden="false" customHeight="false" outlineLevel="0" collapsed="false">
      <c r="A654" s="4" t="s">
        <v>1447</v>
      </c>
      <c r="B654" s="23" t="n">
        <v>651</v>
      </c>
      <c r="C654" s="6" t="n">
        <v>46253</v>
      </c>
      <c r="D654" s="4" t="s">
        <v>1449</v>
      </c>
      <c r="E654" s="4" t="s">
        <v>6442</v>
      </c>
      <c r="F654" s="7" t="n">
        <v>12350.7</v>
      </c>
      <c r="G654" s="24" t="s">
        <v>5951</v>
      </c>
      <c r="H654" s="4" t="s">
        <v>1445</v>
      </c>
      <c r="I654" s="4"/>
    </row>
    <row r="655" customFormat="false" ht="15" hidden="false" customHeight="false" outlineLevel="0" collapsed="false">
      <c r="A655" s="4" t="s">
        <v>1452</v>
      </c>
      <c r="B655" s="23" t="n">
        <v>652</v>
      </c>
      <c r="C655" s="6" t="n">
        <v>46253</v>
      </c>
      <c r="D655" s="4" t="s">
        <v>1454</v>
      </c>
      <c r="E655" s="4" t="s">
        <v>7215</v>
      </c>
      <c r="F655" s="7" t="n">
        <v>30891.52</v>
      </c>
      <c r="G655" s="24" t="s">
        <v>5951</v>
      </c>
      <c r="H655" s="4" t="s">
        <v>1450</v>
      </c>
      <c r="I655" s="4"/>
    </row>
    <row r="656" customFormat="false" ht="15" hidden="false" customHeight="false" outlineLevel="0" collapsed="false">
      <c r="A656" s="4" t="s">
        <v>4242</v>
      </c>
      <c r="B656" s="23" t="n">
        <v>653</v>
      </c>
      <c r="C656" s="6" t="n">
        <v>46253</v>
      </c>
      <c r="D656" s="4" t="s">
        <v>4244</v>
      </c>
      <c r="E656" s="4" t="s">
        <v>7216</v>
      </c>
      <c r="F656" s="7" t="n">
        <v>-32258.15</v>
      </c>
      <c r="G656" s="24" t="s">
        <v>5951</v>
      </c>
      <c r="H656" s="4" t="s">
        <v>4240</v>
      </c>
      <c r="I656" s="4"/>
    </row>
    <row r="657" customFormat="false" ht="15" hidden="false" customHeight="false" outlineLevel="0" collapsed="false">
      <c r="A657" s="4" t="s">
        <v>1457</v>
      </c>
      <c r="B657" s="23" t="n">
        <v>654</v>
      </c>
      <c r="C657" s="6" t="n">
        <v>46253</v>
      </c>
      <c r="D657" s="4" t="s">
        <v>1459</v>
      </c>
      <c r="E657" s="4" t="s">
        <v>7217</v>
      </c>
      <c r="F657" s="7" t="n">
        <v>-51185.53</v>
      </c>
      <c r="G657" s="24" t="s">
        <v>5951</v>
      </c>
      <c r="H657" s="4" t="s">
        <v>1455</v>
      </c>
      <c r="I657" s="4"/>
    </row>
    <row r="658" customFormat="false" ht="15" hidden="false" customHeight="false" outlineLevel="0" collapsed="false">
      <c r="A658" s="4" t="s">
        <v>5590</v>
      </c>
      <c r="B658" s="23" t="n">
        <v>655</v>
      </c>
      <c r="C658" s="6" t="n">
        <v>46253</v>
      </c>
      <c r="D658" s="4" t="s">
        <v>5592</v>
      </c>
      <c r="E658" s="4" t="s">
        <v>7218</v>
      </c>
      <c r="F658" s="7" t="n">
        <v>-18991.94</v>
      </c>
      <c r="G658" s="24" t="s">
        <v>5951</v>
      </c>
      <c r="H658" s="4" t="s">
        <v>5588</v>
      </c>
      <c r="I658" s="4"/>
    </row>
    <row r="659" customFormat="false" ht="15" hidden="false" customHeight="false" outlineLevel="0" collapsed="false">
      <c r="A659" s="4" t="s">
        <v>4247</v>
      </c>
      <c r="B659" s="23" t="n">
        <v>656</v>
      </c>
      <c r="C659" s="6" t="n">
        <v>46253</v>
      </c>
      <c r="D659" s="4" t="s">
        <v>4249</v>
      </c>
      <c r="E659" s="4" t="s">
        <v>7219</v>
      </c>
      <c r="F659" s="7" t="n">
        <v>-34834.03</v>
      </c>
      <c r="G659" s="24" t="s">
        <v>5951</v>
      </c>
      <c r="H659" s="4" t="s">
        <v>4245</v>
      </c>
      <c r="I659" s="4"/>
    </row>
    <row r="660" customFormat="false" ht="15" hidden="false" customHeight="false" outlineLevel="0" collapsed="false">
      <c r="A660" s="4" t="s">
        <v>4767</v>
      </c>
      <c r="B660" s="23" t="n">
        <v>657</v>
      </c>
      <c r="C660" s="6" t="n">
        <v>46253</v>
      </c>
      <c r="D660" s="4" t="s">
        <v>4769</v>
      </c>
      <c r="E660" s="4" t="s">
        <v>7220</v>
      </c>
      <c r="F660" s="7" t="n">
        <v>-58389.71</v>
      </c>
      <c r="G660" s="24" t="s">
        <v>5951</v>
      </c>
      <c r="H660" s="4" t="s">
        <v>4765</v>
      </c>
      <c r="I660" s="4"/>
    </row>
    <row r="661" customFormat="false" ht="15" hidden="false" customHeight="false" outlineLevel="0" collapsed="false">
      <c r="A661" s="4" t="s">
        <v>5151</v>
      </c>
      <c r="B661" s="23" t="n">
        <v>658</v>
      </c>
      <c r="C661" s="6" t="n">
        <v>46253</v>
      </c>
      <c r="D661" s="4" t="s">
        <v>5153</v>
      </c>
      <c r="E661" s="4" t="s">
        <v>7221</v>
      </c>
      <c r="F661" s="7" t="n">
        <v>-21464.97</v>
      </c>
      <c r="G661" s="24" t="s">
        <v>5951</v>
      </c>
      <c r="H661" s="4" t="s">
        <v>5149</v>
      </c>
      <c r="I661" s="4"/>
    </row>
    <row r="662" customFormat="false" ht="15" hidden="false" customHeight="false" outlineLevel="0" collapsed="false">
      <c r="A662" s="4" t="s">
        <v>4772</v>
      </c>
      <c r="B662" s="23" t="n">
        <v>659</v>
      </c>
      <c r="C662" s="6" t="n">
        <v>46253</v>
      </c>
      <c r="D662" s="4" t="s">
        <v>4774</v>
      </c>
      <c r="E662" s="4" t="s">
        <v>7222</v>
      </c>
      <c r="F662" s="7" t="n">
        <v>-20144.02</v>
      </c>
      <c r="G662" s="24" t="s">
        <v>5951</v>
      </c>
      <c r="H662" s="4" t="s">
        <v>4770</v>
      </c>
      <c r="I662" s="4"/>
    </row>
    <row r="663" customFormat="false" ht="15" hidden="false" customHeight="false" outlineLevel="0" collapsed="false">
      <c r="A663" s="4" t="s">
        <v>5830</v>
      </c>
      <c r="B663" s="23" t="n">
        <v>660</v>
      </c>
      <c r="C663" s="6" t="n">
        <v>46253</v>
      </c>
      <c r="D663" s="4" t="s">
        <v>5815</v>
      </c>
      <c r="E663" s="4"/>
      <c r="F663" s="7" t="n">
        <v>-3261.16</v>
      </c>
      <c r="G663" s="24" t="s">
        <v>5951</v>
      </c>
      <c r="H663" s="4" t="s">
        <v>5828</v>
      </c>
      <c r="I663" s="4"/>
    </row>
    <row r="664" customFormat="false" ht="15" hidden="false" customHeight="false" outlineLevel="0" collapsed="false">
      <c r="A664" s="4" t="s">
        <v>7223</v>
      </c>
      <c r="B664" s="23" t="n">
        <v>661</v>
      </c>
      <c r="C664" s="6" t="n">
        <v>46253</v>
      </c>
      <c r="D664" s="4" t="s">
        <v>5941</v>
      </c>
      <c r="E664" s="4"/>
      <c r="F664" s="7" t="n">
        <v>7314.09</v>
      </c>
      <c r="G664" s="25" t="s">
        <v>5987</v>
      </c>
      <c r="H664" s="4" t="s">
        <v>5939</v>
      </c>
      <c r="I664" s="4" t="s">
        <v>395</v>
      </c>
    </row>
    <row r="665" customFormat="false" ht="15" hidden="false" customHeight="false" outlineLevel="0" collapsed="false">
      <c r="A665" s="4" t="s">
        <v>7224</v>
      </c>
      <c r="B665" s="23" t="n">
        <v>662</v>
      </c>
      <c r="C665" s="6" t="n">
        <v>46253</v>
      </c>
      <c r="D665" s="4" t="s">
        <v>7225</v>
      </c>
      <c r="E665" s="4"/>
      <c r="F665" s="7" t="n">
        <v>6143.04</v>
      </c>
      <c r="G665" s="25" t="s">
        <v>5987</v>
      </c>
      <c r="H665" s="4" t="s">
        <v>5939</v>
      </c>
      <c r="I665" s="4" t="s">
        <v>395</v>
      </c>
    </row>
    <row r="666" customFormat="false" ht="15" hidden="false" customHeight="false" outlineLevel="0" collapsed="false">
      <c r="A666" s="4" t="s">
        <v>3173</v>
      </c>
      <c r="B666" s="23" t="n">
        <v>663</v>
      </c>
      <c r="C666" s="6" t="n">
        <v>46254</v>
      </c>
      <c r="D666" s="4" t="s">
        <v>3175</v>
      </c>
      <c r="E666" s="4" t="s">
        <v>6458</v>
      </c>
      <c r="F666" s="7" t="n">
        <v>92392.47</v>
      </c>
      <c r="G666" s="24" t="s">
        <v>5951</v>
      </c>
      <c r="H666" s="4" t="s">
        <v>3171</v>
      </c>
      <c r="I666" s="4"/>
    </row>
    <row r="667" customFormat="false" ht="15" hidden="false" customHeight="false" outlineLevel="0" collapsed="false">
      <c r="A667" s="4" t="s">
        <v>1462</v>
      </c>
      <c r="B667" s="23" t="n">
        <v>664</v>
      </c>
      <c r="C667" s="6" t="n">
        <v>46254</v>
      </c>
      <c r="D667" s="4" t="s">
        <v>1464</v>
      </c>
      <c r="E667" s="4" t="s">
        <v>6450</v>
      </c>
      <c r="F667" s="7" t="n">
        <v>56985.67</v>
      </c>
      <c r="G667" s="24" t="s">
        <v>5951</v>
      </c>
      <c r="H667" s="4" t="s">
        <v>1460</v>
      </c>
      <c r="I667" s="4"/>
    </row>
    <row r="668" customFormat="false" ht="15" hidden="false" customHeight="false" outlineLevel="0" collapsed="false">
      <c r="A668" s="4" t="s">
        <v>1467</v>
      </c>
      <c r="B668" s="23" t="n">
        <v>665</v>
      </c>
      <c r="C668" s="6" t="n">
        <v>46254</v>
      </c>
      <c r="D668" s="4" t="s">
        <v>1469</v>
      </c>
      <c r="E668" s="4" t="s">
        <v>7226</v>
      </c>
      <c r="F668" s="7" t="n">
        <v>83605.36</v>
      </c>
      <c r="G668" s="24" t="s">
        <v>5951</v>
      </c>
      <c r="H668" s="4" t="s">
        <v>1465</v>
      </c>
      <c r="I668" s="4"/>
    </row>
    <row r="669" customFormat="false" ht="15" hidden="false" customHeight="false" outlineLevel="0" collapsed="false">
      <c r="A669" s="4" t="s">
        <v>3178</v>
      </c>
      <c r="B669" s="23" t="n">
        <v>666</v>
      </c>
      <c r="C669" s="6" t="n">
        <v>46254</v>
      </c>
      <c r="D669" s="4" t="s">
        <v>3180</v>
      </c>
      <c r="E669" s="4" t="s">
        <v>6460</v>
      </c>
      <c r="F669" s="7" t="n">
        <v>60939.41</v>
      </c>
      <c r="G669" s="24" t="s">
        <v>5951</v>
      </c>
      <c r="H669" s="4" t="s">
        <v>3176</v>
      </c>
      <c r="I669" s="4"/>
    </row>
    <row r="670" customFormat="false" ht="15" hidden="false" customHeight="false" outlineLevel="0" collapsed="false">
      <c r="A670" s="4" t="s">
        <v>4252</v>
      </c>
      <c r="B670" s="23" t="n">
        <v>667</v>
      </c>
      <c r="C670" s="6" t="n">
        <v>46254</v>
      </c>
      <c r="D670" s="4" t="s">
        <v>4254</v>
      </c>
      <c r="E670" s="4" t="s">
        <v>6472</v>
      </c>
      <c r="F670" s="7" t="n">
        <v>29948.53</v>
      </c>
      <c r="G670" s="24" t="s">
        <v>5951</v>
      </c>
      <c r="H670" s="4" t="s">
        <v>4250</v>
      </c>
      <c r="I670" s="4"/>
    </row>
    <row r="671" customFormat="false" ht="15" hidden="false" customHeight="false" outlineLevel="0" collapsed="false">
      <c r="A671" s="4" t="s">
        <v>1472</v>
      </c>
      <c r="B671" s="23" t="n">
        <v>668</v>
      </c>
      <c r="C671" s="6" t="n">
        <v>46254</v>
      </c>
      <c r="D671" s="4" t="s">
        <v>1474</v>
      </c>
      <c r="E671" s="4" t="s">
        <v>7227</v>
      </c>
      <c r="F671" s="7" t="n">
        <v>-55063.41</v>
      </c>
      <c r="G671" s="24" t="s">
        <v>5951</v>
      </c>
      <c r="H671" s="4" t="s">
        <v>1470</v>
      </c>
      <c r="I671" s="4"/>
    </row>
    <row r="672" customFormat="false" ht="15" hidden="false" customHeight="false" outlineLevel="0" collapsed="false">
      <c r="A672" s="4" t="s">
        <v>3183</v>
      </c>
      <c r="B672" s="23" t="n">
        <v>669</v>
      </c>
      <c r="C672" s="6" t="n">
        <v>46254</v>
      </c>
      <c r="D672" s="4" t="s">
        <v>3185</v>
      </c>
      <c r="E672" s="4" t="s">
        <v>7228</v>
      </c>
      <c r="F672" s="7" t="n">
        <v>-2146.28</v>
      </c>
      <c r="G672" s="24" t="s">
        <v>5951</v>
      </c>
      <c r="H672" s="4" t="s">
        <v>3181</v>
      </c>
      <c r="I672" s="4"/>
    </row>
    <row r="673" customFormat="false" ht="15" hidden="false" customHeight="false" outlineLevel="0" collapsed="false">
      <c r="A673" s="4" t="s">
        <v>5156</v>
      </c>
      <c r="B673" s="23" t="n">
        <v>670</v>
      </c>
      <c r="C673" s="6" t="n">
        <v>46254</v>
      </c>
      <c r="D673" s="4" t="s">
        <v>5158</v>
      </c>
      <c r="E673" s="4" t="s">
        <v>7229</v>
      </c>
      <c r="F673" s="7" t="n">
        <v>-27869.25</v>
      </c>
      <c r="G673" s="24" t="s">
        <v>5951</v>
      </c>
      <c r="H673" s="4" t="s">
        <v>5154</v>
      </c>
      <c r="I673" s="4"/>
    </row>
    <row r="674" customFormat="false" ht="15" hidden="false" customHeight="false" outlineLevel="0" collapsed="false">
      <c r="A674" s="4" t="s">
        <v>5161</v>
      </c>
      <c r="B674" s="23" t="n">
        <v>671</v>
      </c>
      <c r="C674" s="6" t="n">
        <v>46254</v>
      </c>
      <c r="D674" s="4" t="s">
        <v>5163</v>
      </c>
      <c r="E674" s="4" t="s">
        <v>7230</v>
      </c>
      <c r="F674" s="7" t="n">
        <v>-24596.4</v>
      </c>
      <c r="G674" s="24" t="s">
        <v>5951</v>
      </c>
      <c r="H674" s="4" t="s">
        <v>5159</v>
      </c>
      <c r="I674" s="4"/>
    </row>
    <row r="675" customFormat="false" ht="15" hidden="false" customHeight="false" outlineLevel="0" collapsed="false">
      <c r="A675" s="4" t="s">
        <v>1477</v>
      </c>
      <c r="B675" s="23" t="n">
        <v>672</v>
      </c>
      <c r="C675" s="6" t="n">
        <v>46254</v>
      </c>
      <c r="D675" s="4" t="s">
        <v>1479</v>
      </c>
      <c r="E675" s="4" t="s">
        <v>7231</v>
      </c>
      <c r="F675" s="7" t="n">
        <v>-28136.51</v>
      </c>
      <c r="G675" s="24" t="s">
        <v>5951</v>
      </c>
      <c r="H675" s="4" t="s">
        <v>1475</v>
      </c>
      <c r="I675" s="4"/>
    </row>
    <row r="676" customFormat="false" ht="15" hidden="false" customHeight="false" outlineLevel="0" collapsed="false">
      <c r="A676" s="4" t="s">
        <v>5166</v>
      </c>
      <c r="B676" s="23" t="n">
        <v>673</v>
      </c>
      <c r="C676" s="6" t="n">
        <v>46254</v>
      </c>
      <c r="D676" s="4" t="s">
        <v>5168</v>
      </c>
      <c r="E676" s="4" t="s">
        <v>7232</v>
      </c>
      <c r="F676" s="7" t="n">
        <v>-42874.29</v>
      </c>
      <c r="G676" s="24" t="s">
        <v>5951</v>
      </c>
      <c r="H676" s="4" t="s">
        <v>5164</v>
      </c>
      <c r="I676" s="4"/>
    </row>
    <row r="677" customFormat="false" ht="15" hidden="false" customHeight="false" outlineLevel="0" collapsed="false">
      <c r="A677" s="4" t="s">
        <v>328</v>
      </c>
      <c r="B677" s="23" t="n">
        <v>674</v>
      </c>
      <c r="C677" s="6" t="n">
        <v>46254</v>
      </c>
      <c r="D677" s="4" t="s">
        <v>5879</v>
      </c>
      <c r="E677" s="4" t="s">
        <v>329</v>
      </c>
      <c r="F677" s="7" t="n">
        <v>88308.32</v>
      </c>
      <c r="G677" s="25" t="s">
        <v>5987</v>
      </c>
      <c r="H677" s="4" t="s">
        <v>5877</v>
      </c>
      <c r="I677" s="4" t="s">
        <v>326</v>
      </c>
    </row>
    <row r="678" customFormat="false" ht="15" hidden="false" customHeight="false" outlineLevel="0" collapsed="false">
      <c r="A678" s="4" t="s">
        <v>3188</v>
      </c>
      <c r="B678" s="23" t="n">
        <v>675</v>
      </c>
      <c r="C678" s="6" t="n">
        <v>46255</v>
      </c>
      <c r="D678" s="4" t="s">
        <v>3190</v>
      </c>
      <c r="E678" s="4" t="s">
        <v>6469</v>
      </c>
      <c r="F678" s="7" t="n">
        <v>25857.74</v>
      </c>
      <c r="G678" s="24" t="s">
        <v>5951</v>
      </c>
      <c r="H678" s="4" t="s">
        <v>3186</v>
      </c>
      <c r="I678" s="4"/>
    </row>
    <row r="679" customFormat="false" ht="15" hidden="false" customHeight="false" outlineLevel="0" collapsed="false">
      <c r="A679" s="4" t="s">
        <v>4257</v>
      </c>
      <c r="B679" s="23" t="n">
        <v>676</v>
      </c>
      <c r="C679" s="6" t="n">
        <v>46255</v>
      </c>
      <c r="D679" s="4" t="s">
        <v>4259</v>
      </c>
      <c r="E679" s="4" t="s">
        <v>7233</v>
      </c>
      <c r="F679" s="7" t="n">
        <v>23068.59</v>
      </c>
      <c r="G679" s="24" t="s">
        <v>5951</v>
      </c>
      <c r="H679" s="4" t="s">
        <v>4255</v>
      </c>
      <c r="I679" s="4"/>
    </row>
    <row r="680" customFormat="false" ht="15" hidden="false" customHeight="false" outlineLevel="0" collapsed="false">
      <c r="A680" s="4" t="s">
        <v>1482</v>
      </c>
      <c r="B680" s="23" t="n">
        <v>677</v>
      </c>
      <c r="C680" s="6" t="n">
        <v>46255</v>
      </c>
      <c r="D680" s="4" t="s">
        <v>1484</v>
      </c>
      <c r="E680" s="4" t="s">
        <v>6459</v>
      </c>
      <c r="F680" s="7" t="n">
        <v>21302.68</v>
      </c>
      <c r="G680" s="24" t="s">
        <v>5951</v>
      </c>
      <c r="H680" s="4" t="s">
        <v>1480</v>
      </c>
      <c r="I680" s="4"/>
    </row>
    <row r="681" customFormat="false" ht="15" hidden="false" customHeight="false" outlineLevel="0" collapsed="false">
      <c r="A681" s="4" t="s">
        <v>3193</v>
      </c>
      <c r="B681" s="23" t="n">
        <v>678</v>
      </c>
      <c r="C681" s="6" t="n">
        <v>46255</v>
      </c>
      <c r="D681" s="4" t="s">
        <v>3195</v>
      </c>
      <c r="E681" s="4" t="s">
        <v>6470</v>
      </c>
      <c r="F681" s="7" t="n">
        <v>74958.36</v>
      </c>
      <c r="G681" s="24" t="s">
        <v>5951</v>
      </c>
      <c r="H681" s="4" t="s">
        <v>3191</v>
      </c>
      <c r="I681" s="4"/>
    </row>
    <row r="682" customFormat="false" ht="15" hidden="false" customHeight="false" outlineLevel="0" collapsed="false">
      <c r="A682" s="4" t="s">
        <v>3198</v>
      </c>
      <c r="B682" s="23" t="n">
        <v>679</v>
      </c>
      <c r="C682" s="6" t="n">
        <v>46255</v>
      </c>
      <c r="D682" s="4" t="s">
        <v>3200</v>
      </c>
      <c r="E682" s="4" t="s">
        <v>6471</v>
      </c>
      <c r="F682" s="7" t="n">
        <v>35716.77</v>
      </c>
      <c r="G682" s="24" t="s">
        <v>5951</v>
      </c>
      <c r="H682" s="4" t="s">
        <v>3196</v>
      </c>
      <c r="I682" s="4"/>
    </row>
    <row r="683" customFormat="false" ht="15" hidden="false" customHeight="false" outlineLevel="0" collapsed="false">
      <c r="A683" s="4" t="s">
        <v>1487</v>
      </c>
      <c r="B683" s="23" t="n">
        <v>680</v>
      </c>
      <c r="C683" s="6" t="n">
        <v>46255</v>
      </c>
      <c r="D683" s="4" t="s">
        <v>1489</v>
      </c>
      <c r="E683" s="4" t="s">
        <v>6461</v>
      </c>
      <c r="F683" s="7" t="n">
        <v>25300.44</v>
      </c>
      <c r="G683" s="24" t="s">
        <v>5951</v>
      </c>
      <c r="H683" s="4" t="s">
        <v>1485</v>
      </c>
      <c r="I683" s="4"/>
    </row>
    <row r="684" customFormat="false" ht="15" hidden="false" customHeight="false" outlineLevel="0" collapsed="false">
      <c r="A684" s="4" t="s">
        <v>5595</v>
      </c>
      <c r="B684" s="23" t="n">
        <v>681</v>
      </c>
      <c r="C684" s="6" t="n">
        <v>46255</v>
      </c>
      <c r="D684" s="4" t="s">
        <v>5597</v>
      </c>
      <c r="E684" s="4" t="s">
        <v>7234</v>
      </c>
      <c r="F684" s="7" t="n">
        <v>-25102.95</v>
      </c>
      <c r="G684" s="24" t="s">
        <v>5951</v>
      </c>
      <c r="H684" s="4" t="s">
        <v>5593</v>
      </c>
      <c r="I684" s="4"/>
    </row>
    <row r="685" customFormat="false" ht="15" hidden="false" customHeight="false" outlineLevel="0" collapsed="false">
      <c r="A685" s="4" t="s">
        <v>5171</v>
      </c>
      <c r="B685" s="23" t="n">
        <v>682</v>
      </c>
      <c r="C685" s="6" t="n">
        <v>46255</v>
      </c>
      <c r="D685" s="4" t="s">
        <v>5173</v>
      </c>
      <c r="E685" s="4" t="s">
        <v>7235</v>
      </c>
      <c r="F685" s="7" t="n">
        <v>-32312.33</v>
      </c>
      <c r="G685" s="24" t="s">
        <v>5951</v>
      </c>
      <c r="H685" s="4" t="s">
        <v>5169</v>
      </c>
      <c r="I685" s="4"/>
    </row>
    <row r="686" customFormat="false" ht="15" hidden="false" customHeight="false" outlineLevel="0" collapsed="false">
      <c r="A686" s="4" t="s">
        <v>4262</v>
      </c>
      <c r="B686" s="23" t="n">
        <v>683</v>
      </c>
      <c r="C686" s="6" t="n">
        <v>46255</v>
      </c>
      <c r="D686" s="4" t="s">
        <v>4264</v>
      </c>
      <c r="E686" s="4" t="s">
        <v>7236</v>
      </c>
      <c r="F686" s="7" t="n">
        <v>-17669.81</v>
      </c>
      <c r="G686" s="24" t="s">
        <v>5951</v>
      </c>
      <c r="H686" s="4" t="s">
        <v>4260</v>
      </c>
      <c r="I686" s="4"/>
    </row>
    <row r="687" customFormat="false" ht="15" hidden="false" customHeight="false" outlineLevel="0" collapsed="false">
      <c r="A687" s="4" t="s">
        <v>4267</v>
      </c>
      <c r="B687" s="23" t="n">
        <v>684</v>
      </c>
      <c r="C687" s="6" t="n">
        <v>46255</v>
      </c>
      <c r="D687" s="4" t="s">
        <v>4269</v>
      </c>
      <c r="E687" s="4" t="s">
        <v>7237</v>
      </c>
      <c r="F687" s="7" t="n">
        <v>-59996.4</v>
      </c>
      <c r="G687" s="24" t="s">
        <v>5951</v>
      </c>
      <c r="H687" s="4" t="s">
        <v>4265</v>
      </c>
      <c r="I687" s="4"/>
    </row>
    <row r="688" customFormat="false" ht="15" hidden="false" customHeight="false" outlineLevel="0" collapsed="false">
      <c r="A688" s="4" t="s">
        <v>3203</v>
      </c>
      <c r="B688" s="23" t="n">
        <v>685</v>
      </c>
      <c r="C688" s="6" t="n">
        <v>46255</v>
      </c>
      <c r="D688" s="4" t="s">
        <v>3205</v>
      </c>
      <c r="E688" s="4" t="s">
        <v>7238</v>
      </c>
      <c r="F688" s="7" t="n">
        <v>-50449.41</v>
      </c>
      <c r="G688" s="24" t="s">
        <v>5951</v>
      </c>
      <c r="H688" s="4" t="s">
        <v>3201</v>
      </c>
      <c r="I688" s="4"/>
    </row>
    <row r="689" customFormat="false" ht="15" hidden="false" customHeight="false" outlineLevel="0" collapsed="false">
      <c r="A689" s="4" t="s">
        <v>1492</v>
      </c>
      <c r="B689" s="23" t="n">
        <v>686</v>
      </c>
      <c r="C689" s="6" t="n">
        <v>46255</v>
      </c>
      <c r="D689" s="4" t="s">
        <v>1494</v>
      </c>
      <c r="E689" s="4" t="s">
        <v>7239</v>
      </c>
      <c r="F689" s="7" t="n">
        <v>-48265.69</v>
      </c>
      <c r="G689" s="24" t="s">
        <v>5951</v>
      </c>
      <c r="H689" s="4" t="s">
        <v>1490</v>
      </c>
      <c r="I689" s="4"/>
    </row>
    <row r="690" customFormat="false" ht="15" hidden="false" customHeight="false" outlineLevel="0" collapsed="false">
      <c r="A690" s="4" t="s">
        <v>5176</v>
      </c>
      <c r="B690" s="23" t="n">
        <v>687</v>
      </c>
      <c r="C690" s="6" t="n">
        <v>46255</v>
      </c>
      <c r="D690" s="4" t="s">
        <v>5178</v>
      </c>
      <c r="E690" s="4" t="s">
        <v>7240</v>
      </c>
      <c r="F690" s="7" t="n">
        <v>-51992.4</v>
      </c>
      <c r="G690" s="24" t="s">
        <v>5951</v>
      </c>
      <c r="H690" s="4" t="s">
        <v>5174</v>
      </c>
      <c r="I690" s="4"/>
    </row>
    <row r="691" customFormat="false" ht="15" hidden="false" customHeight="false" outlineLevel="0" collapsed="false">
      <c r="A691" s="4" t="s">
        <v>4272</v>
      </c>
      <c r="B691" s="23" t="n">
        <v>688</v>
      </c>
      <c r="C691" s="6" t="n">
        <v>46255</v>
      </c>
      <c r="D691" s="4" t="s">
        <v>4274</v>
      </c>
      <c r="E691" s="4" t="s">
        <v>7241</v>
      </c>
      <c r="F691" s="7" t="n">
        <v>-59275.58</v>
      </c>
      <c r="G691" s="24" t="s">
        <v>5951</v>
      </c>
      <c r="H691" s="4" t="s">
        <v>4270</v>
      </c>
      <c r="I691" s="4"/>
    </row>
    <row r="692" customFormat="false" ht="15" hidden="false" customHeight="false" outlineLevel="0" collapsed="false">
      <c r="A692" s="4" t="s">
        <v>5600</v>
      </c>
      <c r="B692" s="23" t="n">
        <v>689</v>
      </c>
      <c r="C692" s="6" t="n">
        <v>46255</v>
      </c>
      <c r="D692" s="4" t="s">
        <v>5602</v>
      </c>
      <c r="E692" s="4" t="s">
        <v>7242</v>
      </c>
      <c r="F692" s="7" t="n">
        <v>-48501.73</v>
      </c>
      <c r="G692" s="24" t="s">
        <v>5951</v>
      </c>
      <c r="H692" s="4" t="s">
        <v>5598</v>
      </c>
      <c r="I692" s="4"/>
    </row>
    <row r="693" customFormat="false" ht="15" hidden="false" customHeight="false" outlineLevel="0" collapsed="false">
      <c r="A693" s="4" t="s">
        <v>4777</v>
      </c>
      <c r="B693" s="23" t="n">
        <v>690</v>
      </c>
      <c r="C693" s="6" t="n">
        <v>46255</v>
      </c>
      <c r="D693" s="4" t="s">
        <v>4779</v>
      </c>
      <c r="E693" s="4" t="s">
        <v>7243</v>
      </c>
      <c r="F693" s="7" t="n">
        <v>-43206.71</v>
      </c>
      <c r="G693" s="24" t="s">
        <v>5951</v>
      </c>
      <c r="H693" s="4" t="s">
        <v>4775</v>
      </c>
      <c r="I693" s="4"/>
    </row>
    <row r="694" customFormat="false" ht="15" hidden="false" customHeight="false" outlineLevel="0" collapsed="false">
      <c r="A694" s="4" t="s">
        <v>3208</v>
      </c>
      <c r="B694" s="23" t="n">
        <v>691</v>
      </c>
      <c r="C694" s="6" t="n">
        <v>46256</v>
      </c>
      <c r="D694" s="4" t="s">
        <v>3210</v>
      </c>
      <c r="E694" s="4" t="s">
        <v>6479</v>
      </c>
      <c r="F694" s="7" t="n">
        <v>7551.8</v>
      </c>
      <c r="G694" s="24" t="s">
        <v>5951</v>
      </c>
      <c r="H694" s="4" t="s">
        <v>3206</v>
      </c>
      <c r="I694" s="4"/>
    </row>
    <row r="695" customFormat="false" ht="15" hidden="false" customHeight="false" outlineLevel="0" collapsed="false">
      <c r="A695" s="4" t="s">
        <v>3213</v>
      </c>
      <c r="B695" s="23" t="n">
        <v>692</v>
      </c>
      <c r="C695" s="6" t="n">
        <v>46256</v>
      </c>
      <c r="D695" s="4" t="s">
        <v>3215</v>
      </c>
      <c r="E695" s="4" t="s">
        <v>7244</v>
      </c>
      <c r="F695" s="7" t="n">
        <v>78332.65</v>
      </c>
      <c r="G695" s="24" t="s">
        <v>5951</v>
      </c>
      <c r="H695" s="4" t="s">
        <v>3211</v>
      </c>
      <c r="I695" s="4"/>
    </row>
    <row r="696" customFormat="false" ht="15" hidden="false" customHeight="false" outlineLevel="0" collapsed="false">
      <c r="A696" s="4" t="s">
        <v>4277</v>
      </c>
      <c r="B696" s="23" t="n">
        <v>693</v>
      </c>
      <c r="C696" s="6" t="n">
        <v>46256</v>
      </c>
      <c r="D696" s="4" t="s">
        <v>4279</v>
      </c>
      <c r="E696" s="4" t="s">
        <v>6487</v>
      </c>
      <c r="F696" s="7" t="n">
        <v>52138.41</v>
      </c>
      <c r="G696" s="24" t="s">
        <v>5951</v>
      </c>
      <c r="H696" s="4" t="s">
        <v>4275</v>
      </c>
      <c r="I696" s="4"/>
    </row>
    <row r="697" customFormat="false" ht="15" hidden="false" customHeight="false" outlineLevel="0" collapsed="false">
      <c r="A697" s="4" t="s">
        <v>3218</v>
      </c>
      <c r="B697" s="23" t="n">
        <v>694</v>
      </c>
      <c r="C697" s="6" t="n">
        <v>46256</v>
      </c>
      <c r="D697" s="4" t="s">
        <v>3220</v>
      </c>
      <c r="E697" s="4" t="s">
        <v>6480</v>
      </c>
      <c r="F697" s="7" t="n">
        <v>61769.28</v>
      </c>
      <c r="G697" s="24" t="s">
        <v>5951</v>
      </c>
      <c r="H697" s="4" t="s">
        <v>3216</v>
      </c>
      <c r="I697" s="4"/>
    </row>
    <row r="698" customFormat="false" ht="15" hidden="false" customHeight="false" outlineLevel="0" collapsed="false">
      <c r="A698" s="4" t="s">
        <v>3223</v>
      </c>
      <c r="B698" s="23" t="n">
        <v>695</v>
      </c>
      <c r="C698" s="6" t="n">
        <v>46256</v>
      </c>
      <c r="D698" s="4" t="s">
        <v>3225</v>
      </c>
      <c r="E698" s="4" t="s">
        <v>7245</v>
      </c>
      <c r="F698" s="7" t="n">
        <v>-53641.9</v>
      </c>
      <c r="G698" s="24" t="s">
        <v>5951</v>
      </c>
      <c r="H698" s="4" t="s">
        <v>3221</v>
      </c>
      <c r="I698" s="4"/>
    </row>
    <row r="699" customFormat="false" ht="15" hidden="false" customHeight="false" outlineLevel="0" collapsed="false">
      <c r="A699" s="4" t="s">
        <v>5605</v>
      </c>
      <c r="B699" s="23" t="n">
        <v>696</v>
      </c>
      <c r="C699" s="6" t="n">
        <v>46256</v>
      </c>
      <c r="D699" s="4" t="s">
        <v>5607</v>
      </c>
      <c r="E699" s="4" t="s">
        <v>7246</v>
      </c>
      <c r="F699" s="7" t="n">
        <v>-5273.6</v>
      </c>
      <c r="G699" s="24" t="s">
        <v>5951</v>
      </c>
      <c r="H699" s="4" t="s">
        <v>5603</v>
      </c>
      <c r="I699" s="4"/>
    </row>
    <row r="700" customFormat="false" ht="15" hidden="false" customHeight="false" outlineLevel="0" collapsed="false">
      <c r="A700" s="4" t="s">
        <v>4782</v>
      </c>
      <c r="B700" s="23" t="n">
        <v>697</v>
      </c>
      <c r="C700" s="6" t="n">
        <v>46256</v>
      </c>
      <c r="D700" s="4" t="s">
        <v>4784</v>
      </c>
      <c r="E700" s="4" t="s">
        <v>7247</v>
      </c>
      <c r="F700" s="7" t="n">
        <v>-34069.96</v>
      </c>
      <c r="G700" s="24" t="s">
        <v>5951</v>
      </c>
      <c r="H700" s="4" t="s">
        <v>4780</v>
      </c>
      <c r="I700" s="4"/>
    </row>
    <row r="701" customFormat="false" ht="15" hidden="false" customHeight="false" outlineLevel="0" collapsed="false">
      <c r="A701" s="4" t="s">
        <v>5181</v>
      </c>
      <c r="B701" s="23" t="n">
        <v>698</v>
      </c>
      <c r="C701" s="6" t="n">
        <v>46256</v>
      </c>
      <c r="D701" s="4" t="s">
        <v>5183</v>
      </c>
      <c r="E701" s="4" t="s">
        <v>7248</v>
      </c>
      <c r="F701" s="7" t="n">
        <v>-30770.7</v>
      </c>
      <c r="G701" s="24" t="s">
        <v>5951</v>
      </c>
      <c r="H701" s="4" t="s">
        <v>5179</v>
      </c>
      <c r="I701" s="4"/>
    </row>
    <row r="702" customFormat="false" ht="15" hidden="false" customHeight="false" outlineLevel="0" collapsed="false">
      <c r="A702" s="4" t="s">
        <v>5610</v>
      </c>
      <c r="B702" s="23" t="n">
        <v>699</v>
      </c>
      <c r="C702" s="6" t="n">
        <v>46256</v>
      </c>
      <c r="D702" s="4" t="s">
        <v>5612</v>
      </c>
      <c r="E702" s="4" t="s">
        <v>7249</v>
      </c>
      <c r="F702" s="7" t="n">
        <v>-20179.79</v>
      </c>
      <c r="G702" s="24" t="s">
        <v>5951</v>
      </c>
      <c r="H702" s="4" t="s">
        <v>5608</v>
      </c>
      <c r="I702" s="4"/>
    </row>
    <row r="703" customFormat="false" ht="15" hidden="false" customHeight="false" outlineLevel="0" collapsed="false">
      <c r="A703" s="4" t="s">
        <v>1497</v>
      </c>
      <c r="B703" s="23" t="n">
        <v>700</v>
      </c>
      <c r="C703" s="6" t="n">
        <v>46256</v>
      </c>
      <c r="D703" s="4" t="s">
        <v>1499</v>
      </c>
      <c r="E703" s="4" t="s">
        <v>7250</v>
      </c>
      <c r="F703" s="7" t="n">
        <v>-8843.08</v>
      </c>
      <c r="G703" s="24" t="s">
        <v>5951</v>
      </c>
      <c r="H703" s="4" t="s">
        <v>1495</v>
      </c>
      <c r="I703" s="4"/>
    </row>
    <row r="704" customFormat="false" ht="15" hidden="false" customHeight="false" outlineLevel="0" collapsed="false">
      <c r="A704" s="4" t="s">
        <v>5186</v>
      </c>
      <c r="B704" s="23" t="n">
        <v>701</v>
      </c>
      <c r="C704" s="6" t="n">
        <v>46256</v>
      </c>
      <c r="D704" s="4" t="s">
        <v>5188</v>
      </c>
      <c r="E704" s="4" t="s">
        <v>7251</v>
      </c>
      <c r="F704" s="7" t="n">
        <v>-32218.2</v>
      </c>
      <c r="G704" s="24" t="s">
        <v>5951</v>
      </c>
      <c r="H704" s="4" t="s">
        <v>5184</v>
      </c>
      <c r="I704" s="4"/>
    </row>
    <row r="705" customFormat="false" ht="15" hidden="false" customHeight="false" outlineLevel="0" collapsed="false">
      <c r="A705" s="4" t="s">
        <v>365</v>
      </c>
      <c r="B705" s="23" t="n">
        <v>702</v>
      </c>
      <c r="C705" s="6" t="n">
        <v>46256</v>
      </c>
      <c r="D705" s="4" t="s">
        <v>5913</v>
      </c>
      <c r="E705" s="4"/>
      <c r="F705" s="7" t="n">
        <v>-3429.18</v>
      </c>
      <c r="G705" s="25" t="s">
        <v>5987</v>
      </c>
      <c r="H705" s="4" t="s">
        <v>5910</v>
      </c>
      <c r="I705" s="4" t="s">
        <v>363</v>
      </c>
    </row>
    <row r="706" customFormat="false" ht="15" hidden="false" customHeight="false" outlineLevel="0" collapsed="false">
      <c r="A706" s="4" t="s">
        <v>1502</v>
      </c>
      <c r="B706" s="23" t="n">
        <v>703</v>
      </c>
      <c r="C706" s="6" t="n">
        <v>46257</v>
      </c>
      <c r="D706" s="4" t="s">
        <v>1504</v>
      </c>
      <c r="E706" s="4" t="s">
        <v>6477</v>
      </c>
      <c r="F706" s="7" t="n">
        <v>15252.08</v>
      </c>
      <c r="G706" s="24" t="s">
        <v>5951</v>
      </c>
      <c r="H706" s="4" t="s">
        <v>1500</v>
      </c>
      <c r="I706" s="4"/>
    </row>
    <row r="707" customFormat="false" ht="15" hidden="false" customHeight="false" outlineLevel="0" collapsed="false">
      <c r="A707" s="4" t="s">
        <v>3228</v>
      </c>
      <c r="B707" s="23" t="n">
        <v>704</v>
      </c>
      <c r="C707" s="6" t="n">
        <v>46257</v>
      </c>
      <c r="D707" s="4" t="s">
        <v>3230</v>
      </c>
      <c r="E707" s="4" t="s">
        <v>6486</v>
      </c>
      <c r="F707" s="7" t="n">
        <v>28614.74</v>
      </c>
      <c r="G707" s="24" t="s">
        <v>5951</v>
      </c>
      <c r="H707" s="4" t="s">
        <v>3226</v>
      </c>
      <c r="I707" s="4"/>
    </row>
    <row r="708" customFormat="false" ht="15" hidden="false" customHeight="false" outlineLevel="0" collapsed="false">
      <c r="A708" s="4" t="s">
        <v>1507</v>
      </c>
      <c r="B708" s="23" t="n">
        <v>705</v>
      </c>
      <c r="C708" s="6" t="n">
        <v>46257</v>
      </c>
      <c r="D708" s="4" t="s">
        <v>1509</v>
      </c>
      <c r="E708" s="4" t="s">
        <v>6478</v>
      </c>
      <c r="F708" s="7" t="n">
        <v>40150.5</v>
      </c>
      <c r="G708" s="24" t="s">
        <v>5951</v>
      </c>
      <c r="H708" s="4" t="s">
        <v>1505</v>
      </c>
      <c r="I708" s="4"/>
    </row>
    <row r="709" customFormat="false" ht="15" hidden="false" customHeight="false" outlineLevel="0" collapsed="false">
      <c r="A709" s="4" t="s">
        <v>4282</v>
      </c>
      <c r="B709" s="23" t="n">
        <v>706</v>
      </c>
      <c r="C709" s="6" t="n">
        <v>46257</v>
      </c>
      <c r="D709" s="4" t="s">
        <v>4284</v>
      </c>
      <c r="E709" s="4" t="s">
        <v>6499</v>
      </c>
      <c r="F709" s="7" t="n">
        <v>13933.92</v>
      </c>
      <c r="G709" s="24" t="s">
        <v>5951</v>
      </c>
      <c r="H709" s="4" t="s">
        <v>4280</v>
      </c>
      <c r="I709" s="4"/>
    </row>
    <row r="710" customFormat="false" ht="15" hidden="false" customHeight="false" outlineLevel="0" collapsed="false">
      <c r="A710" s="4" t="s">
        <v>3233</v>
      </c>
      <c r="B710" s="23" t="n">
        <v>707</v>
      </c>
      <c r="C710" s="6" t="n">
        <v>46257</v>
      </c>
      <c r="D710" s="4" t="s">
        <v>3235</v>
      </c>
      <c r="E710" s="4" t="s">
        <v>6490</v>
      </c>
      <c r="F710" s="7" t="n">
        <v>18090.36</v>
      </c>
      <c r="G710" s="24" t="s">
        <v>5951</v>
      </c>
      <c r="H710" s="4" t="s">
        <v>3231</v>
      </c>
      <c r="I710" s="4"/>
    </row>
    <row r="711" customFormat="false" ht="15" hidden="false" customHeight="false" outlineLevel="0" collapsed="false">
      <c r="A711" s="4" t="s">
        <v>3238</v>
      </c>
      <c r="B711" s="23" t="n">
        <v>708</v>
      </c>
      <c r="C711" s="6" t="n">
        <v>46257</v>
      </c>
      <c r="D711" s="4" t="s">
        <v>3240</v>
      </c>
      <c r="E711" s="4" t="s">
        <v>6492</v>
      </c>
      <c r="F711" s="7" t="n">
        <v>23744.02</v>
      </c>
      <c r="G711" s="24" t="s">
        <v>5951</v>
      </c>
      <c r="H711" s="4" t="s">
        <v>3236</v>
      </c>
      <c r="I711" s="4"/>
    </row>
    <row r="712" customFormat="false" ht="15" hidden="false" customHeight="false" outlineLevel="0" collapsed="false">
      <c r="A712" s="4" t="s">
        <v>5615</v>
      </c>
      <c r="B712" s="23" t="n">
        <v>709</v>
      </c>
      <c r="C712" s="6" t="n">
        <v>46257</v>
      </c>
      <c r="D712" s="4" t="s">
        <v>5617</v>
      </c>
      <c r="E712" s="4" t="s">
        <v>7252</v>
      </c>
      <c r="F712" s="7" t="n">
        <v>-54861.93</v>
      </c>
      <c r="G712" s="24" t="s">
        <v>5951</v>
      </c>
      <c r="H712" s="4" t="s">
        <v>5613</v>
      </c>
      <c r="I712" s="4"/>
    </row>
    <row r="713" customFormat="false" ht="15" hidden="false" customHeight="false" outlineLevel="0" collapsed="false">
      <c r="A713" s="4" t="s">
        <v>4287</v>
      </c>
      <c r="B713" s="23" t="n">
        <v>710</v>
      </c>
      <c r="C713" s="6" t="n">
        <v>46257</v>
      </c>
      <c r="D713" s="4" t="s">
        <v>4289</v>
      </c>
      <c r="E713" s="4" t="s">
        <v>7253</v>
      </c>
      <c r="F713" s="7" t="n">
        <v>-31120.01</v>
      </c>
      <c r="G713" s="24" t="s">
        <v>5951</v>
      </c>
      <c r="H713" s="4" t="s">
        <v>4285</v>
      </c>
      <c r="I713" s="4"/>
    </row>
    <row r="714" customFormat="false" ht="15" hidden="false" customHeight="false" outlineLevel="0" collapsed="false">
      <c r="A714" s="4" t="s">
        <v>4292</v>
      </c>
      <c r="B714" s="23" t="n">
        <v>711</v>
      </c>
      <c r="C714" s="6" t="n">
        <v>46257</v>
      </c>
      <c r="D714" s="4" t="s">
        <v>4294</v>
      </c>
      <c r="E714" s="4" t="s">
        <v>7254</v>
      </c>
      <c r="F714" s="7" t="n">
        <v>-35055.71</v>
      </c>
      <c r="G714" s="24" t="s">
        <v>5951</v>
      </c>
      <c r="H714" s="4" t="s">
        <v>4290</v>
      </c>
      <c r="I714" s="4"/>
    </row>
    <row r="715" customFormat="false" ht="15" hidden="false" customHeight="false" outlineLevel="0" collapsed="false">
      <c r="A715" s="4" t="s">
        <v>4787</v>
      </c>
      <c r="B715" s="23" t="n">
        <v>712</v>
      </c>
      <c r="C715" s="6" t="n">
        <v>46257</v>
      </c>
      <c r="D715" s="4" t="s">
        <v>4789</v>
      </c>
      <c r="E715" s="4" t="s">
        <v>7255</v>
      </c>
      <c r="F715" s="7" t="n">
        <v>-19436.78</v>
      </c>
      <c r="G715" s="24" t="s">
        <v>5951</v>
      </c>
      <c r="H715" s="4" t="s">
        <v>4785</v>
      </c>
      <c r="I715" s="4"/>
    </row>
    <row r="716" customFormat="false" ht="15" hidden="false" customHeight="false" outlineLevel="0" collapsed="false">
      <c r="A716" s="4" t="s">
        <v>5191</v>
      </c>
      <c r="B716" s="23" t="n">
        <v>713</v>
      </c>
      <c r="C716" s="6" t="n">
        <v>46257</v>
      </c>
      <c r="D716" s="4" t="s">
        <v>5193</v>
      </c>
      <c r="E716" s="4" t="s">
        <v>7256</v>
      </c>
      <c r="F716" s="7" t="n">
        <v>-41615.38</v>
      </c>
      <c r="G716" s="24" t="s">
        <v>5951</v>
      </c>
      <c r="H716" s="4" t="s">
        <v>5189</v>
      </c>
      <c r="I716" s="4"/>
    </row>
    <row r="717" customFormat="false" ht="15" hidden="false" customHeight="false" outlineLevel="0" collapsed="false">
      <c r="A717" s="4" t="s">
        <v>5620</v>
      </c>
      <c r="B717" s="23" t="n">
        <v>714</v>
      </c>
      <c r="C717" s="6" t="n">
        <v>46257</v>
      </c>
      <c r="D717" s="4" t="s">
        <v>5622</v>
      </c>
      <c r="E717" s="4" t="s">
        <v>7257</v>
      </c>
      <c r="F717" s="7" t="n">
        <v>-23989.56</v>
      </c>
      <c r="G717" s="24" t="s">
        <v>5951</v>
      </c>
      <c r="H717" s="4" t="s">
        <v>5618</v>
      </c>
      <c r="I717" s="4"/>
    </row>
    <row r="718" customFormat="false" ht="15" hidden="false" customHeight="false" outlineLevel="0" collapsed="false">
      <c r="A718" s="4" t="s">
        <v>5791</v>
      </c>
      <c r="B718" s="23" t="n">
        <v>715</v>
      </c>
      <c r="C718" s="6" t="n">
        <v>46257</v>
      </c>
      <c r="D718" s="4" t="s">
        <v>5778</v>
      </c>
      <c r="E718" s="4"/>
      <c r="F718" s="7" t="n">
        <v>-5927.42</v>
      </c>
      <c r="G718" s="24" t="s">
        <v>5951</v>
      </c>
      <c r="H718" s="4" t="s">
        <v>5789</v>
      </c>
      <c r="I718" s="4"/>
    </row>
    <row r="719" customFormat="false" ht="15" hidden="false" customHeight="false" outlineLevel="0" collapsed="false">
      <c r="A719" s="4" t="s">
        <v>3243</v>
      </c>
      <c r="B719" s="23" t="n">
        <v>716</v>
      </c>
      <c r="C719" s="6" t="n">
        <v>46258</v>
      </c>
      <c r="D719" s="4" t="s">
        <v>3245</v>
      </c>
      <c r="E719" s="4" t="s">
        <v>7258</v>
      </c>
      <c r="F719" s="7" t="n">
        <v>23961.33</v>
      </c>
      <c r="G719" s="24" t="s">
        <v>5951</v>
      </c>
      <c r="H719" s="4" t="s">
        <v>3241</v>
      </c>
      <c r="I719" s="4"/>
    </row>
    <row r="720" customFormat="false" ht="15" hidden="false" customHeight="false" outlineLevel="0" collapsed="false">
      <c r="A720" s="4" t="s">
        <v>1512</v>
      </c>
      <c r="B720" s="23" t="n">
        <v>717</v>
      </c>
      <c r="C720" s="6" t="n">
        <v>46258</v>
      </c>
      <c r="D720" s="4" t="s">
        <v>1514</v>
      </c>
      <c r="E720" s="4" t="s">
        <v>6488</v>
      </c>
      <c r="F720" s="7" t="n">
        <v>71560.21</v>
      </c>
      <c r="G720" s="24" t="s">
        <v>5951</v>
      </c>
      <c r="H720" s="4" t="s">
        <v>1510</v>
      </c>
      <c r="I720" s="4"/>
    </row>
    <row r="721" customFormat="false" ht="15" hidden="false" customHeight="false" outlineLevel="0" collapsed="false">
      <c r="A721" s="4" t="s">
        <v>4297</v>
      </c>
      <c r="B721" s="23" t="n">
        <v>718</v>
      </c>
      <c r="C721" s="6" t="n">
        <v>46258</v>
      </c>
      <c r="D721" s="4" t="s">
        <v>4299</v>
      </c>
      <c r="E721" s="4" t="s">
        <v>6506</v>
      </c>
      <c r="F721" s="7" t="n">
        <v>30888.97</v>
      </c>
      <c r="G721" s="24" t="s">
        <v>5951</v>
      </c>
      <c r="H721" s="4" t="s">
        <v>4295</v>
      </c>
      <c r="I721" s="4"/>
    </row>
    <row r="722" customFormat="false" ht="15" hidden="false" customHeight="false" outlineLevel="0" collapsed="false">
      <c r="A722" s="4" t="s">
        <v>1517</v>
      </c>
      <c r="B722" s="23" t="n">
        <v>719</v>
      </c>
      <c r="C722" s="6" t="n">
        <v>46258</v>
      </c>
      <c r="D722" s="4" t="s">
        <v>1519</v>
      </c>
      <c r="E722" s="4" t="s">
        <v>6489</v>
      </c>
      <c r="F722" s="7" t="n">
        <v>66245.54</v>
      </c>
      <c r="G722" s="24" t="s">
        <v>5951</v>
      </c>
      <c r="H722" s="4" t="s">
        <v>1515</v>
      </c>
      <c r="I722" s="4"/>
    </row>
    <row r="723" customFormat="false" ht="15" hidden="false" customHeight="false" outlineLevel="0" collapsed="false">
      <c r="A723" s="4" t="s">
        <v>1522</v>
      </c>
      <c r="B723" s="23" t="n">
        <v>720</v>
      </c>
      <c r="C723" s="6" t="n">
        <v>46258</v>
      </c>
      <c r="D723" s="4" t="s">
        <v>1524</v>
      </c>
      <c r="E723" s="4" t="s">
        <v>6491</v>
      </c>
      <c r="F723" s="7" t="n">
        <v>31390.99</v>
      </c>
      <c r="G723" s="24" t="s">
        <v>5951</v>
      </c>
      <c r="H723" s="4" t="s">
        <v>1520</v>
      </c>
      <c r="I723" s="4"/>
    </row>
    <row r="724" customFormat="false" ht="15" hidden="false" customHeight="false" outlineLevel="0" collapsed="false">
      <c r="A724" s="4" t="s">
        <v>1527</v>
      </c>
      <c r="B724" s="23" t="n">
        <v>721</v>
      </c>
      <c r="C724" s="6" t="n">
        <v>46258</v>
      </c>
      <c r="D724" s="4" t="s">
        <v>1529</v>
      </c>
      <c r="E724" s="4" t="s">
        <v>7259</v>
      </c>
      <c r="F724" s="7" t="n">
        <v>21796.48</v>
      </c>
      <c r="G724" s="24" t="s">
        <v>5951</v>
      </c>
      <c r="H724" s="4" t="s">
        <v>1525</v>
      </c>
      <c r="I724" s="4"/>
    </row>
    <row r="725" customFormat="false" ht="15" hidden="false" customHeight="false" outlineLevel="0" collapsed="false">
      <c r="A725" s="4" t="s">
        <v>4792</v>
      </c>
      <c r="B725" s="23" t="n">
        <v>722</v>
      </c>
      <c r="C725" s="6" t="n">
        <v>46258</v>
      </c>
      <c r="D725" s="4" t="s">
        <v>4794</v>
      </c>
      <c r="E725" s="4" t="s">
        <v>7260</v>
      </c>
      <c r="F725" s="7" t="n">
        <v>-56808.51</v>
      </c>
      <c r="G725" s="24" t="s">
        <v>5951</v>
      </c>
      <c r="H725" s="4" t="s">
        <v>4790</v>
      </c>
      <c r="I725" s="4"/>
    </row>
    <row r="726" customFormat="false" ht="15" hidden="false" customHeight="false" outlineLevel="0" collapsed="false">
      <c r="A726" s="4" t="s">
        <v>5625</v>
      </c>
      <c r="B726" s="23" t="n">
        <v>723</v>
      </c>
      <c r="C726" s="6" t="n">
        <v>46258</v>
      </c>
      <c r="D726" s="4" t="s">
        <v>5627</v>
      </c>
      <c r="E726" s="4" t="s">
        <v>7261</v>
      </c>
      <c r="F726" s="7" t="n">
        <v>-42046.18</v>
      </c>
      <c r="G726" s="24" t="s">
        <v>5951</v>
      </c>
      <c r="H726" s="4" t="s">
        <v>5623</v>
      </c>
      <c r="I726" s="4"/>
    </row>
    <row r="727" customFormat="false" ht="15" hidden="false" customHeight="false" outlineLevel="0" collapsed="false">
      <c r="A727" s="4" t="s">
        <v>3248</v>
      </c>
      <c r="B727" s="23" t="n">
        <v>724</v>
      </c>
      <c r="C727" s="6" t="n">
        <v>46258</v>
      </c>
      <c r="D727" s="4" t="s">
        <v>3250</v>
      </c>
      <c r="E727" s="4" t="s">
        <v>7262</v>
      </c>
      <c r="F727" s="7" t="n">
        <v>-47321.7</v>
      </c>
      <c r="G727" s="24" t="s">
        <v>5951</v>
      </c>
      <c r="H727" s="4" t="s">
        <v>3246</v>
      </c>
      <c r="I727" s="4"/>
    </row>
    <row r="728" customFormat="false" ht="15" hidden="false" customHeight="false" outlineLevel="0" collapsed="false">
      <c r="A728" s="4" t="s">
        <v>5630</v>
      </c>
      <c r="B728" s="23" t="n">
        <v>725</v>
      </c>
      <c r="C728" s="6" t="n">
        <v>46258</v>
      </c>
      <c r="D728" s="4" t="s">
        <v>5632</v>
      </c>
      <c r="E728" s="4" t="s">
        <v>7263</v>
      </c>
      <c r="F728" s="7" t="n">
        <v>-58248.04</v>
      </c>
      <c r="G728" s="24" t="s">
        <v>5951</v>
      </c>
      <c r="H728" s="4" t="s">
        <v>5628</v>
      </c>
      <c r="I728" s="4"/>
    </row>
    <row r="729" customFormat="false" ht="15" hidden="false" customHeight="false" outlineLevel="0" collapsed="false">
      <c r="A729" s="4" t="s">
        <v>4302</v>
      </c>
      <c r="B729" s="23" t="n">
        <v>726</v>
      </c>
      <c r="C729" s="6" t="n">
        <v>46258</v>
      </c>
      <c r="D729" s="4" t="s">
        <v>4304</v>
      </c>
      <c r="E729" s="4" t="s">
        <v>7264</v>
      </c>
      <c r="F729" s="7" t="n">
        <v>-48934.03</v>
      </c>
      <c r="G729" s="24" t="s">
        <v>5951</v>
      </c>
      <c r="H729" s="4" t="s">
        <v>4300</v>
      </c>
      <c r="I729" s="4"/>
    </row>
    <row r="730" customFormat="false" ht="15" hidden="false" customHeight="false" outlineLevel="0" collapsed="false">
      <c r="A730" s="4" t="s">
        <v>4307</v>
      </c>
      <c r="B730" s="23" t="n">
        <v>727</v>
      </c>
      <c r="C730" s="6" t="n">
        <v>46258</v>
      </c>
      <c r="D730" s="4" t="s">
        <v>4309</v>
      </c>
      <c r="E730" s="4" t="s">
        <v>7265</v>
      </c>
      <c r="F730" s="7" t="n">
        <v>-12500.13</v>
      </c>
      <c r="G730" s="24" t="s">
        <v>5951</v>
      </c>
      <c r="H730" s="4" t="s">
        <v>4305</v>
      </c>
      <c r="I730" s="4"/>
    </row>
    <row r="731" customFormat="false" ht="15" hidden="false" customHeight="false" outlineLevel="0" collapsed="false">
      <c r="A731" s="4" t="s">
        <v>1532</v>
      </c>
      <c r="B731" s="23" t="n">
        <v>728</v>
      </c>
      <c r="C731" s="6" t="n">
        <v>46259</v>
      </c>
      <c r="D731" s="4" t="s">
        <v>1534</v>
      </c>
      <c r="E731" s="4" t="s">
        <v>6498</v>
      </c>
      <c r="F731" s="7" t="n">
        <v>88893.48</v>
      </c>
      <c r="G731" s="24" t="s">
        <v>5951</v>
      </c>
      <c r="H731" s="4" t="s">
        <v>1530</v>
      </c>
      <c r="I731" s="4"/>
    </row>
    <row r="732" customFormat="false" ht="15" hidden="false" customHeight="false" outlineLevel="0" collapsed="false">
      <c r="A732" s="4" t="s">
        <v>4312</v>
      </c>
      <c r="B732" s="23" t="n">
        <v>729</v>
      </c>
      <c r="C732" s="6" t="n">
        <v>46259</v>
      </c>
      <c r="D732" s="4" t="s">
        <v>4314</v>
      </c>
      <c r="E732" s="4" t="s">
        <v>6521</v>
      </c>
      <c r="F732" s="7" t="n">
        <v>53948.47</v>
      </c>
      <c r="G732" s="24" t="s">
        <v>5951</v>
      </c>
      <c r="H732" s="4" t="s">
        <v>4310</v>
      </c>
      <c r="I732" s="4"/>
    </row>
    <row r="733" customFormat="false" ht="15" hidden="false" customHeight="false" outlineLevel="0" collapsed="false">
      <c r="A733" s="4" t="s">
        <v>3253</v>
      </c>
      <c r="B733" s="23" t="n">
        <v>730</v>
      </c>
      <c r="C733" s="6" t="n">
        <v>46259</v>
      </c>
      <c r="D733" s="4" t="s">
        <v>3255</v>
      </c>
      <c r="E733" s="4" t="s">
        <v>6508</v>
      </c>
      <c r="F733" s="7" t="n">
        <v>92304.42</v>
      </c>
      <c r="G733" s="24" t="s">
        <v>5951</v>
      </c>
      <c r="H733" s="4" t="s">
        <v>3251</v>
      </c>
      <c r="I733" s="4"/>
    </row>
    <row r="734" customFormat="false" ht="15" hidden="false" customHeight="false" outlineLevel="0" collapsed="false">
      <c r="A734" s="4" t="s">
        <v>4797</v>
      </c>
      <c r="B734" s="23" t="n">
        <v>731</v>
      </c>
      <c r="C734" s="6" t="n">
        <v>46259</v>
      </c>
      <c r="D734" s="4" t="s">
        <v>4799</v>
      </c>
      <c r="E734" s="4" t="s">
        <v>7266</v>
      </c>
      <c r="F734" s="7" t="n">
        <v>-43763.36</v>
      </c>
      <c r="G734" s="24" t="s">
        <v>5951</v>
      </c>
      <c r="H734" s="4" t="s">
        <v>4795</v>
      </c>
      <c r="I734" s="4"/>
    </row>
    <row r="735" customFormat="false" ht="15" hidden="false" customHeight="false" outlineLevel="0" collapsed="false">
      <c r="A735" s="4" t="s">
        <v>4802</v>
      </c>
      <c r="B735" s="23" t="n">
        <v>732</v>
      </c>
      <c r="C735" s="6" t="n">
        <v>46259</v>
      </c>
      <c r="D735" s="4" t="s">
        <v>4804</v>
      </c>
      <c r="E735" s="4" t="s">
        <v>7267</v>
      </c>
      <c r="F735" s="7" t="n">
        <v>-29588.14</v>
      </c>
      <c r="G735" s="24" t="s">
        <v>5951</v>
      </c>
      <c r="H735" s="4" t="s">
        <v>4800</v>
      </c>
      <c r="I735" s="4"/>
    </row>
    <row r="736" customFormat="false" ht="15" hidden="false" customHeight="false" outlineLevel="0" collapsed="false">
      <c r="A736" s="4" t="s">
        <v>4807</v>
      </c>
      <c r="B736" s="23" t="n">
        <v>733</v>
      </c>
      <c r="C736" s="6" t="n">
        <v>46259</v>
      </c>
      <c r="D736" s="4" t="s">
        <v>4809</v>
      </c>
      <c r="E736" s="4" t="s">
        <v>7268</v>
      </c>
      <c r="F736" s="7" t="n">
        <v>-42206.23</v>
      </c>
      <c r="G736" s="24" t="s">
        <v>5951</v>
      </c>
      <c r="H736" s="4" t="s">
        <v>4805</v>
      </c>
      <c r="I736" s="4"/>
    </row>
    <row r="737" customFormat="false" ht="15" hidden="false" customHeight="false" outlineLevel="0" collapsed="false">
      <c r="A737" s="4" t="s">
        <v>5196</v>
      </c>
      <c r="B737" s="23" t="n">
        <v>734</v>
      </c>
      <c r="C737" s="6" t="n">
        <v>46259</v>
      </c>
      <c r="D737" s="4" t="s">
        <v>5198</v>
      </c>
      <c r="E737" s="4" t="s">
        <v>7269</v>
      </c>
      <c r="F737" s="7" t="n">
        <v>-52073.12</v>
      </c>
      <c r="G737" s="24" t="s">
        <v>5951</v>
      </c>
      <c r="H737" s="4" t="s">
        <v>5194</v>
      </c>
      <c r="I737" s="4"/>
    </row>
    <row r="738" customFormat="false" ht="15" hidden="false" customHeight="false" outlineLevel="0" collapsed="false">
      <c r="A738" s="4" t="s">
        <v>456</v>
      </c>
      <c r="B738" s="23" t="n">
        <v>735</v>
      </c>
      <c r="C738" s="6" t="n">
        <v>46259</v>
      </c>
      <c r="D738" s="4" t="s">
        <v>5882</v>
      </c>
      <c r="E738" s="4" t="s">
        <v>457</v>
      </c>
      <c r="F738" s="7" t="n">
        <v>59617.96</v>
      </c>
      <c r="G738" s="25" t="s">
        <v>5987</v>
      </c>
      <c r="H738" s="4" t="s">
        <v>5880</v>
      </c>
      <c r="I738" s="4" t="s">
        <v>454</v>
      </c>
    </row>
    <row r="739" customFormat="false" ht="15" hidden="false" customHeight="false" outlineLevel="0" collapsed="false">
      <c r="A739" s="4" t="s">
        <v>4317</v>
      </c>
      <c r="B739" s="23" t="n">
        <v>736</v>
      </c>
      <c r="C739" s="6" t="n">
        <v>46260</v>
      </c>
      <c r="D739" s="4" t="s">
        <v>4319</v>
      </c>
      <c r="E739" s="4" t="s">
        <v>6536</v>
      </c>
      <c r="F739" s="7" t="n">
        <v>36610.57</v>
      </c>
      <c r="G739" s="24" t="s">
        <v>5951</v>
      </c>
      <c r="H739" s="4" t="s">
        <v>4315</v>
      </c>
      <c r="I739" s="4"/>
    </row>
    <row r="740" customFormat="false" ht="15" hidden="false" customHeight="false" outlineLevel="0" collapsed="false">
      <c r="A740" s="4" t="s">
        <v>1537</v>
      </c>
      <c r="B740" s="23" t="n">
        <v>737</v>
      </c>
      <c r="C740" s="6" t="n">
        <v>46260</v>
      </c>
      <c r="D740" s="4" t="s">
        <v>1539</v>
      </c>
      <c r="E740" s="4" t="s">
        <v>7270</v>
      </c>
      <c r="F740" s="7" t="n">
        <v>73346.81</v>
      </c>
      <c r="G740" s="24" t="s">
        <v>5951</v>
      </c>
      <c r="H740" s="4" t="s">
        <v>1535</v>
      </c>
      <c r="I740" s="4"/>
    </row>
    <row r="741" customFormat="false" ht="15" hidden="false" customHeight="false" outlineLevel="0" collapsed="false">
      <c r="A741" s="4" t="s">
        <v>3258</v>
      </c>
      <c r="B741" s="23" t="n">
        <v>738</v>
      </c>
      <c r="C741" s="6" t="n">
        <v>46260</v>
      </c>
      <c r="D741" s="4" t="s">
        <v>3260</v>
      </c>
      <c r="E741" s="4" t="s">
        <v>6522</v>
      </c>
      <c r="F741" s="7" t="n">
        <v>18598.65</v>
      </c>
      <c r="G741" s="24" t="s">
        <v>5951</v>
      </c>
      <c r="H741" s="4" t="s">
        <v>3256</v>
      </c>
      <c r="I741" s="4"/>
    </row>
    <row r="742" customFormat="false" ht="15" hidden="false" customHeight="false" outlineLevel="0" collapsed="false">
      <c r="A742" s="4" t="s">
        <v>1542</v>
      </c>
      <c r="B742" s="23" t="n">
        <v>739</v>
      </c>
      <c r="C742" s="6" t="n">
        <v>46260</v>
      </c>
      <c r="D742" s="4" t="s">
        <v>1544</v>
      </c>
      <c r="E742" s="4" t="s">
        <v>6507</v>
      </c>
      <c r="F742" s="7" t="n">
        <v>51833.18</v>
      </c>
      <c r="G742" s="24" t="s">
        <v>5951</v>
      </c>
      <c r="H742" s="4" t="s">
        <v>1540</v>
      </c>
      <c r="I742" s="4"/>
    </row>
    <row r="743" customFormat="false" ht="15" hidden="false" customHeight="false" outlineLevel="0" collapsed="false">
      <c r="A743" s="4" t="s">
        <v>3263</v>
      </c>
      <c r="B743" s="23" t="n">
        <v>740</v>
      </c>
      <c r="C743" s="6" t="n">
        <v>46260</v>
      </c>
      <c r="D743" s="4" t="s">
        <v>3265</v>
      </c>
      <c r="E743" s="4" t="s">
        <v>6523</v>
      </c>
      <c r="F743" s="7" t="n">
        <v>90285.92</v>
      </c>
      <c r="G743" s="24" t="s">
        <v>5951</v>
      </c>
      <c r="H743" s="4" t="s">
        <v>3261</v>
      </c>
      <c r="I743" s="4"/>
    </row>
    <row r="744" customFormat="false" ht="15" hidden="false" customHeight="false" outlineLevel="0" collapsed="false">
      <c r="A744" s="4" t="s">
        <v>4322</v>
      </c>
      <c r="B744" s="23" t="n">
        <v>741</v>
      </c>
      <c r="C744" s="6" t="n">
        <v>46260</v>
      </c>
      <c r="D744" s="4" t="s">
        <v>4324</v>
      </c>
      <c r="E744" s="4" t="s">
        <v>6540</v>
      </c>
      <c r="F744" s="7" t="n">
        <v>61862.47</v>
      </c>
      <c r="G744" s="24" t="s">
        <v>5951</v>
      </c>
      <c r="H744" s="4" t="s">
        <v>4320</v>
      </c>
      <c r="I744" s="4"/>
    </row>
    <row r="745" customFormat="false" ht="15" hidden="false" customHeight="false" outlineLevel="0" collapsed="false">
      <c r="A745" s="4" t="s">
        <v>1547</v>
      </c>
      <c r="B745" s="23" t="n">
        <v>742</v>
      </c>
      <c r="C745" s="6" t="n">
        <v>46260</v>
      </c>
      <c r="D745" s="4" t="s">
        <v>1549</v>
      </c>
      <c r="E745" s="4" t="s">
        <v>6509</v>
      </c>
      <c r="F745" s="7" t="n">
        <v>83157.11</v>
      </c>
      <c r="G745" s="24" t="s">
        <v>5951</v>
      </c>
      <c r="H745" s="4" t="s">
        <v>1545</v>
      </c>
      <c r="I745" s="4"/>
    </row>
    <row r="746" customFormat="false" ht="15" hidden="false" customHeight="false" outlineLevel="0" collapsed="false">
      <c r="A746" s="4" t="s">
        <v>5201</v>
      </c>
      <c r="B746" s="23" t="n">
        <v>743</v>
      </c>
      <c r="C746" s="6" t="n">
        <v>46260</v>
      </c>
      <c r="D746" s="4" t="s">
        <v>5203</v>
      </c>
      <c r="E746" s="4" t="s">
        <v>7271</v>
      </c>
      <c r="F746" s="7" t="n">
        <v>-29459.43</v>
      </c>
      <c r="G746" s="24" t="s">
        <v>5951</v>
      </c>
      <c r="H746" s="4" t="s">
        <v>5199</v>
      </c>
      <c r="I746" s="4"/>
    </row>
    <row r="747" customFormat="false" ht="15" hidden="false" customHeight="false" outlineLevel="0" collapsed="false">
      <c r="A747" s="4" t="s">
        <v>3268</v>
      </c>
      <c r="B747" s="23" t="n">
        <v>744</v>
      </c>
      <c r="C747" s="6" t="n">
        <v>46260</v>
      </c>
      <c r="D747" s="4" t="s">
        <v>3270</v>
      </c>
      <c r="E747" s="4" t="s">
        <v>7272</v>
      </c>
      <c r="F747" s="7" t="n">
        <v>-31165.2</v>
      </c>
      <c r="G747" s="24" t="s">
        <v>5951</v>
      </c>
      <c r="H747" s="4" t="s">
        <v>3266</v>
      </c>
      <c r="I747" s="4"/>
    </row>
    <row r="748" customFormat="false" ht="15" hidden="false" customHeight="false" outlineLevel="0" collapsed="false">
      <c r="A748" s="4" t="s">
        <v>3273</v>
      </c>
      <c r="B748" s="23" t="n">
        <v>745</v>
      </c>
      <c r="C748" s="6" t="n">
        <v>46260</v>
      </c>
      <c r="D748" s="4" t="s">
        <v>3275</v>
      </c>
      <c r="E748" s="4" t="s">
        <v>7273</v>
      </c>
      <c r="F748" s="7" t="n">
        <v>-4871.65</v>
      </c>
      <c r="G748" s="24" t="s">
        <v>5951</v>
      </c>
      <c r="H748" s="4" t="s">
        <v>3271</v>
      </c>
      <c r="I748" s="4"/>
    </row>
    <row r="749" customFormat="false" ht="15" hidden="false" customHeight="false" outlineLevel="0" collapsed="false">
      <c r="A749" s="4" t="s">
        <v>3278</v>
      </c>
      <c r="B749" s="23" t="n">
        <v>746</v>
      </c>
      <c r="C749" s="6" t="n">
        <v>46260</v>
      </c>
      <c r="D749" s="4" t="s">
        <v>3280</v>
      </c>
      <c r="E749" s="4" t="s">
        <v>7274</v>
      </c>
      <c r="F749" s="7" t="n">
        <v>-21941.68</v>
      </c>
      <c r="G749" s="24" t="s">
        <v>5951</v>
      </c>
      <c r="H749" s="4" t="s">
        <v>3276</v>
      </c>
      <c r="I749" s="4"/>
    </row>
    <row r="750" customFormat="false" ht="15" hidden="false" customHeight="false" outlineLevel="0" collapsed="false">
      <c r="A750" s="4" t="s">
        <v>1552</v>
      </c>
      <c r="B750" s="23" t="n">
        <v>747</v>
      </c>
      <c r="C750" s="6" t="n">
        <v>46260</v>
      </c>
      <c r="D750" s="4" t="s">
        <v>1554</v>
      </c>
      <c r="E750" s="4" t="s">
        <v>7275</v>
      </c>
      <c r="F750" s="7" t="n">
        <v>-16291.54</v>
      </c>
      <c r="G750" s="24" t="s">
        <v>5951</v>
      </c>
      <c r="H750" s="4" t="s">
        <v>1550</v>
      </c>
      <c r="I750" s="4"/>
    </row>
    <row r="751" customFormat="false" ht="15" hidden="false" customHeight="false" outlineLevel="0" collapsed="false">
      <c r="A751" s="4" t="s">
        <v>1557</v>
      </c>
      <c r="B751" s="23" t="n">
        <v>748</v>
      </c>
      <c r="C751" s="6" t="n">
        <v>46261</v>
      </c>
      <c r="D751" s="4" t="s">
        <v>1559</v>
      </c>
      <c r="E751" s="4" t="s">
        <v>6518</v>
      </c>
      <c r="F751" s="7" t="n">
        <v>21638.14</v>
      </c>
      <c r="G751" s="24" t="s">
        <v>5951</v>
      </c>
      <c r="H751" s="4" t="s">
        <v>1555</v>
      </c>
      <c r="I751" s="4"/>
    </row>
    <row r="752" customFormat="false" ht="15" hidden="false" customHeight="false" outlineLevel="0" collapsed="false">
      <c r="A752" s="4" t="s">
        <v>1562</v>
      </c>
      <c r="B752" s="23" t="n">
        <v>749</v>
      </c>
      <c r="C752" s="6" t="n">
        <v>46261</v>
      </c>
      <c r="D752" s="4" t="s">
        <v>1564</v>
      </c>
      <c r="E752" s="4" t="s">
        <v>6519</v>
      </c>
      <c r="F752" s="7" t="n">
        <v>25602.52</v>
      </c>
      <c r="G752" s="24" t="s">
        <v>5951</v>
      </c>
      <c r="H752" s="4" t="s">
        <v>1560</v>
      </c>
      <c r="I752" s="4"/>
    </row>
    <row r="753" customFormat="false" ht="15" hidden="false" customHeight="false" outlineLevel="0" collapsed="false">
      <c r="A753" s="4" t="s">
        <v>4327</v>
      </c>
      <c r="B753" s="23" t="n">
        <v>750</v>
      </c>
      <c r="C753" s="6" t="n">
        <v>46261</v>
      </c>
      <c r="D753" s="4" t="s">
        <v>4329</v>
      </c>
      <c r="E753" s="4" t="s">
        <v>7276</v>
      </c>
      <c r="F753" s="7" t="n">
        <v>37648.88</v>
      </c>
      <c r="G753" s="24" t="s">
        <v>5951</v>
      </c>
      <c r="H753" s="4" t="s">
        <v>4325</v>
      </c>
      <c r="I753" s="4"/>
    </row>
    <row r="754" customFormat="false" ht="15" hidden="false" customHeight="false" outlineLevel="0" collapsed="false">
      <c r="A754" s="4" t="s">
        <v>3283</v>
      </c>
      <c r="B754" s="23" t="n">
        <v>751</v>
      </c>
      <c r="C754" s="6" t="n">
        <v>46261</v>
      </c>
      <c r="D754" s="4" t="s">
        <v>3285</v>
      </c>
      <c r="E754" s="4" t="s">
        <v>6534</v>
      </c>
      <c r="F754" s="7" t="n">
        <v>90396.28</v>
      </c>
      <c r="G754" s="24" t="s">
        <v>5951</v>
      </c>
      <c r="H754" s="4" t="s">
        <v>3281</v>
      </c>
      <c r="I754" s="4"/>
    </row>
    <row r="755" customFormat="false" ht="15" hidden="false" customHeight="false" outlineLevel="0" collapsed="false">
      <c r="A755" s="4" t="s">
        <v>3288</v>
      </c>
      <c r="B755" s="23" t="n">
        <v>752</v>
      </c>
      <c r="C755" s="6" t="n">
        <v>46261</v>
      </c>
      <c r="D755" s="4" t="s">
        <v>3290</v>
      </c>
      <c r="E755" s="4" t="s">
        <v>7277</v>
      </c>
      <c r="F755" s="7" t="n">
        <v>33620.75</v>
      </c>
      <c r="G755" s="24" t="s">
        <v>5951</v>
      </c>
      <c r="H755" s="4" t="s">
        <v>3286</v>
      </c>
      <c r="I755" s="4"/>
    </row>
    <row r="756" customFormat="false" ht="15" hidden="false" customHeight="false" outlineLevel="0" collapsed="false">
      <c r="A756" s="4" t="s">
        <v>1567</v>
      </c>
      <c r="B756" s="23" t="n">
        <v>753</v>
      </c>
      <c r="C756" s="6" t="n">
        <v>46261</v>
      </c>
      <c r="D756" s="4" t="s">
        <v>1569</v>
      </c>
      <c r="E756" s="4" t="s">
        <v>6520</v>
      </c>
      <c r="F756" s="7" t="n">
        <v>52820.67</v>
      </c>
      <c r="G756" s="24" t="s">
        <v>5951</v>
      </c>
      <c r="H756" s="4" t="s">
        <v>1565</v>
      </c>
      <c r="I756" s="4"/>
    </row>
    <row r="757" customFormat="false" ht="15" hidden="false" customHeight="false" outlineLevel="0" collapsed="false">
      <c r="A757" s="4" t="s">
        <v>1572</v>
      </c>
      <c r="B757" s="23" t="n">
        <v>754</v>
      </c>
      <c r="C757" s="6" t="n">
        <v>46261</v>
      </c>
      <c r="D757" s="4" t="s">
        <v>1574</v>
      </c>
      <c r="E757" s="4" t="s">
        <v>7278</v>
      </c>
      <c r="F757" s="7" t="n">
        <v>68298.95</v>
      </c>
      <c r="G757" s="24" t="s">
        <v>5951</v>
      </c>
      <c r="H757" s="4" t="s">
        <v>1570</v>
      </c>
      <c r="I757" s="4"/>
    </row>
    <row r="758" customFormat="false" ht="15" hidden="false" customHeight="false" outlineLevel="0" collapsed="false">
      <c r="A758" s="4" t="s">
        <v>4332</v>
      </c>
      <c r="B758" s="23" t="n">
        <v>755</v>
      </c>
      <c r="C758" s="6" t="n">
        <v>46261</v>
      </c>
      <c r="D758" s="4" t="s">
        <v>4334</v>
      </c>
      <c r="E758" s="4" t="s">
        <v>6550</v>
      </c>
      <c r="F758" s="7" t="n">
        <v>81962.59</v>
      </c>
      <c r="G758" s="24" t="s">
        <v>5951</v>
      </c>
      <c r="H758" s="4" t="s">
        <v>4330</v>
      </c>
      <c r="I758" s="4"/>
    </row>
    <row r="759" customFormat="false" ht="15" hidden="false" customHeight="false" outlineLevel="0" collapsed="false">
      <c r="A759" s="4" t="s">
        <v>1577</v>
      </c>
      <c r="B759" s="23" t="n">
        <v>756</v>
      </c>
      <c r="C759" s="6" t="n">
        <v>46261</v>
      </c>
      <c r="D759" s="4" t="s">
        <v>1579</v>
      </c>
      <c r="E759" s="4" t="s">
        <v>6524</v>
      </c>
      <c r="F759" s="7" t="n">
        <v>15858.18</v>
      </c>
      <c r="G759" s="24" t="s">
        <v>5951</v>
      </c>
      <c r="H759" s="4" t="s">
        <v>1575</v>
      </c>
      <c r="I759" s="4"/>
    </row>
    <row r="760" customFormat="false" ht="15" hidden="false" customHeight="false" outlineLevel="0" collapsed="false">
      <c r="A760" s="4" t="s">
        <v>4337</v>
      </c>
      <c r="B760" s="23" t="n">
        <v>757</v>
      </c>
      <c r="C760" s="6" t="n">
        <v>46261</v>
      </c>
      <c r="D760" s="4" t="s">
        <v>4339</v>
      </c>
      <c r="E760" s="4" t="s">
        <v>6555</v>
      </c>
      <c r="F760" s="7" t="n">
        <v>19582.05</v>
      </c>
      <c r="G760" s="24" t="s">
        <v>5951</v>
      </c>
      <c r="H760" s="4" t="s">
        <v>4335</v>
      </c>
      <c r="I760" s="4"/>
    </row>
    <row r="761" customFormat="false" ht="15" hidden="false" customHeight="false" outlineLevel="0" collapsed="false">
      <c r="A761" s="4" t="s">
        <v>1582</v>
      </c>
      <c r="B761" s="23" t="n">
        <v>758</v>
      </c>
      <c r="C761" s="6" t="n">
        <v>46261</v>
      </c>
      <c r="D761" s="4" t="s">
        <v>1584</v>
      </c>
      <c r="E761" s="4" t="s">
        <v>7279</v>
      </c>
      <c r="F761" s="7" t="n">
        <v>-40735.47</v>
      </c>
      <c r="G761" s="24" t="s">
        <v>5951</v>
      </c>
      <c r="H761" s="4" t="s">
        <v>1580</v>
      </c>
      <c r="I761" s="4"/>
    </row>
    <row r="762" customFormat="false" ht="15" hidden="false" customHeight="false" outlineLevel="0" collapsed="false">
      <c r="A762" s="4" t="s">
        <v>5206</v>
      </c>
      <c r="B762" s="23" t="n">
        <v>759</v>
      </c>
      <c r="C762" s="6" t="n">
        <v>46261</v>
      </c>
      <c r="D762" s="4" t="s">
        <v>5208</v>
      </c>
      <c r="E762" s="4" t="s">
        <v>7280</v>
      </c>
      <c r="F762" s="7" t="n">
        <v>-21259.17</v>
      </c>
      <c r="G762" s="24" t="s">
        <v>5951</v>
      </c>
      <c r="H762" s="4" t="s">
        <v>5204</v>
      </c>
      <c r="I762" s="4"/>
    </row>
    <row r="763" customFormat="false" ht="15" hidden="false" customHeight="false" outlineLevel="0" collapsed="false">
      <c r="A763" s="4" t="s">
        <v>5635</v>
      </c>
      <c r="B763" s="23" t="n">
        <v>760</v>
      </c>
      <c r="C763" s="6" t="n">
        <v>46261</v>
      </c>
      <c r="D763" s="4" t="s">
        <v>5637</v>
      </c>
      <c r="E763" s="4" t="s">
        <v>7281</v>
      </c>
      <c r="F763" s="7" t="n">
        <v>-12664.51</v>
      </c>
      <c r="G763" s="24" t="s">
        <v>5951</v>
      </c>
      <c r="H763" s="4" t="s">
        <v>5633</v>
      </c>
      <c r="I763" s="4"/>
    </row>
    <row r="764" customFormat="false" ht="15" hidden="false" customHeight="false" outlineLevel="0" collapsed="false">
      <c r="A764" s="4" t="s">
        <v>1587</v>
      </c>
      <c r="B764" s="23" t="n">
        <v>761</v>
      </c>
      <c r="C764" s="6" t="n">
        <v>46261</v>
      </c>
      <c r="D764" s="4" t="s">
        <v>199</v>
      </c>
      <c r="E764" s="4" t="s">
        <v>198</v>
      </c>
      <c r="F764" s="7" t="n">
        <v>-21584.07</v>
      </c>
      <c r="G764" s="24" t="s">
        <v>5951</v>
      </c>
      <c r="H764" s="4" t="s">
        <v>1585</v>
      </c>
      <c r="I764" s="4"/>
    </row>
    <row r="765" customFormat="false" ht="15" hidden="false" customHeight="false" outlineLevel="0" collapsed="false">
      <c r="A765" s="4" t="s">
        <v>4812</v>
      </c>
      <c r="B765" s="23" t="n">
        <v>762</v>
      </c>
      <c r="C765" s="6" t="n">
        <v>46261</v>
      </c>
      <c r="D765" s="4" t="s">
        <v>4814</v>
      </c>
      <c r="E765" s="4" t="s">
        <v>7282</v>
      </c>
      <c r="F765" s="7" t="n">
        <v>-41728.68</v>
      </c>
      <c r="G765" s="24" t="s">
        <v>5951</v>
      </c>
      <c r="H765" s="4" t="s">
        <v>4810</v>
      </c>
      <c r="I765" s="4"/>
    </row>
    <row r="766" customFormat="false" ht="15" hidden="false" customHeight="false" outlineLevel="0" collapsed="false">
      <c r="A766" s="4" t="s">
        <v>3293</v>
      </c>
      <c r="B766" s="23" t="n">
        <v>763</v>
      </c>
      <c r="C766" s="6" t="n">
        <v>46261</v>
      </c>
      <c r="D766" s="4" t="s">
        <v>3295</v>
      </c>
      <c r="E766" s="4" t="s">
        <v>7283</v>
      </c>
      <c r="F766" s="7" t="n">
        <v>-3337.81</v>
      </c>
      <c r="G766" s="24" t="s">
        <v>5951</v>
      </c>
      <c r="H766" s="4" t="s">
        <v>3291</v>
      </c>
      <c r="I766" s="4"/>
    </row>
    <row r="767" customFormat="false" ht="15" hidden="false" customHeight="false" outlineLevel="0" collapsed="false">
      <c r="A767" s="4" t="s">
        <v>5640</v>
      </c>
      <c r="B767" s="23" t="n">
        <v>764</v>
      </c>
      <c r="C767" s="6" t="n">
        <v>46261</v>
      </c>
      <c r="D767" s="4" t="s">
        <v>5642</v>
      </c>
      <c r="E767" s="4" t="s">
        <v>7284</v>
      </c>
      <c r="F767" s="7" t="n">
        <v>-41853.43</v>
      </c>
      <c r="G767" s="24" t="s">
        <v>5951</v>
      </c>
      <c r="H767" s="4" t="s">
        <v>5638</v>
      </c>
      <c r="I767" s="4"/>
    </row>
    <row r="768" customFormat="false" ht="15" hidden="false" customHeight="false" outlineLevel="0" collapsed="false">
      <c r="A768" s="4" t="s">
        <v>197</v>
      </c>
      <c r="B768" s="23" t="n">
        <v>765</v>
      </c>
      <c r="C768" s="6" t="n">
        <v>46261</v>
      </c>
      <c r="D768" s="4" t="s">
        <v>199</v>
      </c>
      <c r="E768" s="4" t="s">
        <v>198</v>
      </c>
      <c r="F768" s="7" t="n">
        <v>-21584.07</v>
      </c>
      <c r="G768" s="26" t="s">
        <v>6043</v>
      </c>
      <c r="H768" s="4"/>
      <c r="I768" s="4" t="s">
        <v>196</v>
      </c>
    </row>
    <row r="769" customFormat="false" ht="15" hidden="false" customHeight="false" outlineLevel="0" collapsed="false">
      <c r="A769" s="4" t="s">
        <v>3298</v>
      </c>
      <c r="B769" s="23" t="n">
        <v>766</v>
      </c>
      <c r="C769" s="6" t="n">
        <v>46262</v>
      </c>
      <c r="D769" s="4" t="s">
        <v>3300</v>
      </c>
      <c r="E769" s="4" t="s">
        <v>6547</v>
      </c>
      <c r="F769" s="7" t="n">
        <v>45835.37</v>
      </c>
      <c r="G769" s="24" t="s">
        <v>5951</v>
      </c>
      <c r="H769" s="4" t="s">
        <v>3296</v>
      </c>
      <c r="I769" s="4"/>
    </row>
    <row r="770" customFormat="false" ht="15" hidden="false" customHeight="false" outlineLevel="0" collapsed="false">
      <c r="A770" s="4" t="s">
        <v>4342</v>
      </c>
      <c r="B770" s="23" t="n">
        <v>767</v>
      </c>
      <c r="C770" s="6" t="n">
        <v>46262</v>
      </c>
      <c r="D770" s="4" t="s">
        <v>4344</v>
      </c>
      <c r="E770" s="4" t="s">
        <v>6561</v>
      </c>
      <c r="F770" s="7" t="n">
        <v>35548.13</v>
      </c>
      <c r="G770" s="24" t="s">
        <v>5951</v>
      </c>
      <c r="H770" s="4" t="s">
        <v>4340</v>
      </c>
      <c r="I770" s="4"/>
    </row>
    <row r="771" customFormat="false" ht="15" hidden="false" customHeight="false" outlineLevel="0" collapsed="false">
      <c r="A771" s="4" t="s">
        <v>1591</v>
      </c>
      <c r="B771" s="23" t="n">
        <v>768</v>
      </c>
      <c r="C771" s="6" t="n">
        <v>46262</v>
      </c>
      <c r="D771" s="4" t="s">
        <v>1593</v>
      </c>
      <c r="E771" s="4" t="s">
        <v>6535</v>
      </c>
      <c r="F771" s="7" t="n">
        <v>74757.69</v>
      </c>
      <c r="G771" s="24" t="s">
        <v>5951</v>
      </c>
      <c r="H771" s="4" t="s">
        <v>1589</v>
      </c>
      <c r="I771" s="4"/>
    </row>
    <row r="772" customFormat="false" ht="15" hidden="false" customHeight="false" outlineLevel="0" collapsed="false">
      <c r="A772" s="4" t="s">
        <v>1596</v>
      </c>
      <c r="B772" s="23" t="n">
        <v>769</v>
      </c>
      <c r="C772" s="6" t="n">
        <v>46262</v>
      </c>
      <c r="D772" s="4" t="s">
        <v>1598</v>
      </c>
      <c r="E772" s="4" t="s">
        <v>6537</v>
      </c>
      <c r="F772" s="7" t="n">
        <v>59444.92</v>
      </c>
      <c r="G772" s="24" t="s">
        <v>5951</v>
      </c>
      <c r="H772" s="4" t="s">
        <v>1594</v>
      </c>
      <c r="I772" s="4"/>
    </row>
    <row r="773" customFormat="false" ht="15" hidden="false" customHeight="false" outlineLevel="0" collapsed="false">
      <c r="A773" s="4" t="s">
        <v>1601</v>
      </c>
      <c r="B773" s="23" t="n">
        <v>770</v>
      </c>
      <c r="C773" s="6" t="n">
        <v>46262</v>
      </c>
      <c r="D773" s="4" t="s">
        <v>1603</v>
      </c>
      <c r="E773" s="4" t="s">
        <v>6538</v>
      </c>
      <c r="F773" s="7" t="n">
        <v>41969.35</v>
      </c>
      <c r="G773" s="24" t="s">
        <v>5951</v>
      </c>
      <c r="H773" s="4" t="s">
        <v>1599</v>
      </c>
      <c r="I773" s="4"/>
    </row>
    <row r="774" customFormat="false" ht="15" hidden="false" customHeight="false" outlineLevel="0" collapsed="false">
      <c r="A774" s="4" t="s">
        <v>4347</v>
      </c>
      <c r="B774" s="23" t="n">
        <v>771</v>
      </c>
      <c r="C774" s="6" t="n">
        <v>46262</v>
      </c>
      <c r="D774" s="4" t="s">
        <v>4349</v>
      </c>
      <c r="E774" s="4" t="s">
        <v>7285</v>
      </c>
      <c r="F774" s="7" t="n">
        <v>80938.67</v>
      </c>
      <c r="G774" s="24" t="s">
        <v>5951</v>
      </c>
      <c r="H774" s="4" t="s">
        <v>4345</v>
      </c>
      <c r="I774" s="4"/>
    </row>
    <row r="775" customFormat="false" ht="15" hidden="false" customHeight="false" outlineLevel="0" collapsed="false">
      <c r="A775" s="4" t="s">
        <v>1606</v>
      </c>
      <c r="B775" s="23" t="n">
        <v>772</v>
      </c>
      <c r="C775" s="6" t="n">
        <v>46262</v>
      </c>
      <c r="D775" s="4" t="s">
        <v>1608</v>
      </c>
      <c r="E775" s="4" t="s">
        <v>6539</v>
      </c>
      <c r="F775" s="7" t="n">
        <v>40752.08</v>
      </c>
      <c r="G775" s="24" t="s">
        <v>5951</v>
      </c>
      <c r="H775" s="4" t="s">
        <v>1604</v>
      </c>
      <c r="I775" s="4"/>
    </row>
    <row r="776" customFormat="false" ht="15" hidden="false" customHeight="false" outlineLevel="0" collapsed="false">
      <c r="A776" s="4" t="s">
        <v>1611</v>
      </c>
      <c r="B776" s="23" t="n">
        <v>773</v>
      </c>
      <c r="C776" s="6" t="n">
        <v>46262</v>
      </c>
      <c r="D776" s="4" t="s">
        <v>1613</v>
      </c>
      <c r="E776" s="4" t="s">
        <v>7286</v>
      </c>
      <c r="F776" s="7" t="n">
        <v>64364.2</v>
      </c>
      <c r="G776" s="24" t="s">
        <v>5951</v>
      </c>
      <c r="H776" s="4" t="s">
        <v>1609</v>
      </c>
      <c r="I776" s="4"/>
    </row>
    <row r="777" customFormat="false" ht="15" hidden="false" customHeight="false" outlineLevel="0" collapsed="false">
      <c r="A777" s="4" t="s">
        <v>3303</v>
      </c>
      <c r="B777" s="23" t="n">
        <v>774</v>
      </c>
      <c r="C777" s="6" t="n">
        <v>46262</v>
      </c>
      <c r="D777" s="4" t="s">
        <v>3305</v>
      </c>
      <c r="E777" s="4" t="s">
        <v>6554</v>
      </c>
      <c r="F777" s="7" t="n">
        <v>54278.98</v>
      </c>
      <c r="G777" s="24" t="s">
        <v>5951</v>
      </c>
      <c r="H777" s="4" t="s">
        <v>3301</v>
      </c>
      <c r="I777" s="4"/>
    </row>
    <row r="778" customFormat="false" ht="15" hidden="false" customHeight="false" outlineLevel="0" collapsed="false">
      <c r="A778" s="4" t="s">
        <v>3308</v>
      </c>
      <c r="B778" s="23" t="n">
        <v>775</v>
      </c>
      <c r="C778" s="6" t="n">
        <v>46262</v>
      </c>
      <c r="D778" s="4" t="s">
        <v>3310</v>
      </c>
      <c r="E778" s="4" t="s">
        <v>6556</v>
      </c>
      <c r="F778" s="7" t="n">
        <v>81355.05</v>
      </c>
      <c r="G778" s="24" t="s">
        <v>5951</v>
      </c>
      <c r="H778" s="4" t="s">
        <v>3306</v>
      </c>
      <c r="I778" s="4"/>
    </row>
    <row r="779" customFormat="false" ht="15" hidden="false" customHeight="false" outlineLevel="0" collapsed="false">
      <c r="A779" s="4" t="s">
        <v>4352</v>
      </c>
      <c r="B779" s="23" t="n">
        <v>776</v>
      </c>
      <c r="C779" s="6" t="n">
        <v>46262</v>
      </c>
      <c r="D779" s="4" t="s">
        <v>4354</v>
      </c>
      <c r="E779" s="4" t="s">
        <v>7287</v>
      </c>
      <c r="F779" s="7" t="n">
        <v>-866.72</v>
      </c>
      <c r="G779" s="24" t="s">
        <v>5951</v>
      </c>
      <c r="H779" s="4" t="s">
        <v>4350</v>
      </c>
      <c r="I779" s="4"/>
    </row>
    <row r="780" customFormat="false" ht="15" hidden="false" customHeight="false" outlineLevel="0" collapsed="false">
      <c r="A780" s="4" t="s">
        <v>5211</v>
      </c>
      <c r="B780" s="23" t="n">
        <v>777</v>
      </c>
      <c r="C780" s="6" t="n">
        <v>46262</v>
      </c>
      <c r="D780" s="4" t="s">
        <v>5213</v>
      </c>
      <c r="E780" s="4" t="s">
        <v>7288</v>
      </c>
      <c r="F780" s="7" t="n">
        <v>-46470.05</v>
      </c>
      <c r="G780" s="24" t="s">
        <v>5951</v>
      </c>
      <c r="H780" s="4" t="s">
        <v>5209</v>
      </c>
      <c r="I780" s="4"/>
    </row>
    <row r="781" customFormat="false" ht="15" hidden="false" customHeight="false" outlineLevel="0" collapsed="false">
      <c r="A781" s="4" t="s">
        <v>3313</v>
      </c>
      <c r="B781" s="23" t="n">
        <v>778</v>
      </c>
      <c r="C781" s="6" t="n">
        <v>46263</v>
      </c>
      <c r="D781" s="4" t="s">
        <v>3315</v>
      </c>
      <c r="E781" s="4" t="s">
        <v>7289</v>
      </c>
      <c r="F781" s="7" t="n">
        <v>34924.48</v>
      </c>
      <c r="G781" s="24" t="s">
        <v>5951</v>
      </c>
      <c r="H781" s="4" t="s">
        <v>3311</v>
      </c>
      <c r="I781" s="4"/>
    </row>
    <row r="782" customFormat="false" ht="15" hidden="false" customHeight="false" outlineLevel="0" collapsed="false">
      <c r="A782" s="4" t="s">
        <v>1616</v>
      </c>
      <c r="B782" s="23" t="n">
        <v>779</v>
      </c>
      <c r="C782" s="6" t="n">
        <v>46263</v>
      </c>
      <c r="D782" s="4" t="s">
        <v>1618</v>
      </c>
      <c r="E782" s="4" t="s">
        <v>6548</v>
      </c>
      <c r="F782" s="7" t="n">
        <v>84220.62</v>
      </c>
      <c r="G782" s="24" t="s">
        <v>5951</v>
      </c>
      <c r="H782" s="4" t="s">
        <v>1614</v>
      </c>
      <c r="I782" s="4"/>
    </row>
    <row r="783" customFormat="false" ht="15" hidden="false" customHeight="false" outlineLevel="0" collapsed="false">
      <c r="A783" s="4" t="s">
        <v>1621</v>
      </c>
      <c r="B783" s="23" t="n">
        <v>780</v>
      </c>
      <c r="C783" s="6" t="n">
        <v>46263</v>
      </c>
      <c r="D783" s="4" t="s">
        <v>1623</v>
      </c>
      <c r="E783" s="4" t="s">
        <v>6549</v>
      </c>
      <c r="F783" s="7" t="n">
        <v>89101.1</v>
      </c>
      <c r="G783" s="24" t="s">
        <v>5951</v>
      </c>
      <c r="H783" s="4" t="s">
        <v>1619</v>
      </c>
      <c r="I783" s="4"/>
    </row>
    <row r="784" customFormat="false" ht="15" hidden="false" customHeight="false" outlineLevel="0" collapsed="false">
      <c r="A784" s="4" t="s">
        <v>1626</v>
      </c>
      <c r="B784" s="23" t="n">
        <v>781</v>
      </c>
      <c r="C784" s="6" t="n">
        <v>46263</v>
      </c>
      <c r="D784" s="4" t="s">
        <v>1628</v>
      </c>
      <c r="E784" s="4" t="s">
        <v>6551</v>
      </c>
      <c r="F784" s="7" t="n">
        <v>80687.79</v>
      </c>
      <c r="G784" s="24" t="s">
        <v>5951</v>
      </c>
      <c r="H784" s="4" t="s">
        <v>1624</v>
      </c>
      <c r="I784" s="4"/>
    </row>
    <row r="785" customFormat="false" ht="15" hidden="false" customHeight="false" outlineLevel="0" collapsed="false">
      <c r="A785" s="4" t="s">
        <v>1631</v>
      </c>
      <c r="B785" s="23" t="n">
        <v>782</v>
      </c>
      <c r="C785" s="6" t="n">
        <v>46263</v>
      </c>
      <c r="D785" s="4" t="s">
        <v>1633</v>
      </c>
      <c r="E785" s="4" t="s">
        <v>6552</v>
      </c>
      <c r="F785" s="7" t="n">
        <v>14597.25</v>
      </c>
      <c r="G785" s="24" t="s">
        <v>5951</v>
      </c>
      <c r="H785" s="4" t="s">
        <v>1629</v>
      </c>
      <c r="I785" s="4"/>
    </row>
    <row r="786" customFormat="false" ht="15" hidden="false" customHeight="false" outlineLevel="0" collapsed="false">
      <c r="A786" s="4" t="s">
        <v>1636</v>
      </c>
      <c r="B786" s="23" t="n">
        <v>783</v>
      </c>
      <c r="C786" s="6" t="n">
        <v>46263</v>
      </c>
      <c r="D786" s="4" t="s">
        <v>1638</v>
      </c>
      <c r="E786" s="4" t="s">
        <v>6553</v>
      </c>
      <c r="F786" s="7" t="n">
        <v>65344.9</v>
      </c>
      <c r="G786" s="24" t="s">
        <v>5951</v>
      </c>
      <c r="H786" s="4" t="s">
        <v>1634</v>
      </c>
      <c r="I786" s="4"/>
    </row>
    <row r="787" customFormat="false" ht="15" hidden="false" customHeight="false" outlineLevel="0" collapsed="false">
      <c r="A787" s="4" t="s">
        <v>1641</v>
      </c>
      <c r="B787" s="23" t="n">
        <v>784</v>
      </c>
      <c r="C787" s="6" t="n">
        <v>46263</v>
      </c>
      <c r="D787" s="4" t="s">
        <v>1643</v>
      </c>
      <c r="E787" s="4" t="s">
        <v>7290</v>
      </c>
      <c r="F787" s="7" t="n">
        <v>37193.49</v>
      </c>
      <c r="G787" s="24" t="s">
        <v>5951</v>
      </c>
      <c r="H787" s="4" t="s">
        <v>1639</v>
      </c>
      <c r="I787" s="4"/>
    </row>
    <row r="788" customFormat="false" ht="15" hidden="false" customHeight="false" outlineLevel="0" collapsed="false">
      <c r="A788" s="4" t="s">
        <v>5645</v>
      </c>
      <c r="B788" s="23" t="n">
        <v>785</v>
      </c>
      <c r="C788" s="6" t="n">
        <v>46263</v>
      </c>
      <c r="D788" s="4" t="s">
        <v>5647</v>
      </c>
      <c r="E788" s="4" t="s">
        <v>7291</v>
      </c>
      <c r="F788" s="7" t="n">
        <v>-21675.95</v>
      </c>
      <c r="G788" s="24" t="s">
        <v>5951</v>
      </c>
      <c r="H788" s="4" t="s">
        <v>5643</v>
      </c>
      <c r="I788" s="4"/>
    </row>
    <row r="789" customFormat="false" ht="15" hidden="false" customHeight="false" outlineLevel="0" collapsed="false">
      <c r="A789" s="4" t="s">
        <v>3318</v>
      </c>
      <c r="B789" s="23" t="n">
        <v>786</v>
      </c>
      <c r="C789" s="6" t="n">
        <v>46263</v>
      </c>
      <c r="D789" s="4" t="s">
        <v>3320</v>
      </c>
      <c r="E789" s="4" t="s">
        <v>7292</v>
      </c>
      <c r="F789" s="7" t="n">
        <v>-2003.18</v>
      </c>
      <c r="G789" s="24" t="s">
        <v>5951</v>
      </c>
      <c r="H789" s="4" t="s">
        <v>3316</v>
      </c>
      <c r="I789" s="4"/>
    </row>
    <row r="790" customFormat="false" ht="15" hidden="false" customHeight="false" outlineLevel="0" collapsed="false">
      <c r="A790" s="4" t="s">
        <v>4817</v>
      </c>
      <c r="B790" s="23" t="n">
        <v>787</v>
      </c>
      <c r="C790" s="6" t="n">
        <v>46263</v>
      </c>
      <c r="D790" s="4" t="s">
        <v>4819</v>
      </c>
      <c r="E790" s="4" t="s">
        <v>7293</v>
      </c>
      <c r="F790" s="7" t="n">
        <v>-3212.02</v>
      </c>
      <c r="G790" s="24" t="s">
        <v>5951</v>
      </c>
      <c r="H790" s="4" t="s">
        <v>4815</v>
      </c>
      <c r="I790" s="4"/>
    </row>
    <row r="791" customFormat="false" ht="15" hidden="false" customHeight="false" outlineLevel="0" collapsed="false">
      <c r="A791" s="4" t="s">
        <v>4357</v>
      </c>
      <c r="B791" s="23" t="n">
        <v>788</v>
      </c>
      <c r="C791" s="6" t="n">
        <v>46263</v>
      </c>
      <c r="D791" s="4" t="s">
        <v>4359</v>
      </c>
      <c r="E791" s="4" t="s">
        <v>7294</v>
      </c>
      <c r="F791" s="7" t="n">
        <v>-49241.2</v>
      </c>
      <c r="G791" s="24" t="s">
        <v>5951</v>
      </c>
      <c r="H791" s="4" t="s">
        <v>4355</v>
      </c>
      <c r="I791" s="4"/>
    </row>
    <row r="792" customFormat="false" ht="15" hidden="false" customHeight="false" outlineLevel="0" collapsed="false">
      <c r="A792" s="4" t="s">
        <v>4362</v>
      </c>
      <c r="B792" s="23" t="n">
        <v>789</v>
      </c>
      <c r="C792" s="6" t="n">
        <v>46263</v>
      </c>
      <c r="D792" s="4" t="s">
        <v>4364</v>
      </c>
      <c r="E792" s="4" t="s">
        <v>7295</v>
      </c>
      <c r="F792" s="7" t="n">
        <v>-21532.64</v>
      </c>
      <c r="G792" s="24" t="s">
        <v>5951</v>
      </c>
      <c r="H792" s="4" t="s">
        <v>4360</v>
      </c>
      <c r="I792" s="4"/>
    </row>
    <row r="793" customFormat="false" ht="15" hidden="false" customHeight="false" outlineLevel="0" collapsed="false">
      <c r="A793" s="4" t="s">
        <v>5650</v>
      </c>
      <c r="B793" s="23" t="n">
        <v>790</v>
      </c>
      <c r="C793" s="6" t="n">
        <v>46263</v>
      </c>
      <c r="D793" s="4" t="s">
        <v>5652</v>
      </c>
      <c r="E793" s="4" t="s">
        <v>7296</v>
      </c>
      <c r="F793" s="7" t="n">
        <v>-22741.52</v>
      </c>
      <c r="G793" s="24" t="s">
        <v>5951</v>
      </c>
      <c r="H793" s="4" t="s">
        <v>5648</v>
      </c>
      <c r="I793" s="4"/>
    </row>
    <row r="794" customFormat="false" ht="15" hidden="false" customHeight="false" outlineLevel="0" collapsed="false">
      <c r="A794" s="4" t="s">
        <v>1646</v>
      </c>
      <c r="B794" s="23" t="n">
        <v>791</v>
      </c>
      <c r="C794" s="6" t="n">
        <v>46264</v>
      </c>
      <c r="D794" s="4" t="s">
        <v>1648</v>
      </c>
      <c r="E794" s="4" t="s">
        <v>6560</v>
      </c>
      <c r="F794" s="7" t="n">
        <v>12398.46</v>
      </c>
      <c r="G794" s="24" t="s">
        <v>5951</v>
      </c>
      <c r="H794" s="4" t="s">
        <v>1644</v>
      </c>
      <c r="I794" s="4"/>
    </row>
    <row r="795" customFormat="false" ht="15" hidden="false" customHeight="false" outlineLevel="0" collapsed="false">
      <c r="A795" s="4" t="s">
        <v>1651</v>
      </c>
      <c r="B795" s="23" t="n">
        <v>792</v>
      </c>
      <c r="C795" s="6" t="n">
        <v>46264</v>
      </c>
      <c r="D795" s="4" t="s">
        <v>1653</v>
      </c>
      <c r="E795" s="4" t="s">
        <v>6562</v>
      </c>
      <c r="F795" s="7" t="n">
        <v>92987.57</v>
      </c>
      <c r="G795" s="24" t="s">
        <v>5951</v>
      </c>
      <c r="H795" s="4" t="s">
        <v>1649</v>
      </c>
      <c r="I795" s="4"/>
    </row>
    <row r="796" customFormat="false" ht="15" hidden="false" customHeight="false" outlineLevel="0" collapsed="false">
      <c r="A796" s="4" t="s">
        <v>4367</v>
      </c>
      <c r="B796" s="23" t="n">
        <v>793</v>
      </c>
      <c r="C796" s="6" t="n">
        <v>46264</v>
      </c>
      <c r="D796" s="4" t="s">
        <v>4369</v>
      </c>
      <c r="E796" s="4" t="s">
        <v>6584</v>
      </c>
      <c r="F796" s="7" t="n">
        <v>68275.08</v>
      </c>
      <c r="G796" s="24" t="s">
        <v>5951</v>
      </c>
      <c r="H796" s="4" t="s">
        <v>4365</v>
      </c>
      <c r="I796" s="4"/>
    </row>
    <row r="797" customFormat="false" ht="15" hidden="false" customHeight="false" outlineLevel="0" collapsed="false">
      <c r="A797" s="4" t="s">
        <v>1656</v>
      </c>
      <c r="B797" s="23" t="n">
        <v>794</v>
      </c>
      <c r="C797" s="6" t="n">
        <v>46264</v>
      </c>
      <c r="D797" s="4" t="s">
        <v>1658</v>
      </c>
      <c r="E797" s="4" t="s">
        <v>6563</v>
      </c>
      <c r="F797" s="7" t="n">
        <v>70833.42</v>
      </c>
      <c r="G797" s="24" t="s">
        <v>5951</v>
      </c>
      <c r="H797" s="4" t="s">
        <v>1654</v>
      </c>
      <c r="I797" s="4"/>
    </row>
    <row r="798" customFormat="false" ht="15" hidden="false" customHeight="false" outlineLevel="0" collapsed="false">
      <c r="A798" s="4" t="s">
        <v>3323</v>
      </c>
      <c r="B798" s="23" t="n">
        <v>795</v>
      </c>
      <c r="C798" s="6" t="n">
        <v>46264</v>
      </c>
      <c r="D798" s="4" t="s">
        <v>3325</v>
      </c>
      <c r="E798" s="4" t="s">
        <v>6572</v>
      </c>
      <c r="F798" s="7" t="n">
        <v>24515.7</v>
      </c>
      <c r="G798" s="24" t="s">
        <v>5951</v>
      </c>
      <c r="H798" s="4" t="s">
        <v>3321</v>
      </c>
      <c r="I798" s="4"/>
    </row>
    <row r="799" customFormat="false" ht="15" hidden="false" customHeight="false" outlineLevel="0" collapsed="false">
      <c r="A799" s="4" t="s">
        <v>1661</v>
      </c>
      <c r="B799" s="23" t="n">
        <v>796</v>
      </c>
      <c r="C799" s="6" t="n">
        <v>46264</v>
      </c>
      <c r="D799" s="4" t="s">
        <v>1663</v>
      </c>
      <c r="E799" s="4" t="s">
        <v>6564</v>
      </c>
      <c r="F799" s="7" t="n">
        <v>12414.58</v>
      </c>
      <c r="G799" s="24" t="s">
        <v>5951</v>
      </c>
      <c r="H799" s="4" t="s">
        <v>1659</v>
      </c>
      <c r="I799" s="4"/>
    </row>
    <row r="800" customFormat="false" ht="15" hidden="false" customHeight="false" outlineLevel="0" collapsed="false">
      <c r="A800" s="4" t="s">
        <v>3328</v>
      </c>
      <c r="B800" s="23" t="n">
        <v>797</v>
      </c>
      <c r="C800" s="6" t="n">
        <v>46264</v>
      </c>
      <c r="D800" s="4" t="s">
        <v>3330</v>
      </c>
      <c r="E800" s="4" t="s">
        <v>6575</v>
      </c>
      <c r="F800" s="7" t="n">
        <v>71381.66</v>
      </c>
      <c r="G800" s="24" t="s">
        <v>5951</v>
      </c>
      <c r="H800" s="4" t="s">
        <v>3326</v>
      </c>
      <c r="I800" s="4"/>
    </row>
    <row r="801" customFormat="false" ht="15" hidden="false" customHeight="false" outlineLevel="0" collapsed="false">
      <c r="A801" s="4" t="s">
        <v>5216</v>
      </c>
      <c r="B801" s="23" t="n">
        <v>798</v>
      </c>
      <c r="C801" s="6" t="n">
        <v>46264</v>
      </c>
      <c r="D801" s="4" t="s">
        <v>5218</v>
      </c>
      <c r="E801" s="4" t="s">
        <v>7297</v>
      </c>
      <c r="F801" s="7" t="n">
        <v>-12879.51</v>
      </c>
      <c r="G801" s="24" t="s">
        <v>5951</v>
      </c>
      <c r="H801" s="4" t="s">
        <v>5214</v>
      </c>
      <c r="I801" s="4"/>
    </row>
    <row r="802" customFormat="false" ht="15" hidden="false" customHeight="false" outlineLevel="0" collapsed="false">
      <c r="A802" s="4" t="s">
        <v>3333</v>
      </c>
      <c r="B802" s="23" t="n">
        <v>799</v>
      </c>
      <c r="C802" s="6" t="n">
        <v>46264</v>
      </c>
      <c r="D802" s="4" t="s">
        <v>3335</v>
      </c>
      <c r="E802" s="4" t="s">
        <v>7298</v>
      </c>
      <c r="F802" s="7" t="n">
        <v>-36197.97</v>
      </c>
      <c r="G802" s="24" t="s">
        <v>5951</v>
      </c>
      <c r="H802" s="4" t="s">
        <v>3331</v>
      </c>
      <c r="I802" s="4"/>
    </row>
    <row r="803" customFormat="false" ht="15" hidden="false" customHeight="false" outlineLevel="0" collapsed="false">
      <c r="A803" s="4" t="s">
        <v>1666</v>
      </c>
      <c r="B803" s="23" t="n">
        <v>800</v>
      </c>
      <c r="C803" s="6" t="n">
        <v>46264</v>
      </c>
      <c r="D803" s="4" t="s">
        <v>1668</v>
      </c>
      <c r="E803" s="4" t="s">
        <v>7299</v>
      </c>
      <c r="F803" s="7" t="n">
        <v>-1037.9</v>
      </c>
      <c r="G803" s="24" t="s">
        <v>5951</v>
      </c>
      <c r="H803" s="4" t="s">
        <v>1664</v>
      </c>
      <c r="I803" s="4"/>
    </row>
    <row r="804" customFormat="false" ht="15" hidden="false" customHeight="false" outlineLevel="0" collapsed="false">
      <c r="A804" s="4" t="s">
        <v>5655</v>
      </c>
      <c r="B804" s="23" t="n">
        <v>801</v>
      </c>
      <c r="C804" s="6" t="n">
        <v>46264</v>
      </c>
      <c r="D804" s="4" t="s">
        <v>5657</v>
      </c>
      <c r="E804" s="4" t="s">
        <v>7300</v>
      </c>
      <c r="F804" s="7" t="n">
        <v>-54570.45</v>
      </c>
      <c r="G804" s="24" t="s">
        <v>5951</v>
      </c>
      <c r="H804" s="4" t="s">
        <v>5653</v>
      </c>
      <c r="I804" s="4"/>
    </row>
    <row r="805" customFormat="false" ht="15" hidden="false" customHeight="false" outlineLevel="0" collapsed="false">
      <c r="A805" s="4" t="s">
        <v>462</v>
      </c>
      <c r="B805" s="23" t="n">
        <v>802</v>
      </c>
      <c r="C805" s="6" t="n">
        <v>46264</v>
      </c>
      <c r="D805" s="4" t="s">
        <v>5855</v>
      </c>
      <c r="E805" s="4" t="s">
        <v>463</v>
      </c>
      <c r="F805" s="7" t="n">
        <v>20099.37</v>
      </c>
      <c r="G805" s="25" t="s">
        <v>5987</v>
      </c>
      <c r="H805" s="4" t="s">
        <v>5853</v>
      </c>
      <c r="I805" s="4" t="s">
        <v>460</v>
      </c>
    </row>
    <row r="806" customFormat="false" ht="15" hidden="false" customHeight="false" outlineLevel="0" collapsed="false">
      <c r="A806" s="4" t="s">
        <v>3338</v>
      </c>
      <c r="B806" s="23" t="n">
        <v>803</v>
      </c>
      <c r="C806" s="6" t="n">
        <v>46265</v>
      </c>
      <c r="D806" s="4" t="s">
        <v>3340</v>
      </c>
      <c r="E806" s="4" t="s">
        <v>7301</v>
      </c>
      <c r="F806" s="7" t="n">
        <v>39259.04</v>
      </c>
      <c r="G806" s="24" t="s">
        <v>5951</v>
      </c>
      <c r="H806" s="4" t="s">
        <v>3336</v>
      </c>
      <c r="I806" s="4"/>
    </row>
    <row r="807" customFormat="false" ht="15" hidden="false" customHeight="false" outlineLevel="0" collapsed="false">
      <c r="A807" s="4" t="s">
        <v>1671</v>
      </c>
      <c r="B807" s="23" t="n">
        <v>804</v>
      </c>
      <c r="C807" s="6" t="n">
        <v>46265</v>
      </c>
      <c r="D807" s="4" t="s">
        <v>1673</v>
      </c>
      <c r="E807" s="4" t="s">
        <v>6570</v>
      </c>
      <c r="F807" s="7" t="n">
        <v>71112.31</v>
      </c>
      <c r="G807" s="24" t="s">
        <v>5951</v>
      </c>
      <c r="H807" s="4" t="s">
        <v>1669</v>
      </c>
      <c r="I807" s="4"/>
    </row>
    <row r="808" customFormat="false" ht="15" hidden="false" customHeight="false" outlineLevel="0" collapsed="false">
      <c r="A808" s="4" t="s">
        <v>3343</v>
      </c>
      <c r="B808" s="23" t="n">
        <v>805</v>
      </c>
      <c r="C808" s="6" t="n">
        <v>46265</v>
      </c>
      <c r="D808" s="4" t="s">
        <v>3345</v>
      </c>
      <c r="E808" s="4" t="s">
        <v>6583</v>
      </c>
      <c r="F808" s="7" t="n">
        <v>38195.56</v>
      </c>
      <c r="G808" s="24" t="s">
        <v>5951</v>
      </c>
      <c r="H808" s="4" t="s">
        <v>3341</v>
      </c>
      <c r="I808" s="4"/>
    </row>
    <row r="809" customFormat="false" ht="15" hidden="false" customHeight="false" outlineLevel="0" collapsed="false">
      <c r="A809" s="4" t="s">
        <v>1676</v>
      </c>
      <c r="B809" s="23" t="n">
        <v>806</v>
      </c>
      <c r="C809" s="6" t="n">
        <v>46265</v>
      </c>
      <c r="D809" s="4" t="s">
        <v>1678</v>
      </c>
      <c r="E809" s="4" t="s">
        <v>6571</v>
      </c>
      <c r="F809" s="7" t="n">
        <v>15276.57</v>
      </c>
      <c r="G809" s="24" t="s">
        <v>5951</v>
      </c>
      <c r="H809" s="4" t="s">
        <v>1674</v>
      </c>
      <c r="I809" s="4"/>
    </row>
    <row r="810" customFormat="false" ht="15" hidden="false" customHeight="false" outlineLevel="0" collapsed="false">
      <c r="A810" s="4" t="s">
        <v>3348</v>
      </c>
      <c r="B810" s="23" t="n">
        <v>807</v>
      </c>
      <c r="C810" s="6" t="n">
        <v>46265</v>
      </c>
      <c r="D810" s="4" t="s">
        <v>3350</v>
      </c>
      <c r="E810" s="4" t="s">
        <v>7302</v>
      </c>
      <c r="F810" s="7" t="n">
        <v>89762.97</v>
      </c>
      <c r="G810" s="24" t="s">
        <v>5951</v>
      </c>
      <c r="H810" s="4" t="s">
        <v>3346</v>
      </c>
      <c r="I810" s="4"/>
    </row>
    <row r="811" customFormat="false" ht="15" hidden="false" customHeight="false" outlineLevel="0" collapsed="false">
      <c r="A811" s="4" t="s">
        <v>1681</v>
      </c>
      <c r="B811" s="23" t="n">
        <v>808</v>
      </c>
      <c r="C811" s="6" t="n">
        <v>46265</v>
      </c>
      <c r="D811" s="4" t="s">
        <v>1683</v>
      </c>
      <c r="E811" s="4" t="s">
        <v>6573</v>
      </c>
      <c r="F811" s="7" t="n">
        <v>91718.16</v>
      </c>
      <c r="G811" s="24" t="s">
        <v>5951</v>
      </c>
      <c r="H811" s="4" t="s">
        <v>1679</v>
      </c>
      <c r="I811" s="4"/>
    </row>
    <row r="812" customFormat="false" ht="15" hidden="false" customHeight="false" outlineLevel="0" collapsed="false">
      <c r="A812" s="4" t="s">
        <v>4372</v>
      </c>
      <c r="B812" s="23" t="n">
        <v>809</v>
      </c>
      <c r="C812" s="6" t="n">
        <v>46265</v>
      </c>
      <c r="D812" s="4" t="s">
        <v>4374</v>
      </c>
      <c r="E812" s="4" t="s">
        <v>7303</v>
      </c>
      <c r="F812" s="7" t="n">
        <v>69636.16</v>
      </c>
      <c r="G812" s="24" t="s">
        <v>5951</v>
      </c>
      <c r="H812" s="4" t="s">
        <v>4370</v>
      </c>
      <c r="I812" s="4"/>
    </row>
    <row r="813" customFormat="false" ht="15" hidden="false" customHeight="false" outlineLevel="0" collapsed="false">
      <c r="A813" s="4" t="s">
        <v>3353</v>
      </c>
      <c r="B813" s="23" t="n">
        <v>810</v>
      </c>
      <c r="C813" s="6" t="n">
        <v>46265</v>
      </c>
      <c r="D813" s="4" t="s">
        <v>3355</v>
      </c>
      <c r="E813" s="4" t="s">
        <v>6585</v>
      </c>
      <c r="F813" s="7" t="n">
        <v>30767.47</v>
      </c>
      <c r="G813" s="24" t="s">
        <v>5951</v>
      </c>
      <c r="H813" s="4" t="s">
        <v>3351</v>
      </c>
      <c r="I813" s="4"/>
    </row>
    <row r="814" customFormat="false" ht="15" hidden="false" customHeight="false" outlineLevel="0" collapsed="false">
      <c r="A814" s="4" t="s">
        <v>3358</v>
      </c>
      <c r="B814" s="23" t="n">
        <v>811</v>
      </c>
      <c r="C814" s="6" t="n">
        <v>46265</v>
      </c>
      <c r="D814" s="4" t="s">
        <v>3360</v>
      </c>
      <c r="E814" s="4" t="s">
        <v>6586</v>
      </c>
      <c r="F814" s="7" t="n">
        <v>54262.68</v>
      </c>
      <c r="G814" s="24" t="s">
        <v>5951</v>
      </c>
      <c r="H814" s="4" t="s">
        <v>3356</v>
      </c>
      <c r="I814" s="4"/>
    </row>
    <row r="815" customFormat="false" ht="15" hidden="false" customHeight="false" outlineLevel="0" collapsed="false">
      <c r="A815" s="4" t="s">
        <v>3363</v>
      </c>
      <c r="B815" s="23" t="n">
        <v>812</v>
      </c>
      <c r="C815" s="6" t="n">
        <v>46265</v>
      </c>
      <c r="D815" s="4" t="s">
        <v>3365</v>
      </c>
      <c r="E815" s="4" t="s">
        <v>7304</v>
      </c>
      <c r="F815" s="7" t="n">
        <v>14421.21</v>
      </c>
      <c r="G815" s="24" t="s">
        <v>5951</v>
      </c>
      <c r="H815" s="4" t="s">
        <v>3361</v>
      </c>
      <c r="I815" s="4"/>
    </row>
    <row r="816" customFormat="false" ht="15" hidden="false" customHeight="false" outlineLevel="0" collapsed="false">
      <c r="A816" s="4" t="s">
        <v>1686</v>
      </c>
      <c r="B816" s="23" t="n">
        <v>813</v>
      </c>
      <c r="C816" s="6" t="n">
        <v>46265</v>
      </c>
      <c r="D816" s="4" t="s">
        <v>1688</v>
      </c>
      <c r="E816" s="4" t="s">
        <v>7305</v>
      </c>
      <c r="F816" s="7" t="n">
        <v>32262.15</v>
      </c>
      <c r="G816" s="24" t="s">
        <v>5951</v>
      </c>
      <c r="H816" s="4" t="s">
        <v>1684</v>
      </c>
      <c r="I816" s="4"/>
    </row>
    <row r="817" customFormat="false" ht="15" hidden="false" customHeight="false" outlineLevel="0" collapsed="false">
      <c r="A817" s="4" t="s">
        <v>1691</v>
      </c>
      <c r="B817" s="23" t="n">
        <v>814</v>
      </c>
      <c r="C817" s="6" t="n">
        <v>46265</v>
      </c>
      <c r="D817" s="4" t="s">
        <v>1693</v>
      </c>
      <c r="E817" s="4" t="s">
        <v>6574</v>
      </c>
      <c r="F817" s="7" t="n">
        <v>86739.87</v>
      </c>
      <c r="G817" s="24" t="s">
        <v>5951</v>
      </c>
      <c r="H817" s="4" t="s">
        <v>1689</v>
      </c>
      <c r="I817" s="4"/>
    </row>
    <row r="818" customFormat="false" ht="15" hidden="false" customHeight="false" outlineLevel="0" collapsed="false">
      <c r="A818" s="4" t="s">
        <v>3368</v>
      </c>
      <c r="B818" s="23" t="n">
        <v>815</v>
      </c>
      <c r="C818" s="6" t="n">
        <v>46265</v>
      </c>
      <c r="D818" s="4" t="s">
        <v>3370</v>
      </c>
      <c r="E818" s="4" t="s">
        <v>6587</v>
      </c>
      <c r="F818" s="7" t="n">
        <v>30940.52</v>
      </c>
      <c r="G818" s="24" t="s">
        <v>5951</v>
      </c>
      <c r="H818" s="4" t="s">
        <v>3366</v>
      </c>
      <c r="I818" s="4"/>
    </row>
    <row r="819" customFormat="false" ht="15" hidden="false" customHeight="false" outlineLevel="0" collapsed="false">
      <c r="A819" s="4" t="s">
        <v>5660</v>
      </c>
      <c r="B819" s="23" t="n">
        <v>816</v>
      </c>
      <c r="C819" s="6" t="n">
        <v>46265</v>
      </c>
      <c r="D819" s="4" t="s">
        <v>5662</v>
      </c>
      <c r="E819" s="4" t="s">
        <v>7306</v>
      </c>
      <c r="F819" s="7" t="n">
        <v>-57192.21</v>
      </c>
      <c r="G819" s="24" t="s">
        <v>5951</v>
      </c>
      <c r="H819" s="4" t="s">
        <v>5658</v>
      </c>
      <c r="I819" s="4"/>
    </row>
    <row r="820" customFormat="false" ht="15" hidden="false" customHeight="false" outlineLevel="0" collapsed="false">
      <c r="A820" s="4" t="s">
        <v>1696</v>
      </c>
      <c r="B820" s="23" t="n">
        <v>817</v>
      </c>
      <c r="C820" s="6" t="n">
        <v>46265</v>
      </c>
      <c r="D820" s="4" t="s">
        <v>189</v>
      </c>
      <c r="E820" s="4" t="s">
        <v>188</v>
      </c>
      <c r="F820" s="7" t="n">
        <v>-29486.63</v>
      </c>
      <c r="G820" s="24" t="s">
        <v>5951</v>
      </c>
      <c r="H820" s="4" t="s">
        <v>1694</v>
      </c>
      <c r="I820" s="4"/>
    </row>
    <row r="821" customFormat="false" ht="15" hidden="false" customHeight="false" outlineLevel="0" collapsed="false">
      <c r="A821" s="4" t="s">
        <v>1700</v>
      </c>
      <c r="B821" s="23" t="n">
        <v>818</v>
      </c>
      <c r="C821" s="6" t="n">
        <v>46265</v>
      </c>
      <c r="D821" s="4" t="s">
        <v>1702</v>
      </c>
      <c r="E821" s="4" t="s">
        <v>7307</v>
      </c>
      <c r="F821" s="7" t="n">
        <v>-48900.52</v>
      </c>
      <c r="G821" s="24" t="s">
        <v>5951</v>
      </c>
      <c r="H821" s="4" t="s">
        <v>1698</v>
      </c>
      <c r="I821" s="4"/>
    </row>
    <row r="822" customFormat="false" ht="15" hidden="false" customHeight="false" outlineLevel="0" collapsed="false">
      <c r="A822" s="4" t="s">
        <v>187</v>
      </c>
      <c r="B822" s="23" t="n">
        <v>819</v>
      </c>
      <c r="C822" s="6" t="n">
        <v>46265</v>
      </c>
      <c r="D822" s="4" t="s">
        <v>189</v>
      </c>
      <c r="E822" s="4" t="s">
        <v>188</v>
      </c>
      <c r="F822" s="7" t="n">
        <v>-29486.63</v>
      </c>
      <c r="G822" s="26" t="s">
        <v>6043</v>
      </c>
      <c r="H822" s="4"/>
      <c r="I822" s="4" t="s">
        <v>186</v>
      </c>
    </row>
    <row r="823" customFormat="false" ht="15" hidden="false" customHeight="false" outlineLevel="0" collapsed="false">
      <c r="A823" s="4" t="s">
        <v>3373</v>
      </c>
      <c r="B823" s="23" t="n">
        <v>820</v>
      </c>
      <c r="C823" s="6" t="n">
        <v>46266</v>
      </c>
      <c r="D823" s="4" t="s">
        <v>3375</v>
      </c>
      <c r="E823" s="4" t="s">
        <v>6592</v>
      </c>
      <c r="F823" s="7" t="n">
        <v>14301.49</v>
      </c>
      <c r="G823" s="24" t="s">
        <v>5951</v>
      </c>
      <c r="H823" s="4" t="s">
        <v>3371</v>
      </c>
      <c r="I823" s="4"/>
    </row>
    <row r="824" customFormat="false" ht="15" hidden="false" customHeight="false" outlineLevel="0" collapsed="false">
      <c r="A824" s="4" t="s">
        <v>1705</v>
      </c>
      <c r="B824" s="23" t="n">
        <v>821</v>
      </c>
      <c r="C824" s="6" t="n">
        <v>46266</v>
      </c>
      <c r="D824" s="4" t="s">
        <v>1707</v>
      </c>
      <c r="E824" s="4" t="s">
        <v>6582</v>
      </c>
      <c r="F824" s="7" t="n">
        <v>11659.54</v>
      </c>
      <c r="G824" s="24" t="s">
        <v>5951</v>
      </c>
      <c r="H824" s="4" t="s">
        <v>1703</v>
      </c>
      <c r="I824" s="4"/>
    </row>
    <row r="825" customFormat="false" ht="15" hidden="false" customHeight="false" outlineLevel="0" collapsed="false">
      <c r="A825" s="4" t="s">
        <v>3378</v>
      </c>
      <c r="B825" s="23" t="n">
        <v>822</v>
      </c>
      <c r="C825" s="6" t="n">
        <v>46266</v>
      </c>
      <c r="D825" s="4" t="s">
        <v>3380</v>
      </c>
      <c r="E825" s="4" t="s">
        <v>7308</v>
      </c>
      <c r="F825" s="7" t="n">
        <v>3322.74</v>
      </c>
      <c r="G825" s="24" t="s">
        <v>5951</v>
      </c>
      <c r="H825" s="4" t="s">
        <v>3376</v>
      </c>
      <c r="I825" s="4"/>
    </row>
    <row r="826" customFormat="false" ht="15" hidden="false" customHeight="false" outlineLevel="0" collapsed="false">
      <c r="A826" s="4" t="s">
        <v>3383</v>
      </c>
      <c r="B826" s="23" t="n">
        <v>823</v>
      </c>
      <c r="C826" s="6" t="n">
        <v>46266</v>
      </c>
      <c r="D826" s="4" t="s">
        <v>3385</v>
      </c>
      <c r="E826" s="4" t="s">
        <v>6594</v>
      </c>
      <c r="F826" s="7" t="n">
        <v>93318.98</v>
      </c>
      <c r="G826" s="24" t="s">
        <v>5951</v>
      </c>
      <c r="H826" s="4" t="s">
        <v>3381</v>
      </c>
      <c r="I826" s="4"/>
    </row>
    <row r="827" customFormat="false" ht="15" hidden="false" customHeight="false" outlineLevel="0" collapsed="false">
      <c r="A827" s="4" t="s">
        <v>4377</v>
      </c>
      <c r="B827" s="23" t="n">
        <v>824</v>
      </c>
      <c r="C827" s="6" t="n">
        <v>46266</v>
      </c>
      <c r="D827" s="4" t="s">
        <v>4379</v>
      </c>
      <c r="E827" s="4" t="s">
        <v>6605</v>
      </c>
      <c r="F827" s="7" t="n">
        <v>82679.59</v>
      </c>
      <c r="G827" s="24" t="s">
        <v>5951</v>
      </c>
      <c r="H827" s="4" t="s">
        <v>4375</v>
      </c>
      <c r="I827" s="4"/>
    </row>
    <row r="828" customFormat="false" ht="15" hidden="false" customHeight="false" outlineLevel="0" collapsed="false">
      <c r="A828" s="4" t="s">
        <v>5665</v>
      </c>
      <c r="B828" s="23" t="n">
        <v>825</v>
      </c>
      <c r="C828" s="6" t="n">
        <v>46266</v>
      </c>
      <c r="D828" s="4" t="s">
        <v>5667</v>
      </c>
      <c r="E828" s="4" t="s">
        <v>7309</v>
      </c>
      <c r="F828" s="7" t="n">
        <v>-41330.8</v>
      </c>
      <c r="G828" s="24" t="s">
        <v>5951</v>
      </c>
      <c r="H828" s="4" t="s">
        <v>5663</v>
      </c>
      <c r="I828" s="4"/>
    </row>
    <row r="829" customFormat="false" ht="15" hidden="false" customHeight="false" outlineLevel="0" collapsed="false">
      <c r="A829" s="4" t="s">
        <v>3388</v>
      </c>
      <c r="B829" s="23" t="n">
        <v>826</v>
      </c>
      <c r="C829" s="6" t="n">
        <v>46266</v>
      </c>
      <c r="D829" s="4" t="s">
        <v>3390</v>
      </c>
      <c r="E829" s="4" t="s">
        <v>7310</v>
      </c>
      <c r="F829" s="7" t="n">
        <v>-40379.21</v>
      </c>
      <c r="G829" s="24" t="s">
        <v>5951</v>
      </c>
      <c r="H829" s="4" t="s">
        <v>3386</v>
      </c>
      <c r="I829" s="4"/>
    </row>
    <row r="830" customFormat="false" ht="15" hidden="false" customHeight="false" outlineLevel="0" collapsed="false">
      <c r="A830" s="4" t="s">
        <v>3393</v>
      </c>
      <c r="B830" s="23" t="n">
        <v>827</v>
      </c>
      <c r="C830" s="6" t="n">
        <v>46266</v>
      </c>
      <c r="D830" s="4" t="s">
        <v>3395</v>
      </c>
      <c r="E830" s="4" t="s">
        <v>7311</v>
      </c>
      <c r="F830" s="7" t="n">
        <v>-20225.93</v>
      </c>
      <c r="G830" s="24" t="s">
        <v>5951</v>
      </c>
      <c r="H830" s="4" t="s">
        <v>3391</v>
      </c>
      <c r="I830" s="4"/>
    </row>
    <row r="831" customFormat="false" ht="15" hidden="false" customHeight="false" outlineLevel="0" collapsed="false">
      <c r="A831" s="4" t="s">
        <v>3398</v>
      </c>
      <c r="B831" s="23" t="n">
        <v>828</v>
      </c>
      <c r="C831" s="6" t="n">
        <v>46266</v>
      </c>
      <c r="D831" s="4" t="s">
        <v>3400</v>
      </c>
      <c r="E831" s="4" t="s">
        <v>7312</v>
      </c>
      <c r="F831" s="7" t="n">
        <v>-26670.34</v>
      </c>
      <c r="G831" s="24" t="s">
        <v>5951</v>
      </c>
      <c r="H831" s="4" t="s">
        <v>3396</v>
      </c>
      <c r="I831" s="4"/>
    </row>
    <row r="832" customFormat="false" ht="15" hidden="false" customHeight="false" outlineLevel="0" collapsed="false">
      <c r="A832" s="4" t="s">
        <v>1710</v>
      </c>
      <c r="B832" s="23" t="n">
        <v>829</v>
      </c>
      <c r="C832" s="6" t="n">
        <v>46267</v>
      </c>
      <c r="D832" s="4" t="s">
        <v>1712</v>
      </c>
      <c r="E832" s="4" t="s">
        <v>6593</v>
      </c>
      <c r="F832" s="7" t="n">
        <v>33004.4</v>
      </c>
      <c r="G832" s="24" t="s">
        <v>5951</v>
      </c>
      <c r="H832" s="4" t="s">
        <v>1708</v>
      </c>
      <c r="I832" s="4"/>
    </row>
    <row r="833" customFormat="false" ht="15" hidden="false" customHeight="false" outlineLevel="0" collapsed="false">
      <c r="A833" s="4" t="s">
        <v>3403</v>
      </c>
      <c r="B833" s="23" t="n">
        <v>830</v>
      </c>
      <c r="C833" s="6" t="n">
        <v>46267</v>
      </c>
      <c r="D833" s="4" t="s">
        <v>3405</v>
      </c>
      <c r="E833" s="4" t="s">
        <v>6601</v>
      </c>
      <c r="F833" s="7" t="n">
        <v>72194.21</v>
      </c>
      <c r="G833" s="24" t="s">
        <v>5951</v>
      </c>
      <c r="H833" s="4" t="s">
        <v>3401</v>
      </c>
      <c r="I833" s="4"/>
    </row>
    <row r="834" customFormat="false" ht="15" hidden="false" customHeight="false" outlineLevel="0" collapsed="false">
      <c r="A834" s="4" t="s">
        <v>1715</v>
      </c>
      <c r="B834" s="23" t="n">
        <v>831</v>
      </c>
      <c r="C834" s="6" t="n">
        <v>46267</v>
      </c>
      <c r="D834" s="4" t="s">
        <v>1717</v>
      </c>
      <c r="E834" s="4" t="s">
        <v>7313</v>
      </c>
      <c r="F834" s="7" t="n">
        <v>15209.07</v>
      </c>
      <c r="G834" s="24" t="s">
        <v>5951</v>
      </c>
      <c r="H834" s="4" t="s">
        <v>1713</v>
      </c>
      <c r="I834" s="4"/>
    </row>
    <row r="835" customFormat="false" ht="15" hidden="false" customHeight="false" outlineLevel="0" collapsed="false">
      <c r="A835" s="4" t="s">
        <v>3408</v>
      </c>
      <c r="B835" s="23" t="n">
        <v>832</v>
      </c>
      <c r="C835" s="6" t="n">
        <v>46267</v>
      </c>
      <c r="D835" s="4" t="s">
        <v>3410</v>
      </c>
      <c r="E835" s="4" t="s">
        <v>6602</v>
      </c>
      <c r="F835" s="7" t="n">
        <v>29945.22</v>
      </c>
      <c r="G835" s="24" t="s">
        <v>5951</v>
      </c>
      <c r="H835" s="4" t="s">
        <v>3406</v>
      </c>
      <c r="I835" s="4"/>
    </row>
    <row r="836" customFormat="false" ht="15" hidden="false" customHeight="false" outlineLevel="0" collapsed="false">
      <c r="A836" s="4" t="s">
        <v>3413</v>
      </c>
      <c r="B836" s="23" t="n">
        <v>833</v>
      </c>
      <c r="C836" s="6" t="n">
        <v>46267</v>
      </c>
      <c r="D836" s="4" t="s">
        <v>3415</v>
      </c>
      <c r="E836" s="4" t="s">
        <v>6603</v>
      </c>
      <c r="F836" s="7" t="n">
        <v>54288.98</v>
      </c>
      <c r="G836" s="24" t="s">
        <v>5951</v>
      </c>
      <c r="H836" s="4" t="s">
        <v>3411</v>
      </c>
      <c r="I836" s="4"/>
    </row>
    <row r="837" customFormat="false" ht="15" hidden="false" customHeight="false" outlineLevel="0" collapsed="false">
      <c r="A837" s="4" t="s">
        <v>3418</v>
      </c>
      <c r="B837" s="23" t="n">
        <v>834</v>
      </c>
      <c r="C837" s="6" t="n">
        <v>46267</v>
      </c>
      <c r="D837" s="4" t="s">
        <v>3420</v>
      </c>
      <c r="E837" s="4" t="s">
        <v>6604</v>
      </c>
      <c r="F837" s="7" t="n">
        <v>87880.87</v>
      </c>
      <c r="G837" s="24" t="s">
        <v>5951</v>
      </c>
      <c r="H837" s="4" t="s">
        <v>3416</v>
      </c>
      <c r="I837" s="4"/>
    </row>
    <row r="838" customFormat="false" ht="15" hidden="false" customHeight="false" outlineLevel="0" collapsed="false">
      <c r="A838" s="4" t="s">
        <v>1720</v>
      </c>
      <c r="B838" s="23" t="n">
        <v>835</v>
      </c>
      <c r="C838" s="6" t="n">
        <v>46267</v>
      </c>
      <c r="D838" s="4" t="s">
        <v>1722</v>
      </c>
      <c r="E838" s="4" t="s">
        <v>7314</v>
      </c>
      <c r="F838" s="7" t="n">
        <v>80455.52</v>
      </c>
      <c r="G838" s="24" t="s">
        <v>5951</v>
      </c>
      <c r="H838" s="4" t="s">
        <v>1718</v>
      </c>
      <c r="I838" s="4"/>
    </row>
    <row r="839" customFormat="false" ht="15" hidden="false" customHeight="false" outlineLevel="0" collapsed="false">
      <c r="A839" s="4" t="s">
        <v>3423</v>
      </c>
      <c r="B839" s="23" t="n">
        <v>836</v>
      </c>
      <c r="C839" s="6" t="n">
        <v>46267</v>
      </c>
      <c r="D839" s="4" t="s">
        <v>3425</v>
      </c>
      <c r="E839" s="4" t="s">
        <v>6606</v>
      </c>
      <c r="F839" s="7" t="n">
        <v>81160.1</v>
      </c>
      <c r="G839" s="24" t="s">
        <v>5951</v>
      </c>
      <c r="H839" s="4" t="s">
        <v>3421</v>
      </c>
      <c r="I839" s="4"/>
    </row>
    <row r="840" customFormat="false" ht="15" hidden="false" customHeight="false" outlineLevel="0" collapsed="false">
      <c r="A840" s="4" t="s">
        <v>3428</v>
      </c>
      <c r="B840" s="23" t="n">
        <v>837</v>
      </c>
      <c r="C840" s="6" t="n">
        <v>46267</v>
      </c>
      <c r="D840" s="4" t="s">
        <v>3430</v>
      </c>
      <c r="E840" s="4" t="s">
        <v>6607</v>
      </c>
      <c r="F840" s="7" t="n">
        <v>26602.48</v>
      </c>
      <c r="G840" s="24" t="s">
        <v>5951</v>
      </c>
      <c r="H840" s="4" t="s">
        <v>3426</v>
      </c>
      <c r="I840" s="4"/>
    </row>
    <row r="841" customFormat="false" ht="15" hidden="false" customHeight="false" outlineLevel="0" collapsed="false">
      <c r="A841" s="4" t="s">
        <v>5221</v>
      </c>
      <c r="B841" s="23" t="n">
        <v>838</v>
      </c>
      <c r="C841" s="6" t="n">
        <v>46267</v>
      </c>
      <c r="D841" s="4" t="s">
        <v>5223</v>
      </c>
      <c r="E841" s="4" t="s">
        <v>7315</v>
      </c>
      <c r="F841" s="7" t="n">
        <v>-12200.7</v>
      </c>
      <c r="G841" s="24" t="s">
        <v>5951</v>
      </c>
      <c r="H841" s="4" t="s">
        <v>5219</v>
      </c>
      <c r="I841" s="4"/>
    </row>
    <row r="842" customFormat="false" ht="15" hidden="false" customHeight="false" outlineLevel="0" collapsed="false">
      <c r="A842" s="4" t="s">
        <v>4822</v>
      </c>
      <c r="B842" s="23" t="n">
        <v>839</v>
      </c>
      <c r="C842" s="6" t="n">
        <v>46267</v>
      </c>
      <c r="D842" s="4" t="s">
        <v>4824</v>
      </c>
      <c r="E842" s="4" t="s">
        <v>7316</v>
      </c>
      <c r="F842" s="7" t="n">
        <v>-56723.55</v>
      </c>
      <c r="G842" s="24" t="s">
        <v>5951</v>
      </c>
      <c r="H842" s="4" t="s">
        <v>4820</v>
      </c>
      <c r="I842" s="4"/>
    </row>
    <row r="843" customFormat="false" ht="15" hidden="false" customHeight="false" outlineLevel="0" collapsed="false">
      <c r="A843" s="4" t="s">
        <v>3433</v>
      </c>
      <c r="B843" s="23" t="n">
        <v>840</v>
      </c>
      <c r="C843" s="6" t="n">
        <v>46267</v>
      </c>
      <c r="D843" s="4" t="s">
        <v>3435</v>
      </c>
      <c r="E843" s="4" t="s">
        <v>7317</v>
      </c>
      <c r="F843" s="7" t="n">
        <v>-58948.7</v>
      </c>
      <c r="G843" s="24" t="s">
        <v>5951</v>
      </c>
      <c r="H843" s="4" t="s">
        <v>3431</v>
      </c>
      <c r="I843" s="4"/>
    </row>
    <row r="844" customFormat="false" ht="15" hidden="false" customHeight="false" outlineLevel="0" collapsed="false">
      <c r="A844" s="4" t="s">
        <v>1725</v>
      </c>
      <c r="B844" s="23" t="n">
        <v>841</v>
      </c>
      <c r="C844" s="6" t="n">
        <v>46267</v>
      </c>
      <c r="D844" s="4" t="s">
        <v>1727</v>
      </c>
      <c r="E844" s="4" t="s">
        <v>7318</v>
      </c>
      <c r="F844" s="7" t="n">
        <v>-21537.58</v>
      </c>
      <c r="G844" s="24" t="s">
        <v>5951</v>
      </c>
      <c r="H844" s="4" t="s">
        <v>1723</v>
      </c>
      <c r="I844" s="4"/>
    </row>
    <row r="845" customFormat="false" ht="15" hidden="false" customHeight="false" outlineLevel="0" collapsed="false">
      <c r="A845" s="4" t="s">
        <v>1730</v>
      </c>
      <c r="B845" s="23" t="n">
        <v>842</v>
      </c>
      <c r="C845" s="6" t="n">
        <v>46267</v>
      </c>
      <c r="D845" s="4" t="s">
        <v>1732</v>
      </c>
      <c r="E845" s="4" t="s">
        <v>7319</v>
      </c>
      <c r="F845" s="7" t="n">
        <v>-31748.02</v>
      </c>
      <c r="G845" s="24" t="s">
        <v>5951</v>
      </c>
      <c r="H845" s="4" t="s">
        <v>1728</v>
      </c>
      <c r="I845" s="4"/>
    </row>
    <row r="846" customFormat="false" ht="15" hidden="false" customHeight="false" outlineLevel="0" collapsed="false">
      <c r="A846" s="4" t="s">
        <v>5833</v>
      </c>
      <c r="B846" s="23" t="n">
        <v>843</v>
      </c>
      <c r="C846" s="6" t="n">
        <v>46267</v>
      </c>
      <c r="D846" s="4" t="s">
        <v>5807</v>
      </c>
      <c r="E846" s="4"/>
      <c r="F846" s="7" t="n">
        <v>-5487.52</v>
      </c>
      <c r="G846" s="24" t="s">
        <v>5951</v>
      </c>
      <c r="H846" s="4" t="s">
        <v>5831</v>
      </c>
      <c r="I846" s="4"/>
    </row>
    <row r="847" customFormat="false" ht="15" hidden="false" customHeight="false" outlineLevel="0" collapsed="false">
      <c r="A847" s="4" t="s">
        <v>1735</v>
      </c>
      <c r="B847" s="23" t="n">
        <v>844</v>
      </c>
      <c r="C847" s="6" t="n">
        <v>46268</v>
      </c>
      <c r="D847" s="4" t="s">
        <v>1737</v>
      </c>
      <c r="E847" s="4" t="s">
        <v>7320</v>
      </c>
      <c r="F847" s="7" t="n">
        <v>8335.9</v>
      </c>
      <c r="G847" s="24" t="s">
        <v>5951</v>
      </c>
      <c r="H847" s="4" t="s">
        <v>1733</v>
      </c>
      <c r="I847" s="4"/>
    </row>
    <row r="848" customFormat="false" ht="15" hidden="false" customHeight="false" outlineLevel="0" collapsed="false">
      <c r="A848" s="4" t="s">
        <v>1740</v>
      </c>
      <c r="B848" s="23" t="n">
        <v>845</v>
      </c>
      <c r="C848" s="6" t="n">
        <v>46268</v>
      </c>
      <c r="D848" s="4" t="s">
        <v>1742</v>
      </c>
      <c r="E848" s="4" t="s">
        <v>6600</v>
      </c>
      <c r="F848" s="7" t="n">
        <v>79096.85</v>
      </c>
      <c r="G848" s="24" t="s">
        <v>5951</v>
      </c>
      <c r="H848" s="4" t="s">
        <v>1738</v>
      </c>
      <c r="I848" s="4"/>
    </row>
    <row r="849" customFormat="false" ht="15" hidden="false" customHeight="false" outlineLevel="0" collapsed="false">
      <c r="A849" s="4" t="s">
        <v>3438</v>
      </c>
      <c r="B849" s="23" t="n">
        <v>846</v>
      </c>
      <c r="C849" s="6" t="n">
        <v>46268</v>
      </c>
      <c r="D849" s="4" t="s">
        <v>3440</v>
      </c>
      <c r="E849" s="4" t="s">
        <v>6612</v>
      </c>
      <c r="F849" s="7" t="n">
        <v>84762.79</v>
      </c>
      <c r="G849" s="24" t="s">
        <v>5951</v>
      </c>
      <c r="H849" s="4" t="s">
        <v>3436</v>
      </c>
      <c r="I849" s="4"/>
    </row>
    <row r="850" customFormat="false" ht="15" hidden="false" customHeight="false" outlineLevel="0" collapsed="false">
      <c r="A850" s="4" t="s">
        <v>3443</v>
      </c>
      <c r="B850" s="23" t="n">
        <v>847</v>
      </c>
      <c r="C850" s="6" t="n">
        <v>46268</v>
      </c>
      <c r="D850" s="4" t="s">
        <v>3445</v>
      </c>
      <c r="E850" s="4" t="s">
        <v>6613</v>
      </c>
      <c r="F850" s="7" t="n">
        <v>10034.71</v>
      </c>
      <c r="G850" s="24" t="s">
        <v>5951</v>
      </c>
      <c r="H850" s="4" t="s">
        <v>3441</v>
      </c>
      <c r="I850" s="4"/>
    </row>
    <row r="851" customFormat="false" ht="15" hidden="false" customHeight="false" outlineLevel="0" collapsed="false">
      <c r="A851" s="4" t="s">
        <v>4382</v>
      </c>
      <c r="B851" s="23" t="n">
        <v>848</v>
      </c>
      <c r="C851" s="6" t="n">
        <v>46268</v>
      </c>
      <c r="D851" s="4" t="s">
        <v>4384</v>
      </c>
      <c r="E851" s="4" t="s">
        <v>6621</v>
      </c>
      <c r="F851" s="7" t="n">
        <v>36133.36</v>
      </c>
      <c r="G851" s="24" t="s">
        <v>5951</v>
      </c>
      <c r="H851" s="4" t="s">
        <v>4380</v>
      </c>
      <c r="I851" s="4"/>
    </row>
    <row r="852" customFormat="false" ht="15" hidden="false" customHeight="false" outlineLevel="0" collapsed="false">
      <c r="A852" s="4" t="s">
        <v>3448</v>
      </c>
      <c r="B852" s="23" t="n">
        <v>849</v>
      </c>
      <c r="C852" s="6" t="n">
        <v>46268</v>
      </c>
      <c r="D852" s="4" t="s">
        <v>3450</v>
      </c>
      <c r="E852" s="4" t="s">
        <v>7321</v>
      </c>
      <c r="F852" s="7" t="n">
        <v>36805.4</v>
      </c>
      <c r="G852" s="24" t="s">
        <v>5951</v>
      </c>
      <c r="H852" s="4" t="s">
        <v>3446</v>
      </c>
      <c r="I852" s="4"/>
    </row>
    <row r="853" customFormat="false" ht="15" hidden="false" customHeight="false" outlineLevel="0" collapsed="false">
      <c r="A853" s="4" t="s">
        <v>3453</v>
      </c>
      <c r="B853" s="23" t="n">
        <v>850</v>
      </c>
      <c r="C853" s="6" t="n">
        <v>46268</v>
      </c>
      <c r="D853" s="4" t="s">
        <v>3455</v>
      </c>
      <c r="E853" s="4" t="s">
        <v>6616</v>
      </c>
      <c r="F853" s="7" t="n">
        <v>93554.38</v>
      </c>
      <c r="G853" s="24" t="s">
        <v>5951</v>
      </c>
      <c r="H853" s="4" t="s">
        <v>3451</v>
      </c>
      <c r="I853" s="4"/>
    </row>
    <row r="854" customFormat="false" ht="15" hidden="false" customHeight="false" outlineLevel="0" collapsed="false">
      <c r="A854" s="4" t="s">
        <v>3458</v>
      </c>
      <c r="B854" s="23" t="n">
        <v>851</v>
      </c>
      <c r="C854" s="6" t="n">
        <v>46268</v>
      </c>
      <c r="D854" s="4" t="s">
        <v>3460</v>
      </c>
      <c r="E854" s="4" t="s">
        <v>7322</v>
      </c>
      <c r="F854" s="7" t="n">
        <v>48410.46</v>
      </c>
      <c r="G854" s="24" t="s">
        <v>5951</v>
      </c>
      <c r="H854" s="4" t="s">
        <v>3456</v>
      </c>
      <c r="I854" s="4"/>
    </row>
    <row r="855" customFormat="false" ht="15" hidden="false" customHeight="false" outlineLevel="0" collapsed="false">
      <c r="A855" s="4" t="s">
        <v>5670</v>
      </c>
      <c r="B855" s="23" t="n">
        <v>852</v>
      </c>
      <c r="C855" s="6" t="n">
        <v>46268</v>
      </c>
      <c r="D855" s="4" t="s">
        <v>5672</v>
      </c>
      <c r="E855" s="4" t="s">
        <v>7323</v>
      </c>
      <c r="F855" s="7" t="n">
        <v>-55847.42</v>
      </c>
      <c r="G855" s="24" t="s">
        <v>5951</v>
      </c>
      <c r="H855" s="4" t="s">
        <v>5668</v>
      </c>
      <c r="I855" s="4"/>
    </row>
    <row r="856" customFormat="false" ht="15" hidden="false" customHeight="false" outlineLevel="0" collapsed="false">
      <c r="A856" s="4" t="s">
        <v>4387</v>
      </c>
      <c r="B856" s="23" t="n">
        <v>853</v>
      </c>
      <c r="C856" s="6" t="n">
        <v>46269</v>
      </c>
      <c r="D856" s="4" t="s">
        <v>4389</v>
      </c>
      <c r="E856" s="4" t="s">
        <v>6628</v>
      </c>
      <c r="F856" s="7" t="n">
        <v>28501.07</v>
      </c>
      <c r="G856" s="24" t="s">
        <v>5951</v>
      </c>
      <c r="H856" s="4" t="s">
        <v>4385</v>
      </c>
      <c r="I856" s="4"/>
    </row>
    <row r="857" customFormat="false" ht="15" hidden="false" customHeight="false" outlineLevel="0" collapsed="false">
      <c r="A857" s="4" t="s">
        <v>1745</v>
      </c>
      <c r="B857" s="23" t="n">
        <v>854</v>
      </c>
      <c r="C857" s="6" t="n">
        <v>46269</v>
      </c>
      <c r="D857" s="4" t="s">
        <v>1746</v>
      </c>
      <c r="E857" s="4" t="s">
        <v>7324</v>
      </c>
      <c r="F857" s="7" t="n">
        <v>60401.29</v>
      </c>
      <c r="G857" s="24" t="s">
        <v>5951</v>
      </c>
      <c r="H857" s="4" t="s">
        <v>1743</v>
      </c>
      <c r="I857" s="4"/>
    </row>
    <row r="858" customFormat="false" ht="15" hidden="false" customHeight="false" outlineLevel="0" collapsed="false">
      <c r="A858" s="4" t="s">
        <v>3463</v>
      </c>
      <c r="B858" s="23" t="n">
        <v>855</v>
      </c>
      <c r="C858" s="6" t="n">
        <v>46269</v>
      </c>
      <c r="D858" s="4" t="s">
        <v>3465</v>
      </c>
      <c r="E858" s="4" t="s">
        <v>6620</v>
      </c>
      <c r="F858" s="7" t="n">
        <v>68781.01</v>
      </c>
      <c r="G858" s="24" t="s">
        <v>5951</v>
      </c>
      <c r="H858" s="4" t="s">
        <v>3461</v>
      </c>
      <c r="I858" s="4"/>
    </row>
    <row r="859" customFormat="false" ht="15" hidden="false" customHeight="false" outlineLevel="0" collapsed="false">
      <c r="A859" s="4" t="s">
        <v>1749</v>
      </c>
      <c r="B859" s="23" t="n">
        <v>856</v>
      </c>
      <c r="C859" s="6" t="n">
        <v>46269</v>
      </c>
      <c r="D859" s="4" t="s">
        <v>1751</v>
      </c>
      <c r="E859" s="4" t="s">
        <v>6614</v>
      </c>
      <c r="F859" s="7" t="n">
        <v>9910.73</v>
      </c>
      <c r="G859" s="24" t="s">
        <v>5951</v>
      </c>
      <c r="H859" s="4" t="s">
        <v>1747</v>
      </c>
      <c r="I859" s="4"/>
    </row>
    <row r="860" customFormat="false" ht="15" hidden="false" customHeight="false" outlineLevel="0" collapsed="false">
      <c r="A860" s="4" t="s">
        <v>1754</v>
      </c>
      <c r="B860" s="23" t="n">
        <v>857</v>
      </c>
      <c r="C860" s="6" t="n">
        <v>46269</v>
      </c>
      <c r="D860" s="4" t="s">
        <v>1756</v>
      </c>
      <c r="E860" s="4" t="s">
        <v>7325</v>
      </c>
      <c r="F860" s="7" t="n">
        <v>70480.18</v>
      </c>
      <c r="G860" s="24" t="s">
        <v>5951</v>
      </c>
      <c r="H860" s="4" t="s">
        <v>1752</v>
      </c>
      <c r="I860" s="4"/>
    </row>
    <row r="861" customFormat="false" ht="15" hidden="false" customHeight="false" outlineLevel="0" collapsed="false">
      <c r="A861" s="4" t="s">
        <v>3468</v>
      </c>
      <c r="B861" s="23" t="n">
        <v>858</v>
      </c>
      <c r="C861" s="6" t="n">
        <v>46269</v>
      </c>
      <c r="D861" s="4" t="s">
        <v>3470</v>
      </c>
      <c r="E861" s="4" t="s">
        <v>6622</v>
      </c>
      <c r="F861" s="7" t="n">
        <v>91063.01</v>
      </c>
      <c r="G861" s="24" t="s">
        <v>5951</v>
      </c>
      <c r="H861" s="4" t="s">
        <v>3466</v>
      </c>
      <c r="I861" s="4"/>
    </row>
    <row r="862" customFormat="false" ht="15" hidden="false" customHeight="false" outlineLevel="0" collapsed="false">
      <c r="A862" s="4" t="s">
        <v>1759</v>
      </c>
      <c r="B862" s="23" t="n">
        <v>859</v>
      </c>
      <c r="C862" s="6" t="n">
        <v>46269</v>
      </c>
      <c r="D862" s="4" t="s">
        <v>1761</v>
      </c>
      <c r="E862" s="4" t="s">
        <v>6615</v>
      </c>
      <c r="F862" s="7" t="n">
        <v>19909.84</v>
      </c>
      <c r="G862" s="24" t="s">
        <v>5951</v>
      </c>
      <c r="H862" s="4" t="s">
        <v>1757</v>
      </c>
      <c r="I862" s="4"/>
    </row>
    <row r="863" customFormat="false" ht="15" hidden="false" customHeight="false" outlineLevel="0" collapsed="false">
      <c r="A863" s="4" t="s">
        <v>1764</v>
      </c>
      <c r="B863" s="23" t="n">
        <v>860</v>
      </c>
      <c r="C863" s="6" t="n">
        <v>46269</v>
      </c>
      <c r="D863" s="4" t="s">
        <v>1766</v>
      </c>
      <c r="E863" s="4" t="s">
        <v>6617</v>
      </c>
      <c r="F863" s="7" t="n">
        <v>48521.93</v>
      </c>
      <c r="G863" s="24" t="s">
        <v>5951</v>
      </c>
      <c r="H863" s="4" t="s">
        <v>1762</v>
      </c>
      <c r="I863" s="4"/>
    </row>
    <row r="864" customFormat="false" ht="15" hidden="false" customHeight="false" outlineLevel="0" collapsed="false">
      <c r="A864" s="4" t="s">
        <v>3473</v>
      </c>
      <c r="B864" s="23" t="n">
        <v>861</v>
      </c>
      <c r="C864" s="6" t="n">
        <v>46269</v>
      </c>
      <c r="D864" s="4" t="s">
        <v>3475</v>
      </c>
      <c r="E864" s="4" t="s">
        <v>7326</v>
      </c>
      <c r="F864" s="7" t="n">
        <v>8551.21</v>
      </c>
      <c r="G864" s="24" t="s">
        <v>5951</v>
      </c>
      <c r="H864" s="4" t="s">
        <v>3471</v>
      </c>
      <c r="I864" s="4"/>
    </row>
    <row r="865" customFormat="false" ht="15" hidden="false" customHeight="false" outlineLevel="0" collapsed="false">
      <c r="A865" s="4" t="s">
        <v>3478</v>
      </c>
      <c r="B865" s="23" t="n">
        <v>862</v>
      </c>
      <c r="C865" s="6" t="n">
        <v>46269</v>
      </c>
      <c r="D865" s="4" t="s">
        <v>3480</v>
      </c>
      <c r="E865" s="4" t="s">
        <v>7327</v>
      </c>
      <c r="F865" s="7" t="n">
        <v>-49648.74</v>
      </c>
      <c r="G865" s="24" t="s">
        <v>5951</v>
      </c>
      <c r="H865" s="4" t="s">
        <v>3476</v>
      </c>
      <c r="I865" s="4"/>
    </row>
    <row r="866" customFormat="false" ht="15" hidden="false" customHeight="false" outlineLevel="0" collapsed="false">
      <c r="A866" s="4" t="s">
        <v>4827</v>
      </c>
      <c r="B866" s="23" t="n">
        <v>863</v>
      </c>
      <c r="C866" s="6" t="n">
        <v>46269</v>
      </c>
      <c r="D866" s="4" t="s">
        <v>4829</v>
      </c>
      <c r="E866" s="4" t="s">
        <v>7328</v>
      </c>
      <c r="F866" s="7" t="n">
        <v>-20929.63</v>
      </c>
      <c r="G866" s="24" t="s">
        <v>5951</v>
      </c>
      <c r="H866" s="4" t="s">
        <v>4825</v>
      </c>
      <c r="I866" s="4"/>
    </row>
    <row r="867" customFormat="false" ht="15" hidden="false" customHeight="false" outlineLevel="0" collapsed="false">
      <c r="A867" s="4" t="s">
        <v>1769</v>
      </c>
      <c r="B867" s="23" t="n">
        <v>864</v>
      </c>
      <c r="C867" s="6" t="n">
        <v>46269</v>
      </c>
      <c r="D867" s="4" t="s">
        <v>1771</v>
      </c>
      <c r="E867" s="4" t="s">
        <v>7329</v>
      </c>
      <c r="F867" s="7" t="n">
        <v>-59444.12</v>
      </c>
      <c r="G867" s="24" t="s">
        <v>5951</v>
      </c>
      <c r="H867" s="4" t="s">
        <v>1767</v>
      </c>
      <c r="I867" s="4"/>
    </row>
    <row r="868" customFormat="false" ht="15" hidden="false" customHeight="false" outlineLevel="0" collapsed="false">
      <c r="A868" s="4" t="s">
        <v>5675</v>
      </c>
      <c r="B868" s="23" t="n">
        <v>865</v>
      </c>
      <c r="C868" s="6" t="n">
        <v>46269</v>
      </c>
      <c r="D868" s="4" t="s">
        <v>5677</v>
      </c>
      <c r="E868" s="4" t="s">
        <v>7330</v>
      </c>
      <c r="F868" s="7" t="n">
        <v>-14738.35</v>
      </c>
      <c r="G868" s="24" t="s">
        <v>5951</v>
      </c>
      <c r="H868" s="4" t="s">
        <v>5673</v>
      </c>
      <c r="I868" s="4"/>
    </row>
    <row r="869" customFormat="false" ht="15" hidden="false" customHeight="false" outlineLevel="0" collapsed="false">
      <c r="A869" s="4" t="s">
        <v>3483</v>
      </c>
      <c r="B869" s="23" t="n">
        <v>866</v>
      </c>
      <c r="C869" s="6" t="n">
        <v>46270</v>
      </c>
      <c r="D869" s="4" t="s">
        <v>3485</v>
      </c>
      <c r="E869" s="4" t="s">
        <v>6631</v>
      </c>
      <c r="F869" s="7" t="n">
        <v>29758.8</v>
      </c>
      <c r="G869" s="24" t="s">
        <v>5951</v>
      </c>
      <c r="H869" s="4" t="s">
        <v>3481</v>
      </c>
      <c r="I869" s="4"/>
    </row>
    <row r="870" customFormat="false" ht="15" hidden="false" customHeight="false" outlineLevel="0" collapsed="false">
      <c r="A870" s="4" t="s">
        <v>1774</v>
      </c>
      <c r="B870" s="23" t="n">
        <v>867</v>
      </c>
      <c r="C870" s="6" t="n">
        <v>46270</v>
      </c>
      <c r="D870" s="4" t="s">
        <v>1776</v>
      </c>
      <c r="E870" s="4" t="s">
        <v>7331</v>
      </c>
      <c r="F870" s="7" t="n">
        <v>36017.93</v>
      </c>
      <c r="G870" s="24" t="s">
        <v>5951</v>
      </c>
      <c r="H870" s="4" t="s">
        <v>1772</v>
      </c>
      <c r="I870" s="4"/>
    </row>
    <row r="871" customFormat="false" ht="15" hidden="false" customHeight="false" outlineLevel="0" collapsed="false">
      <c r="A871" s="4" t="s">
        <v>3488</v>
      </c>
      <c r="B871" s="23" t="n">
        <v>868</v>
      </c>
      <c r="C871" s="6" t="n">
        <v>46270</v>
      </c>
      <c r="D871" s="4" t="s">
        <v>3490</v>
      </c>
      <c r="E871" s="4" t="s">
        <v>6632</v>
      </c>
      <c r="F871" s="7" t="n">
        <v>3923.34</v>
      </c>
      <c r="G871" s="24" t="s">
        <v>5951</v>
      </c>
      <c r="H871" s="4" t="s">
        <v>3486</v>
      </c>
      <c r="I871" s="4"/>
    </row>
    <row r="872" customFormat="false" ht="15" hidden="false" customHeight="false" outlineLevel="0" collapsed="false">
      <c r="A872" s="4" t="s">
        <v>3493</v>
      </c>
      <c r="B872" s="23" t="n">
        <v>869</v>
      </c>
      <c r="C872" s="6" t="n">
        <v>46270</v>
      </c>
      <c r="D872" s="4" t="s">
        <v>3495</v>
      </c>
      <c r="E872" s="4" t="s">
        <v>6633</v>
      </c>
      <c r="F872" s="7" t="n">
        <v>87294.82</v>
      </c>
      <c r="G872" s="24" t="s">
        <v>5951</v>
      </c>
      <c r="H872" s="4" t="s">
        <v>3491</v>
      </c>
      <c r="I872" s="4"/>
    </row>
    <row r="873" customFormat="false" ht="15" hidden="false" customHeight="false" outlineLevel="0" collapsed="false">
      <c r="A873" s="4" t="s">
        <v>1779</v>
      </c>
      <c r="B873" s="23" t="n">
        <v>870</v>
      </c>
      <c r="C873" s="6" t="n">
        <v>46270</v>
      </c>
      <c r="D873" s="4" t="s">
        <v>1781</v>
      </c>
      <c r="E873" s="4" t="s">
        <v>6623</v>
      </c>
      <c r="F873" s="7" t="n">
        <v>7926.89</v>
      </c>
      <c r="G873" s="24" t="s">
        <v>5951</v>
      </c>
      <c r="H873" s="4" t="s">
        <v>1777</v>
      </c>
      <c r="I873" s="4"/>
    </row>
    <row r="874" customFormat="false" ht="15" hidden="false" customHeight="false" outlineLevel="0" collapsed="false">
      <c r="A874" s="4" t="s">
        <v>1784</v>
      </c>
      <c r="B874" s="23" t="n">
        <v>871</v>
      </c>
      <c r="C874" s="6" t="n">
        <v>46270</v>
      </c>
      <c r="D874" s="4" t="s">
        <v>1786</v>
      </c>
      <c r="E874" s="4" t="s">
        <v>6624</v>
      </c>
      <c r="F874" s="7" t="n">
        <v>28460.77</v>
      </c>
      <c r="G874" s="24" t="s">
        <v>5951</v>
      </c>
      <c r="H874" s="4" t="s">
        <v>1782</v>
      </c>
      <c r="I874" s="4"/>
    </row>
    <row r="875" customFormat="false" ht="15" hidden="false" customHeight="false" outlineLevel="0" collapsed="false">
      <c r="A875" s="4" t="s">
        <v>5226</v>
      </c>
      <c r="B875" s="23" t="n">
        <v>872</v>
      </c>
      <c r="C875" s="6" t="n">
        <v>46270</v>
      </c>
      <c r="D875" s="4" t="s">
        <v>5228</v>
      </c>
      <c r="E875" s="4" t="s">
        <v>7332</v>
      </c>
      <c r="F875" s="7" t="n">
        <v>-59900.49</v>
      </c>
      <c r="G875" s="24" t="s">
        <v>5951</v>
      </c>
      <c r="H875" s="4" t="s">
        <v>5224</v>
      </c>
      <c r="I875" s="4"/>
    </row>
    <row r="876" customFormat="false" ht="15" hidden="false" customHeight="false" outlineLevel="0" collapsed="false">
      <c r="A876" s="4" t="s">
        <v>5231</v>
      </c>
      <c r="B876" s="23" t="n">
        <v>873</v>
      </c>
      <c r="C876" s="6" t="n">
        <v>46270</v>
      </c>
      <c r="D876" s="4" t="s">
        <v>5233</v>
      </c>
      <c r="E876" s="4" t="s">
        <v>7333</v>
      </c>
      <c r="F876" s="7" t="n">
        <v>-9148.56</v>
      </c>
      <c r="G876" s="24" t="s">
        <v>5951</v>
      </c>
      <c r="H876" s="4" t="s">
        <v>5229</v>
      </c>
      <c r="I876" s="4"/>
    </row>
    <row r="877" customFormat="false" ht="15" hidden="false" customHeight="false" outlineLevel="0" collapsed="false">
      <c r="A877" s="4" t="s">
        <v>4832</v>
      </c>
      <c r="B877" s="23" t="n">
        <v>874</v>
      </c>
      <c r="C877" s="6" t="n">
        <v>46270</v>
      </c>
      <c r="D877" s="4" t="s">
        <v>4834</v>
      </c>
      <c r="E877" s="4" t="s">
        <v>7334</v>
      </c>
      <c r="F877" s="7" t="n">
        <v>-10646.88</v>
      </c>
      <c r="G877" s="24" t="s">
        <v>5951</v>
      </c>
      <c r="H877" s="4" t="s">
        <v>4830</v>
      </c>
      <c r="I877" s="4"/>
    </row>
    <row r="878" customFormat="false" ht="15" hidden="false" customHeight="false" outlineLevel="0" collapsed="false">
      <c r="A878" s="4" t="s">
        <v>4392</v>
      </c>
      <c r="B878" s="23" t="n">
        <v>875</v>
      </c>
      <c r="C878" s="6" t="n">
        <v>46270</v>
      </c>
      <c r="D878" s="4" t="s">
        <v>4394</v>
      </c>
      <c r="E878" s="4" t="s">
        <v>7335</v>
      </c>
      <c r="F878" s="7" t="n">
        <v>-30124.56</v>
      </c>
      <c r="G878" s="24" t="s">
        <v>5951</v>
      </c>
      <c r="H878" s="4" t="s">
        <v>4390</v>
      </c>
      <c r="I878" s="4"/>
    </row>
    <row r="879" customFormat="false" ht="15" hidden="false" customHeight="false" outlineLevel="0" collapsed="false">
      <c r="A879" s="4" t="s">
        <v>5236</v>
      </c>
      <c r="B879" s="23" t="n">
        <v>876</v>
      </c>
      <c r="C879" s="6" t="n">
        <v>46270</v>
      </c>
      <c r="D879" s="4" t="s">
        <v>5238</v>
      </c>
      <c r="E879" s="4" t="s">
        <v>7336</v>
      </c>
      <c r="F879" s="7" t="n">
        <v>-17056.64</v>
      </c>
      <c r="G879" s="24" t="s">
        <v>5951</v>
      </c>
      <c r="H879" s="4" t="s">
        <v>5234</v>
      </c>
      <c r="I879" s="4"/>
    </row>
    <row r="880" customFormat="false" ht="15" hidden="false" customHeight="false" outlineLevel="0" collapsed="false">
      <c r="A880" s="4" t="s">
        <v>5241</v>
      </c>
      <c r="B880" s="23" t="n">
        <v>877</v>
      </c>
      <c r="C880" s="6" t="n">
        <v>46270</v>
      </c>
      <c r="D880" s="4" t="s">
        <v>5243</v>
      </c>
      <c r="E880" s="4" t="s">
        <v>7337</v>
      </c>
      <c r="F880" s="7" t="n">
        <v>-21720.47</v>
      </c>
      <c r="G880" s="24" t="s">
        <v>5951</v>
      </c>
      <c r="H880" s="4" t="s">
        <v>5239</v>
      </c>
      <c r="I880" s="4"/>
    </row>
    <row r="881" customFormat="false" ht="15" hidden="false" customHeight="false" outlineLevel="0" collapsed="false">
      <c r="A881" s="4" t="s">
        <v>4397</v>
      </c>
      <c r="B881" s="23" t="n">
        <v>878</v>
      </c>
      <c r="C881" s="6" t="n">
        <v>46270</v>
      </c>
      <c r="D881" s="4" t="s">
        <v>4399</v>
      </c>
      <c r="E881" s="4" t="s">
        <v>7338</v>
      </c>
      <c r="F881" s="7" t="n">
        <v>-37553.36</v>
      </c>
      <c r="G881" s="24" t="s">
        <v>5951</v>
      </c>
      <c r="H881" s="4" t="s">
        <v>4395</v>
      </c>
      <c r="I881" s="4"/>
    </row>
    <row r="882" customFormat="false" ht="15" hidden="false" customHeight="false" outlineLevel="0" collapsed="false">
      <c r="A882" s="4" t="s">
        <v>3498</v>
      </c>
      <c r="B882" s="23" t="n">
        <v>879</v>
      </c>
      <c r="C882" s="6" t="n">
        <v>46271</v>
      </c>
      <c r="D882" s="4" t="s">
        <v>3500</v>
      </c>
      <c r="E882" s="4" t="s">
        <v>7339</v>
      </c>
      <c r="F882" s="7" t="n">
        <v>21879.78</v>
      </c>
      <c r="G882" s="24" t="s">
        <v>5951</v>
      </c>
      <c r="H882" s="4" t="s">
        <v>3496</v>
      </c>
      <c r="I882" s="4"/>
    </row>
    <row r="883" customFormat="false" ht="15" hidden="false" customHeight="false" outlineLevel="0" collapsed="false">
      <c r="A883" s="4" t="s">
        <v>4402</v>
      </c>
      <c r="B883" s="23" t="n">
        <v>880</v>
      </c>
      <c r="C883" s="6" t="n">
        <v>46271</v>
      </c>
      <c r="D883" s="4" t="s">
        <v>4404</v>
      </c>
      <c r="E883" s="4" t="s">
        <v>6649</v>
      </c>
      <c r="F883" s="7" t="n">
        <v>65774.49</v>
      </c>
      <c r="G883" s="24" t="s">
        <v>5951</v>
      </c>
      <c r="H883" s="4" t="s">
        <v>4400</v>
      </c>
      <c r="I883" s="4"/>
    </row>
    <row r="884" customFormat="false" ht="15" hidden="false" customHeight="false" outlineLevel="0" collapsed="false">
      <c r="A884" s="4" t="s">
        <v>1789</v>
      </c>
      <c r="B884" s="23" t="n">
        <v>881</v>
      </c>
      <c r="C884" s="6" t="n">
        <v>46271</v>
      </c>
      <c r="D884" s="4" t="s">
        <v>1791</v>
      </c>
      <c r="E884" s="4" t="s">
        <v>6629</v>
      </c>
      <c r="F884" s="7" t="n">
        <v>60837.74</v>
      </c>
      <c r="G884" s="24" t="s">
        <v>5951</v>
      </c>
      <c r="H884" s="4" t="s">
        <v>1787</v>
      </c>
      <c r="I884" s="4"/>
    </row>
    <row r="885" customFormat="false" ht="15" hidden="false" customHeight="false" outlineLevel="0" collapsed="false">
      <c r="A885" s="4" t="s">
        <v>1794</v>
      </c>
      <c r="B885" s="23" t="n">
        <v>882</v>
      </c>
      <c r="C885" s="6" t="n">
        <v>46271</v>
      </c>
      <c r="D885" s="4" t="s">
        <v>1796</v>
      </c>
      <c r="E885" s="4" t="s">
        <v>6630</v>
      </c>
      <c r="F885" s="7" t="n">
        <v>11458.66</v>
      </c>
      <c r="G885" s="24" t="s">
        <v>5951</v>
      </c>
      <c r="H885" s="4" t="s">
        <v>1792</v>
      </c>
      <c r="I885" s="4"/>
    </row>
    <row r="886" customFormat="false" ht="15" hidden="false" customHeight="false" outlineLevel="0" collapsed="false">
      <c r="A886" s="4" t="s">
        <v>3503</v>
      </c>
      <c r="B886" s="23" t="n">
        <v>883</v>
      </c>
      <c r="C886" s="6" t="n">
        <v>46271</v>
      </c>
      <c r="D886" s="4" t="s">
        <v>3505</v>
      </c>
      <c r="E886" s="4" t="s">
        <v>6638</v>
      </c>
      <c r="F886" s="7" t="n">
        <v>16040.14</v>
      </c>
      <c r="G886" s="24" t="s">
        <v>5951</v>
      </c>
      <c r="H886" s="4" t="s">
        <v>3501</v>
      </c>
      <c r="I886" s="4"/>
    </row>
    <row r="887" customFormat="false" ht="15" hidden="false" customHeight="false" outlineLevel="0" collapsed="false">
      <c r="A887" s="4" t="s">
        <v>3508</v>
      </c>
      <c r="B887" s="23" t="n">
        <v>884</v>
      </c>
      <c r="C887" s="6" t="n">
        <v>46271</v>
      </c>
      <c r="D887" s="4" t="s">
        <v>3510</v>
      </c>
      <c r="E887" s="4" t="s">
        <v>6639</v>
      </c>
      <c r="F887" s="7" t="n">
        <v>9728.69</v>
      </c>
      <c r="G887" s="24" t="s">
        <v>5951</v>
      </c>
      <c r="H887" s="4" t="s">
        <v>3506</v>
      </c>
      <c r="I887" s="4"/>
    </row>
    <row r="888" customFormat="false" ht="15" hidden="false" customHeight="false" outlineLevel="0" collapsed="false">
      <c r="A888" s="4" t="s">
        <v>3513</v>
      </c>
      <c r="B888" s="23" t="n">
        <v>885</v>
      </c>
      <c r="C888" s="6" t="n">
        <v>46271</v>
      </c>
      <c r="D888" s="4" t="s">
        <v>3515</v>
      </c>
      <c r="E888" s="4" t="s">
        <v>6640</v>
      </c>
      <c r="F888" s="7" t="n">
        <v>60635.49</v>
      </c>
      <c r="G888" s="24" t="s">
        <v>5951</v>
      </c>
      <c r="H888" s="4" t="s">
        <v>3511</v>
      </c>
      <c r="I888" s="4"/>
    </row>
    <row r="889" customFormat="false" ht="15" hidden="false" customHeight="false" outlineLevel="0" collapsed="false">
      <c r="A889" s="4" t="s">
        <v>3518</v>
      </c>
      <c r="B889" s="23" t="n">
        <v>886</v>
      </c>
      <c r="C889" s="6" t="n">
        <v>46271</v>
      </c>
      <c r="D889" s="4" t="s">
        <v>3520</v>
      </c>
      <c r="E889" s="4" t="s">
        <v>7340</v>
      </c>
      <c r="F889" s="7" t="n">
        <v>-40750.39</v>
      </c>
      <c r="G889" s="24" t="s">
        <v>5951</v>
      </c>
      <c r="H889" s="4" t="s">
        <v>3516</v>
      </c>
      <c r="I889" s="4"/>
    </row>
    <row r="890" customFormat="false" ht="15" hidden="false" customHeight="false" outlineLevel="0" collapsed="false">
      <c r="A890" s="4" t="s">
        <v>4407</v>
      </c>
      <c r="B890" s="23" t="n">
        <v>887</v>
      </c>
      <c r="C890" s="6" t="n">
        <v>46271</v>
      </c>
      <c r="D890" s="4" t="s">
        <v>4409</v>
      </c>
      <c r="E890" s="4" t="s">
        <v>7341</v>
      </c>
      <c r="F890" s="7" t="n">
        <v>-38050.52</v>
      </c>
      <c r="G890" s="24" t="s">
        <v>5951</v>
      </c>
      <c r="H890" s="4" t="s">
        <v>4405</v>
      </c>
      <c r="I890" s="4"/>
    </row>
    <row r="891" customFormat="false" ht="15" hidden="false" customHeight="false" outlineLevel="0" collapsed="false">
      <c r="A891" s="4" t="s">
        <v>5246</v>
      </c>
      <c r="B891" s="23" t="n">
        <v>888</v>
      </c>
      <c r="C891" s="6" t="n">
        <v>46271</v>
      </c>
      <c r="D891" s="4" t="s">
        <v>5248</v>
      </c>
      <c r="E891" s="4" t="s">
        <v>7342</v>
      </c>
      <c r="F891" s="7" t="n">
        <v>-34353.17</v>
      </c>
      <c r="G891" s="24" t="s">
        <v>5951</v>
      </c>
      <c r="H891" s="4" t="s">
        <v>5244</v>
      </c>
      <c r="I891" s="4"/>
    </row>
    <row r="892" customFormat="false" ht="15" hidden="false" customHeight="false" outlineLevel="0" collapsed="false">
      <c r="A892" s="4" t="s">
        <v>4837</v>
      </c>
      <c r="B892" s="23" t="n">
        <v>889</v>
      </c>
      <c r="C892" s="6" t="n">
        <v>46271</v>
      </c>
      <c r="D892" s="4" t="s">
        <v>4839</v>
      </c>
      <c r="E892" s="4" t="s">
        <v>7343</v>
      </c>
      <c r="F892" s="7" t="n">
        <v>-58249.98</v>
      </c>
      <c r="G892" s="24" t="s">
        <v>5951</v>
      </c>
      <c r="H892" s="4" t="s">
        <v>4835</v>
      </c>
      <c r="I892" s="4"/>
    </row>
    <row r="893" customFormat="false" ht="15" hidden="false" customHeight="false" outlineLevel="0" collapsed="false">
      <c r="A893" s="4" t="s">
        <v>4412</v>
      </c>
      <c r="B893" s="23" t="n">
        <v>890</v>
      </c>
      <c r="C893" s="6" t="n">
        <v>46271</v>
      </c>
      <c r="D893" s="4" t="s">
        <v>4414</v>
      </c>
      <c r="E893" s="4" t="s">
        <v>7344</v>
      </c>
      <c r="F893" s="7" t="n">
        <v>-55676.06</v>
      </c>
      <c r="G893" s="24" t="s">
        <v>5951</v>
      </c>
      <c r="H893" s="4" t="s">
        <v>4410</v>
      </c>
      <c r="I893" s="4"/>
    </row>
    <row r="894" customFormat="false" ht="15" hidden="false" customHeight="false" outlineLevel="0" collapsed="false">
      <c r="A894" s="4" t="s">
        <v>3523</v>
      </c>
      <c r="B894" s="23" t="n">
        <v>891</v>
      </c>
      <c r="C894" s="6" t="n">
        <v>46271</v>
      </c>
      <c r="D894" s="4" t="s">
        <v>3525</v>
      </c>
      <c r="E894" s="4" t="s">
        <v>7345</v>
      </c>
      <c r="F894" s="7" t="n">
        <v>-31673.94</v>
      </c>
      <c r="G894" s="24" t="s">
        <v>5951</v>
      </c>
      <c r="H894" s="4" t="s">
        <v>3521</v>
      </c>
      <c r="I894" s="4"/>
    </row>
    <row r="895" customFormat="false" ht="15" hidden="false" customHeight="false" outlineLevel="0" collapsed="false">
      <c r="A895" s="4" t="s">
        <v>4842</v>
      </c>
      <c r="B895" s="23" t="n">
        <v>892</v>
      </c>
      <c r="C895" s="6" t="n">
        <v>46271</v>
      </c>
      <c r="D895" s="4" t="s">
        <v>4844</v>
      </c>
      <c r="E895" s="4" t="s">
        <v>7346</v>
      </c>
      <c r="F895" s="7" t="n">
        <v>-23074.48</v>
      </c>
      <c r="G895" s="24" t="s">
        <v>5951</v>
      </c>
      <c r="H895" s="4" t="s">
        <v>4840</v>
      </c>
      <c r="I895" s="4"/>
    </row>
    <row r="896" customFormat="false" ht="15" hidden="false" customHeight="false" outlineLevel="0" collapsed="false">
      <c r="A896" s="4" t="s">
        <v>5836</v>
      </c>
      <c r="B896" s="23" t="n">
        <v>893</v>
      </c>
      <c r="C896" s="6" t="n">
        <v>46271</v>
      </c>
      <c r="D896" s="4" t="s">
        <v>5783</v>
      </c>
      <c r="E896" s="4"/>
      <c r="F896" s="7" t="n">
        <v>-7043.03</v>
      </c>
      <c r="G896" s="24" t="s">
        <v>5951</v>
      </c>
      <c r="H896" s="4" t="s">
        <v>5834</v>
      </c>
      <c r="I896" s="4"/>
    </row>
    <row r="897" customFormat="false" ht="15" hidden="false" customHeight="false" outlineLevel="0" collapsed="false">
      <c r="A897" s="4" t="s">
        <v>450</v>
      </c>
      <c r="B897" s="23" t="n">
        <v>894</v>
      </c>
      <c r="C897" s="6" t="n">
        <v>46271</v>
      </c>
      <c r="D897" s="4" t="s">
        <v>5885</v>
      </c>
      <c r="E897" s="4" t="s">
        <v>451</v>
      </c>
      <c r="F897" s="7" t="n">
        <v>79709.64</v>
      </c>
      <c r="G897" s="25" t="s">
        <v>5987</v>
      </c>
      <c r="H897" s="4" t="s">
        <v>5883</v>
      </c>
      <c r="I897" s="4" t="s">
        <v>448</v>
      </c>
    </row>
    <row r="898" customFormat="false" ht="15" hidden="false" customHeight="false" outlineLevel="0" collapsed="false">
      <c r="A898" s="4" t="s">
        <v>518</v>
      </c>
      <c r="B898" s="23" t="n">
        <v>895</v>
      </c>
      <c r="C898" s="6" t="n">
        <v>46271</v>
      </c>
      <c r="D898" s="4" t="s">
        <v>5919</v>
      </c>
      <c r="E898" s="4"/>
      <c r="F898" s="7" t="n">
        <v>-439.6</v>
      </c>
      <c r="G898" s="25" t="s">
        <v>5987</v>
      </c>
      <c r="H898" s="4" t="s">
        <v>5917</v>
      </c>
      <c r="I898" s="4" t="s">
        <v>516</v>
      </c>
    </row>
    <row r="899" customFormat="false" ht="15" hidden="false" customHeight="false" outlineLevel="0" collapsed="false">
      <c r="A899" s="4" t="s">
        <v>1799</v>
      </c>
      <c r="B899" s="23" t="n">
        <v>896</v>
      </c>
      <c r="C899" s="6" t="n">
        <v>46272</v>
      </c>
      <c r="D899" s="4" t="s">
        <v>1801</v>
      </c>
      <c r="E899" s="4" t="s">
        <v>6636</v>
      </c>
      <c r="F899" s="7" t="n">
        <v>9664.14</v>
      </c>
      <c r="G899" s="24" t="s">
        <v>5951</v>
      </c>
      <c r="H899" s="4" t="s">
        <v>1797</v>
      </c>
      <c r="I899" s="4"/>
    </row>
    <row r="900" customFormat="false" ht="15" hidden="false" customHeight="false" outlineLevel="0" collapsed="false">
      <c r="A900" s="4" t="s">
        <v>3528</v>
      </c>
      <c r="B900" s="23" t="n">
        <v>897</v>
      </c>
      <c r="C900" s="6" t="n">
        <v>46272</v>
      </c>
      <c r="D900" s="4" t="s">
        <v>3530</v>
      </c>
      <c r="E900" s="4" t="s">
        <v>6647</v>
      </c>
      <c r="F900" s="7" t="n">
        <v>48670.13</v>
      </c>
      <c r="G900" s="24" t="s">
        <v>5951</v>
      </c>
      <c r="H900" s="4" t="s">
        <v>3526</v>
      </c>
      <c r="I900" s="4"/>
    </row>
    <row r="901" customFormat="false" ht="15" hidden="false" customHeight="false" outlineLevel="0" collapsed="false">
      <c r="A901" s="4" t="s">
        <v>3533</v>
      </c>
      <c r="B901" s="23" t="n">
        <v>898</v>
      </c>
      <c r="C901" s="6" t="n">
        <v>46272</v>
      </c>
      <c r="D901" s="4" t="s">
        <v>3535</v>
      </c>
      <c r="E901" s="4" t="s">
        <v>6648</v>
      </c>
      <c r="F901" s="7" t="n">
        <v>16402.23</v>
      </c>
      <c r="G901" s="24" t="s">
        <v>5951</v>
      </c>
      <c r="H901" s="4" t="s">
        <v>3531</v>
      </c>
      <c r="I901" s="4"/>
    </row>
    <row r="902" customFormat="false" ht="15" hidden="false" customHeight="false" outlineLevel="0" collapsed="false">
      <c r="A902" s="4" t="s">
        <v>1804</v>
      </c>
      <c r="B902" s="23" t="n">
        <v>899</v>
      </c>
      <c r="C902" s="6" t="n">
        <v>46272</v>
      </c>
      <c r="D902" s="4" t="s">
        <v>1806</v>
      </c>
      <c r="E902" s="4" t="s">
        <v>6637</v>
      </c>
      <c r="F902" s="7" t="n">
        <v>4733.34</v>
      </c>
      <c r="G902" s="24" t="s">
        <v>5951</v>
      </c>
      <c r="H902" s="4" t="s">
        <v>1802</v>
      </c>
      <c r="I902" s="4"/>
    </row>
    <row r="903" customFormat="false" ht="15" hidden="false" customHeight="false" outlineLevel="0" collapsed="false">
      <c r="A903" s="4" t="s">
        <v>1809</v>
      </c>
      <c r="B903" s="23" t="n">
        <v>900</v>
      </c>
      <c r="C903" s="6" t="n">
        <v>46272</v>
      </c>
      <c r="D903" s="4" t="s">
        <v>1811</v>
      </c>
      <c r="E903" s="4" t="s">
        <v>6641</v>
      </c>
      <c r="F903" s="7" t="n">
        <v>90820.42</v>
      </c>
      <c r="G903" s="24" t="s">
        <v>5951</v>
      </c>
      <c r="H903" s="4" t="s">
        <v>1807</v>
      </c>
      <c r="I903" s="4"/>
    </row>
    <row r="904" customFormat="false" ht="15" hidden="false" customHeight="false" outlineLevel="0" collapsed="false">
      <c r="A904" s="4" t="s">
        <v>5251</v>
      </c>
      <c r="B904" s="23" t="n">
        <v>901</v>
      </c>
      <c r="C904" s="6" t="n">
        <v>46272</v>
      </c>
      <c r="D904" s="4" t="s">
        <v>5253</v>
      </c>
      <c r="E904" s="4" t="s">
        <v>7347</v>
      </c>
      <c r="F904" s="7" t="n">
        <v>-46522.15</v>
      </c>
      <c r="G904" s="24" t="s">
        <v>5951</v>
      </c>
      <c r="H904" s="4" t="s">
        <v>5249</v>
      </c>
      <c r="I904" s="4"/>
    </row>
    <row r="905" customFormat="false" ht="15" hidden="false" customHeight="false" outlineLevel="0" collapsed="false">
      <c r="A905" s="4" t="s">
        <v>5680</v>
      </c>
      <c r="B905" s="23" t="n">
        <v>902</v>
      </c>
      <c r="C905" s="6" t="n">
        <v>46272</v>
      </c>
      <c r="D905" s="4" t="s">
        <v>5682</v>
      </c>
      <c r="E905" s="4" t="s">
        <v>7348</v>
      </c>
      <c r="F905" s="7" t="n">
        <v>-27898.26</v>
      </c>
      <c r="G905" s="24" t="s">
        <v>5951</v>
      </c>
      <c r="H905" s="4" t="s">
        <v>5678</v>
      </c>
      <c r="I905" s="4"/>
    </row>
    <row r="906" customFormat="false" ht="15" hidden="false" customHeight="false" outlineLevel="0" collapsed="false">
      <c r="A906" s="4" t="s">
        <v>5685</v>
      </c>
      <c r="B906" s="23" t="n">
        <v>903</v>
      </c>
      <c r="C906" s="6" t="n">
        <v>46272</v>
      </c>
      <c r="D906" s="4" t="s">
        <v>5687</v>
      </c>
      <c r="E906" s="4" t="s">
        <v>7349</v>
      </c>
      <c r="F906" s="7" t="n">
        <v>-52586.5</v>
      </c>
      <c r="G906" s="24" t="s">
        <v>5951</v>
      </c>
      <c r="H906" s="4" t="s">
        <v>5683</v>
      </c>
      <c r="I906" s="4"/>
    </row>
    <row r="907" customFormat="false" ht="15" hidden="false" customHeight="false" outlineLevel="0" collapsed="false">
      <c r="A907" s="4" t="s">
        <v>5690</v>
      </c>
      <c r="B907" s="23" t="n">
        <v>904</v>
      </c>
      <c r="C907" s="6" t="n">
        <v>46272</v>
      </c>
      <c r="D907" s="4" t="s">
        <v>5692</v>
      </c>
      <c r="E907" s="4" t="s">
        <v>7350</v>
      </c>
      <c r="F907" s="7" t="n">
        <v>-11696.53</v>
      </c>
      <c r="G907" s="24" t="s">
        <v>5951</v>
      </c>
      <c r="H907" s="4" t="s">
        <v>5688</v>
      </c>
      <c r="I907" s="4"/>
    </row>
    <row r="908" customFormat="false" ht="15" hidden="false" customHeight="false" outlineLevel="0" collapsed="false">
      <c r="A908" s="4" t="s">
        <v>5695</v>
      </c>
      <c r="B908" s="23" t="n">
        <v>905</v>
      </c>
      <c r="C908" s="6" t="n">
        <v>46272</v>
      </c>
      <c r="D908" s="4" t="s">
        <v>5697</v>
      </c>
      <c r="E908" s="4" t="s">
        <v>7351</v>
      </c>
      <c r="F908" s="7" t="n">
        <v>-3600.38</v>
      </c>
      <c r="G908" s="24" t="s">
        <v>5951</v>
      </c>
      <c r="H908" s="4" t="s">
        <v>5693</v>
      </c>
      <c r="I908" s="4"/>
    </row>
    <row r="909" customFormat="false" ht="15" hidden="false" customHeight="false" outlineLevel="0" collapsed="false">
      <c r="A909" s="4" t="s">
        <v>118</v>
      </c>
      <c r="B909" s="23" t="n">
        <v>906</v>
      </c>
      <c r="C909" s="6" t="n">
        <v>46272</v>
      </c>
      <c r="D909" s="4" t="s">
        <v>120</v>
      </c>
      <c r="E909" s="4" t="s">
        <v>119</v>
      </c>
      <c r="F909" s="7" t="n">
        <v>-20819.16</v>
      </c>
      <c r="G909" s="26" t="s">
        <v>6043</v>
      </c>
      <c r="H909" s="4"/>
      <c r="I909" s="4" t="s">
        <v>117</v>
      </c>
    </row>
    <row r="910" customFormat="false" ht="15" hidden="false" customHeight="false" outlineLevel="0" collapsed="false">
      <c r="A910" s="4" t="s">
        <v>4417</v>
      </c>
      <c r="B910" s="23" t="n">
        <v>907</v>
      </c>
      <c r="C910" s="6" t="n">
        <v>46273</v>
      </c>
      <c r="D910" s="4" t="s">
        <v>4419</v>
      </c>
      <c r="E910" s="4" t="s">
        <v>7352</v>
      </c>
      <c r="F910" s="7" t="n">
        <v>84475.32</v>
      </c>
      <c r="G910" s="24" t="s">
        <v>5951</v>
      </c>
      <c r="H910" s="4" t="s">
        <v>4415</v>
      </c>
      <c r="I910" s="4"/>
    </row>
    <row r="911" customFormat="false" ht="15" hidden="false" customHeight="false" outlineLevel="0" collapsed="false">
      <c r="A911" s="4" t="s">
        <v>4422</v>
      </c>
      <c r="B911" s="23" t="n">
        <v>908</v>
      </c>
      <c r="C911" s="6" t="n">
        <v>46273</v>
      </c>
      <c r="D911" s="4" t="s">
        <v>4424</v>
      </c>
      <c r="E911" s="4" t="s">
        <v>7353</v>
      </c>
      <c r="F911" s="7" t="n">
        <v>-11793.61</v>
      </c>
      <c r="G911" s="24" t="s">
        <v>5951</v>
      </c>
      <c r="H911" s="4" t="s">
        <v>4420</v>
      </c>
      <c r="I911" s="4"/>
    </row>
    <row r="912" customFormat="false" ht="15" hidden="false" customHeight="false" outlineLevel="0" collapsed="false">
      <c r="A912" s="4" t="s">
        <v>1814</v>
      </c>
      <c r="B912" s="23" t="n">
        <v>909</v>
      </c>
      <c r="C912" s="6" t="n">
        <v>46273</v>
      </c>
      <c r="D912" s="4" t="s">
        <v>1816</v>
      </c>
      <c r="E912" s="4" t="s">
        <v>7354</v>
      </c>
      <c r="F912" s="7" t="n">
        <v>-53915.02</v>
      </c>
      <c r="G912" s="24" t="s">
        <v>5951</v>
      </c>
      <c r="H912" s="4" t="s">
        <v>1812</v>
      </c>
      <c r="I912" s="4"/>
    </row>
    <row r="913" customFormat="false" ht="15" hidden="false" customHeight="false" outlineLevel="0" collapsed="false">
      <c r="A913" s="4" t="s">
        <v>4427</v>
      </c>
      <c r="B913" s="23" t="n">
        <v>910</v>
      </c>
      <c r="C913" s="6" t="n">
        <v>46273</v>
      </c>
      <c r="D913" s="4" t="s">
        <v>4429</v>
      </c>
      <c r="E913" s="4" t="s">
        <v>7355</v>
      </c>
      <c r="F913" s="7" t="n">
        <v>-18739.12</v>
      </c>
      <c r="G913" s="24" t="s">
        <v>5951</v>
      </c>
      <c r="H913" s="4" t="s">
        <v>4425</v>
      </c>
      <c r="I913" s="4"/>
    </row>
    <row r="914" customFormat="false" ht="15" hidden="false" customHeight="false" outlineLevel="0" collapsed="false">
      <c r="A914" s="4" t="s">
        <v>4432</v>
      </c>
      <c r="B914" s="23" t="n">
        <v>911</v>
      </c>
      <c r="C914" s="6" t="n">
        <v>46274</v>
      </c>
      <c r="D914" s="4" t="s">
        <v>4434</v>
      </c>
      <c r="E914" s="4" t="s">
        <v>7356</v>
      </c>
      <c r="F914" s="7" t="n">
        <v>35237.49</v>
      </c>
      <c r="G914" s="24" t="s">
        <v>5951</v>
      </c>
      <c r="H914" s="4" t="s">
        <v>4430</v>
      </c>
      <c r="I914" s="4"/>
    </row>
    <row r="915" customFormat="false" ht="15" hidden="false" customHeight="false" outlineLevel="0" collapsed="false">
      <c r="A915" s="4" t="s">
        <v>1819</v>
      </c>
      <c r="B915" s="23" t="n">
        <v>912</v>
      </c>
      <c r="C915" s="6" t="n">
        <v>46274</v>
      </c>
      <c r="D915" s="4" t="s">
        <v>1821</v>
      </c>
      <c r="E915" s="4" t="s">
        <v>6655</v>
      </c>
      <c r="F915" s="7" t="n">
        <v>70443.4</v>
      </c>
      <c r="G915" s="24" t="s">
        <v>5951</v>
      </c>
      <c r="H915" s="4" t="s">
        <v>1817</v>
      </c>
      <c r="I915" s="4"/>
    </row>
    <row r="916" customFormat="false" ht="15" hidden="false" customHeight="false" outlineLevel="0" collapsed="false">
      <c r="A916" s="4" t="s">
        <v>3538</v>
      </c>
      <c r="B916" s="23" t="n">
        <v>913</v>
      </c>
      <c r="C916" s="6" t="n">
        <v>46274</v>
      </c>
      <c r="D916" s="4" t="s">
        <v>3540</v>
      </c>
      <c r="E916" s="4" t="s">
        <v>7357</v>
      </c>
      <c r="F916" s="7" t="n">
        <v>33261.21</v>
      </c>
      <c r="G916" s="24" t="s">
        <v>5951</v>
      </c>
      <c r="H916" s="4" t="s">
        <v>3536</v>
      </c>
      <c r="I916" s="4"/>
    </row>
    <row r="917" customFormat="false" ht="15" hidden="false" customHeight="false" outlineLevel="0" collapsed="false">
      <c r="A917" s="4" t="s">
        <v>1824</v>
      </c>
      <c r="B917" s="23" t="n">
        <v>914</v>
      </c>
      <c r="C917" s="6" t="n">
        <v>46274</v>
      </c>
      <c r="D917" s="4" t="s">
        <v>1826</v>
      </c>
      <c r="E917" s="4" t="s">
        <v>6656</v>
      </c>
      <c r="F917" s="7" t="n">
        <v>89544.34</v>
      </c>
      <c r="G917" s="24" t="s">
        <v>5951</v>
      </c>
      <c r="H917" s="4" t="s">
        <v>1822</v>
      </c>
      <c r="I917" s="4"/>
    </row>
    <row r="918" customFormat="false" ht="15" hidden="false" customHeight="false" outlineLevel="0" collapsed="false">
      <c r="A918" s="4" t="s">
        <v>1829</v>
      </c>
      <c r="B918" s="23" t="n">
        <v>915</v>
      </c>
      <c r="C918" s="6" t="n">
        <v>46274</v>
      </c>
      <c r="D918" s="4" t="s">
        <v>1831</v>
      </c>
      <c r="E918" s="4" t="s">
        <v>6657</v>
      </c>
      <c r="F918" s="7" t="n">
        <v>77688.04</v>
      </c>
      <c r="G918" s="24" t="s">
        <v>5951</v>
      </c>
      <c r="H918" s="4" t="s">
        <v>1827</v>
      </c>
      <c r="I918" s="4"/>
    </row>
    <row r="919" customFormat="false" ht="15" hidden="false" customHeight="false" outlineLevel="0" collapsed="false">
      <c r="A919" s="4" t="s">
        <v>4437</v>
      </c>
      <c r="B919" s="23" t="n">
        <v>916</v>
      </c>
      <c r="C919" s="6" t="n">
        <v>46274</v>
      </c>
      <c r="D919" s="4" t="s">
        <v>4439</v>
      </c>
      <c r="E919" s="4" t="s">
        <v>6678</v>
      </c>
      <c r="F919" s="7" t="n">
        <v>6115.46</v>
      </c>
      <c r="G919" s="24" t="s">
        <v>5951</v>
      </c>
      <c r="H919" s="4" t="s">
        <v>4435</v>
      </c>
      <c r="I919" s="4"/>
    </row>
    <row r="920" customFormat="false" ht="15" hidden="false" customHeight="false" outlineLevel="0" collapsed="false">
      <c r="A920" s="4" t="s">
        <v>1834</v>
      </c>
      <c r="B920" s="23" t="n">
        <v>917</v>
      </c>
      <c r="C920" s="6" t="n">
        <v>46274</v>
      </c>
      <c r="D920" s="4" t="s">
        <v>1836</v>
      </c>
      <c r="E920" s="4" t="s">
        <v>6658</v>
      </c>
      <c r="F920" s="7" t="n">
        <v>39367.3</v>
      </c>
      <c r="G920" s="24" t="s">
        <v>5951</v>
      </c>
      <c r="H920" s="4" t="s">
        <v>1832</v>
      </c>
      <c r="I920" s="4"/>
    </row>
    <row r="921" customFormat="false" ht="15" hidden="false" customHeight="false" outlineLevel="0" collapsed="false">
      <c r="A921" s="4" t="s">
        <v>3543</v>
      </c>
      <c r="B921" s="23" t="n">
        <v>918</v>
      </c>
      <c r="C921" s="6" t="n">
        <v>46274</v>
      </c>
      <c r="D921" s="4" t="s">
        <v>3545</v>
      </c>
      <c r="E921" s="4" t="s">
        <v>6668</v>
      </c>
      <c r="F921" s="7" t="n">
        <v>58155.82</v>
      </c>
      <c r="G921" s="24" t="s">
        <v>5951</v>
      </c>
      <c r="H921" s="4" t="s">
        <v>3541</v>
      </c>
      <c r="I921" s="4"/>
    </row>
    <row r="922" customFormat="false" ht="15" hidden="false" customHeight="false" outlineLevel="0" collapsed="false">
      <c r="A922" s="4" t="s">
        <v>1839</v>
      </c>
      <c r="B922" s="23" t="n">
        <v>919</v>
      </c>
      <c r="C922" s="6" t="n">
        <v>46274</v>
      </c>
      <c r="D922" s="4" t="s">
        <v>1841</v>
      </c>
      <c r="E922" s="4" t="s">
        <v>6659</v>
      </c>
      <c r="F922" s="7" t="n">
        <v>41859.75</v>
      </c>
      <c r="G922" s="24" t="s">
        <v>5951</v>
      </c>
      <c r="H922" s="4" t="s">
        <v>1837</v>
      </c>
      <c r="I922" s="4"/>
    </row>
    <row r="923" customFormat="false" ht="15" hidden="false" customHeight="false" outlineLevel="0" collapsed="false">
      <c r="A923" s="4" t="s">
        <v>3548</v>
      </c>
      <c r="B923" s="23" t="n">
        <v>920</v>
      </c>
      <c r="C923" s="6" t="n">
        <v>46274</v>
      </c>
      <c r="D923" s="4" t="s">
        <v>3550</v>
      </c>
      <c r="E923" s="4" t="s">
        <v>6670</v>
      </c>
      <c r="F923" s="7" t="n">
        <v>81308.79</v>
      </c>
      <c r="G923" s="24" t="s">
        <v>5951</v>
      </c>
      <c r="H923" s="4" t="s">
        <v>3546</v>
      </c>
      <c r="I923" s="4"/>
    </row>
    <row r="924" customFormat="false" ht="15" hidden="false" customHeight="false" outlineLevel="0" collapsed="false">
      <c r="A924" s="4" t="s">
        <v>3553</v>
      </c>
      <c r="B924" s="23" t="n">
        <v>921</v>
      </c>
      <c r="C924" s="6" t="n">
        <v>46274</v>
      </c>
      <c r="D924" s="4" t="s">
        <v>3554</v>
      </c>
      <c r="E924" s="4" t="s">
        <v>166</v>
      </c>
      <c r="F924" s="7" t="n">
        <v>10825.85</v>
      </c>
      <c r="G924" s="24" t="s">
        <v>5951</v>
      </c>
      <c r="H924" s="4" t="s">
        <v>3551</v>
      </c>
      <c r="I924" s="4"/>
    </row>
    <row r="925" customFormat="false" ht="15" hidden="false" customHeight="false" outlineLevel="0" collapsed="false">
      <c r="A925" s="4" t="s">
        <v>4442</v>
      </c>
      <c r="B925" s="23" t="n">
        <v>922</v>
      </c>
      <c r="C925" s="6" t="n">
        <v>46274</v>
      </c>
      <c r="D925" s="4" t="s">
        <v>4444</v>
      </c>
      <c r="E925" s="4" t="s">
        <v>7358</v>
      </c>
      <c r="F925" s="7" t="n">
        <v>3397.79</v>
      </c>
      <c r="G925" s="24" t="s">
        <v>5951</v>
      </c>
      <c r="H925" s="4" t="s">
        <v>4440</v>
      </c>
      <c r="I925" s="4"/>
    </row>
    <row r="926" customFormat="false" ht="15" hidden="false" customHeight="false" outlineLevel="0" collapsed="false">
      <c r="A926" s="4" t="s">
        <v>1844</v>
      </c>
      <c r="B926" s="23" t="n">
        <v>923</v>
      </c>
      <c r="C926" s="6" t="n">
        <v>46274</v>
      </c>
      <c r="D926" s="4" t="s">
        <v>1846</v>
      </c>
      <c r="E926" s="4" t="s">
        <v>7359</v>
      </c>
      <c r="F926" s="7" t="n">
        <v>-42782.95</v>
      </c>
      <c r="G926" s="24" t="s">
        <v>5951</v>
      </c>
      <c r="H926" s="4" t="s">
        <v>1842</v>
      </c>
      <c r="I926" s="4"/>
    </row>
    <row r="927" customFormat="false" ht="15" hidden="false" customHeight="false" outlineLevel="0" collapsed="false">
      <c r="A927" s="4" t="s">
        <v>4847</v>
      </c>
      <c r="B927" s="23" t="n">
        <v>924</v>
      </c>
      <c r="C927" s="6" t="n">
        <v>46274</v>
      </c>
      <c r="D927" s="4" t="s">
        <v>4849</v>
      </c>
      <c r="E927" s="4" t="s">
        <v>7360</v>
      </c>
      <c r="F927" s="7" t="n">
        <v>-49015.87</v>
      </c>
      <c r="G927" s="24" t="s">
        <v>5951</v>
      </c>
      <c r="H927" s="4" t="s">
        <v>4845</v>
      </c>
      <c r="I927" s="4"/>
    </row>
    <row r="928" customFormat="false" ht="15" hidden="false" customHeight="false" outlineLevel="0" collapsed="false">
      <c r="A928" s="4" t="s">
        <v>5256</v>
      </c>
      <c r="B928" s="23" t="n">
        <v>925</v>
      </c>
      <c r="C928" s="6" t="n">
        <v>46274</v>
      </c>
      <c r="D928" s="4" t="s">
        <v>5258</v>
      </c>
      <c r="E928" s="4" t="s">
        <v>7361</v>
      </c>
      <c r="F928" s="7" t="n">
        <v>-51876.88</v>
      </c>
      <c r="G928" s="24" t="s">
        <v>5951</v>
      </c>
      <c r="H928" s="4" t="s">
        <v>5254</v>
      </c>
      <c r="I928" s="4"/>
    </row>
    <row r="929" customFormat="false" ht="15" hidden="false" customHeight="false" outlineLevel="0" collapsed="false">
      <c r="A929" s="4" t="s">
        <v>4447</v>
      </c>
      <c r="B929" s="23" t="n">
        <v>926</v>
      </c>
      <c r="C929" s="6" t="n">
        <v>46274</v>
      </c>
      <c r="D929" s="4" t="s">
        <v>4449</v>
      </c>
      <c r="E929" s="4" t="s">
        <v>7362</v>
      </c>
      <c r="F929" s="7" t="n">
        <v>-6428.89</v>
      </c>
      <c r="G929" s="24" t="s">
        <v>5951</v>
      </c>
      <c r="H929" s="4" t="s">
        <v>4445</v>
      </c>
      <c r="I929" s="4"/>
    </row>
    <row r="930" customFormat="false" ht="15" hidden="false" customHeight="false" outlineLevel="0" collapsed="false">
      <c r="A930" s="4" t="s">
        <v>5700</v>
      </c>
      <c r="B930" s="23" t="n">
        <v>927</v>
      </c>
      <c r="C930" s="6" t="n">
        <v>46274</v>
      </c>
      <c r="D930" s="4" t="s">
        <v>5702</v>
      </c>
      <c r="E930" s="4" t="s">
        <v>7363</v>
      </c>
      <c r="F930" s="7" t="n">
        <v>-21350.57</v>
      </c>
      <c r="G930" s="24" t="s">
        <v>5951</v>
      </c>
      <c r="H930" s="4" t="s">
        <v>5698</v>
      </c>
      <c r="I930" s="4"/>
    </row>
    <row r="931" customFormat="false" ht="15" hidden="false" customHeight="false" outlineLevel="0" collapsed="false">
      <c r="A931" s="4" t="s">
        <v>5705</v>
      </c>
      <c r="B931" s="23" t="n">
        <v>928</v>
      </c>
      <c r="C931" s="6" t="n">
        <v>46274</v>
      </c>
      <c r="D931" s="4" t="s">
        <v>5707</v>
      </c>
      <c r="E931" s="4" t="s">
        <v>7364</v>
      </c>
      <c r="F931" s="7" t="n">
        <v>-38950.3</v>
      </c>
      <c r="G931" s="24" t="s">
        <v>5951</v>
      </c>
      <c r="H931" s="4" t="s">
        <v>5703</v>
      </c>
      <c r="I931" s="4"/>
    </row>
    <row r="932" customFormat="false" ht="15" hidden="false" customHeight="false" outlineLevel="0" collapsed="false">
      <c r="A932" s="4" t="s">
        <v>1849</v>
      </c>
      <c r="B932" s="23" t="n">
        <v>929</v>
      </c>
      <c r="C932" s="6" t="n">
        <v>46275</v>
      </c>
      <c r="D932" s="4" t="s">
        <v>1851</v>
      </c>
      <c r="E932" s="4" t="s">
        <v>7365</v>
      </c>
      <c r="F932" s="7" t="n">
        <v>55524.06</v>
      </c>
      <c r="G932" s="24" t="s">
        <v>5951</v>
      </c>
      <c r="H932" s="4" t="s">
        <v>1847</v>
      </c>
      <c r="I932" s="4"/>
    </row>
    <row r="933" customFormat="false" ht="15" hidden="false" customHeight="false" outlineLevel="0" collapsed="false">
      <c r="A933" s="4" t="s">
        <v>3557</v>
      </c>
      <c r="B933" s="23" t="n">
        <v>930</v>
      </c>
      <c r="C933" s="6" t="n">
        <v>46275</v>
      </c>
      <c r="D933" s="4" t="s">
        <v>3559</v>
      </c>
      <c r="E933" s="4" t="s">
        <v>6677</v>
      </c>
      <c r="F933" s="7" t="n">
        <v>74757.19</v>
      </c>
      <c r="G933" s="24" t="s">
        <v>5951</v>
      </c>
      <c r="H933" s="4" t="s">
        <v>3555</v>
      </c>
      <c r="I933" s="4"/>
    </row>
    <row r="934" customFormat="false" ht="15" hidden="false" customHeight="false" outlineLevel="0" collapsed="false">
      <c r="A934" s="4" t="s">
        <v>1854</v>
      </c>
      <c r="B934" s="23" t="n">
        <v>931</v>
      </c>
      <c r="C934" s="6" t="n">
        <v>46275</v>
      </c>
      <c r="D934" s="4" t="s">
        <v>1856</v>
      </c>
      <c r="E934" s="4" t="s">
        <v>7366</v>
      </c>
      <c r="F934" s="7" t="n">
        <v>74437.09</v>
      </c>
      <c r="G934" s="24" t="s">
        <v>5951</v>
      </c>
      <c r="H934" s="4" t="s">
        <v>1852</v>
      </c>
      <c r="I934" s="4"/>
    </row>
    <row r="935" customFormat="false" ht="15" hidden="false" customHeight="false" outlineLevel="0" collapsed="false">
      <c r="A935" s="4" t="s">
        <v>3562</v>
      </c>
      <c r="B935" s="23" t="n">
        <v>932</v>
      </c>
      <c r="C935" s="6" t="n">
        <v>46275</v>
      </c>
      <c r="D935" s="4" t="s">
        <v>3564</v>
      </c>
      <c r="E935" s="4" t="s">
        <v>7367</v>
      </c>
      <c r="F935" s="7" t="n">
        <v>30676.94</v>
      </c>
      <c r="G935" s="24" t="s">
        <v>5951</v>
      </c>
      <c r="H935" s="4" t="s">
        <v>3560</v>
      </c>
      <c r="I935" s="4"/>
    </row>
    <row r="936" customFormat="false" ht="15" hidden="false" customHeight="false" outlineLevel="0" collapsed="false">
      <c r="A936" s="4" t="s">
        <v>3567</v>
      </c>
      <c r="B936" s="23" t="n">
        <v>933</v>
      </c>
      <c r="C936" s="6" t="n">
        <v>46275</v>
      </c>
      <c r="D936" s="4" t="s">
        <v>3569</v>
      </c>
      <c r="E936" s="4" t="s">
        <v>6679</v>
      </c>
      <c r="F936" s="7" t="n">
        <v>8164.01</v>
      </c>
      <c r="G936" s="24" t="s">
        <v>5951</v>
      </c>
      <c r="H936" s="4" t="s">
        <v>3565</v>
      </c>
      <c r="I936" s="4"/>
    </row>
    <row r="937" customFormat="false" ht="15" hidden="false" customHeight="false" outlineLevel="0" collapsed="false">
      <c r="A937" s="4" t="s">
        <v>1859</v>
      </c>
      <c r="B937" s="23" t="n">
        <v>934</v>
      </c>
      <c r="C937" s="6" t="n">
        <v>46275</v>
      </c>
      <c r="D937" s="4" t="s">
        <v>1861</v>
      </c>
      <c r="E937" s="4" t="s">
        <v>6669</v>
      </c>
      <c r="F937" s="7" t="n">
        <v>94182.6</v>
      </c>
      <c r="G937" s="24" t="s">
        <v>5951</v>
      </c>
      <c r="H937" s="4" t="s">
        <v>1857</v>
      </c>
      <c r="I937" s="4"/>
    </row>
    <row r="938" customFormat="false" ht="15" hidden="false" customHeight="false" outlineLevel="0" collapsed="false">
      <c r="A938" s="4" t="s">
        <v>5261</v>
      </c>
      <c r="B938" s="23" t="n">
        <v>935</v>
      </c>
      <c r="C938" s="6" t="n">
        <v>46275</v>
      </c>
      <c r="D938" s="4" t="s">
        <v>5263</v>
      </c>
      <c r="E938" s="4" t="s">
        <v>7368</v>
      </c>
      <c r="F938" s="7" t="n">
        <v>-24353.17</v>
      </c>
      <c r="G938" s="24" t="s">
        <v>5951</v>
      </c>
      <c r="H938" s="4" t="s">
        <v>5259</v>
      </c>
      <c r="I938" s="4"/>
    </row>
    <row r="939" customFormat="false" ht="15" hidden="false" customHeight="false" outlineLevel="0" collapsed="false">
      <c r="A939" s="4" t="s">
        <v>4452</v>
      </c>
      <c r="B939" s="23" t="n">
        <v>936</v>
      </c>
      <c r="C939" s="6" t="n">
        <v>46275</v>
      </c>
      <c r="D939" s="4" t="s">
        <v>4454</v>
      </c>
      <c r="E939" s="4" t="s">
        <v>7369</v>
      </c>
      <c r="F939" s="7" t="n">
        <v>-49597.95</v>
      </c>
      <c r="G939" s="24" t="s">
        <v>5951</v>
      </c>
      <c r="H939" s="4" t="s">
        <v>4450</v>
      </c>
      <c r="I939" s="4"/>
    </row>
    <row r="940" customFormat="false" ht="15" hidden="false" customHeight="false" outlineLevel="0" collapsed="false">
      <c r="A940" s="4" t="s">
        <v>1864</v>
      </c>
      <c r="B940" s="23" t="n">
        <v>937</v>
      </c>
      <c r="C940" s="6" t="n">
        <v>46275</v>
      </c>
      <c r="D940" s="4" t="s">
        <v>1866</v>
      </c>
      <c r="E940" s="4" t="s">
        <v>7370</v>
      </c>
      <c r="F940" s="7" t="n">
        <v>-17725.59</v>
      </c>
      <c r="G940" s="24" t="s">
        <v>5951</v>
      </c>
      <c r="H940" s="4" t="s">
        <v>1862</v>
      </c>
      <c r="I940" s="4"/>
    </row>
    <row r="941" customFormat="false" ht="15" hidden="false" customHeight="false" outlineLevel="0" collapsed="false">
      <c r="A941" s="4" t="s">
        <v>3572</v>
      </c>
      <c r="B941" s="23" t="n">
        <v>938</v>
      </c>
      <c r="C941" s="6" t="n">
        <v>46275</v>
      </c>
      <c r="D941" s="4" t="s">
        <v>3574</v>
      </c>
      <c r="E941" s="4" t="s">
        <v>7371</v>
      </c>
      <c r="F941" s="7" t="n">
        <v>-30360.13</v>
      </c>
      <c r="G941" s="24" t="s">
        <v>5951</v>
      </c>
      <c r="H941" s="4" t="s">
        <v>3570</v>
      </c>
      <c r="I941" s="4"/>
    </row>
    <row r="942" customFormat="false" ht="15" hidden="false" customHeight="false" outlineLevel="0" collapsed="false">
      <c r="A942" s="4" t="s">
        <v>5710</v>
      </c>
      <c r="B942" s="23" t="n">
        <v>939</v>
      </c>
      <c r="C942" s="6" t="n">
        <v>46275</v>
      </c>
      <c r="D942" s="4" t="s">
        <v>5712</v>
      </c>
      <c r="E942" s="4" t="s">
        <v>7372</v>
      </c>
      <c r="F942" s="7" t="n">
        <v>-27657.62</v>
      </c>
      <c r="G942" s="24" t="s">
        <v>5951</v>
      </c>
      <c r="H942" s="4" t="s">
        <v>5708</v>
      </c>
      <c r="I942" s="4"/>
    </row>
    <row r="943" customFormat="false" ht="15" hidden="false" customHeight="false" outlineLevel="0" collapsed="false">
      <c r="A943" s="4" t="s">
        <v>5794</v>
      </c>
      <c r="B943" s="23" t="n">
        <v>940</v>
      </c>
      <c r="C943" s="6" t="n">
        <v>46275</v>
      </c>
      <c r="D943" s="4" t="s">
        <v>5788</v>
      </c>
      <c r="E943" s="4"/>
      <c r="F943" s="7" t="n">
        <v>-4064.25</v>
      </c>
      <c r="G943" s="24" t="s">
        <v>5951</v>
      </c>
      <c r="H943" s="4" t="s">
        <v>5792</v>
      </c>
      <c r="I943" s="4"/>
    </row>
    <row r="944" customFormat="false" ht="15" hidden="false" customHeight="false" outlineLevel="0" collapsed="false">
      <c r="A944" s="4" t="s">
        <v>512</v>
      </c>
      <c r="B944" s="23" t="n">
        <v>941</v>
      </c>
      <c r="C944" s="6" t="n">
        <v>46275</v>
      </c>
      <c r="D944" s="4" t="s">
        <v>5897</v>
      </c>
      <c r="E944" s="4" t="s">
        <v>513</v>
      </c>
      <c r="F944" s="7" t="n">
        <v>32551.38</v>
      </c>
      <c r="G944" s="25" t="s">
        <v>5987</v>
      </c>
      <c r="H944" s="4" t="s">
        <v>5895</v>
      </c>
      <c r="I944" s="4" t="s">
        <v>510</v>
      </c>
    </row>
    <row r="945" customFormat="false" ht="15" hidden="false" customHeight="false" outlineLevel="0" collapsed="false">
      <c r="A945" s="4" t="s">
        <v>1869</v>
      </c>
      <c r="B945" s="23" t="n">
        <v>942</v>
      </c>
      <c r="C945" s="6" t="n">
        <v>46276</v>
      </c>
      <c r="D945" s="4" t="s">
        <v>1871</v>
      </c>
      <c r="E945" s="4" t="s">
        <v>6675</v>
      </c>
      <c r="F945" s="7" t="n">
        <v>42055.77</v>
      </c>
      <c r="G945" s="24" t="s">
        <v>5951</v>
      </c>
      <c r="H945" s="4" t="s">
        <v>1867</v>
      </c>
      <c r="I945" s="4"/>
    </row>
    <row r="946" customFormat="false" ht="15" hidden="false" customHeight="false" outlineLevel="0" collapsed="false">
      <c r="A946" s="4" t="s">
        <v>1874</v>
      </c>
      <c r="B946" s="23" t="n">
        <v>943</v>
      </c>
      <c r="C946" s="6" t="n">
        <v>46276</v>
      </c>
      <c r="D946" s="4" t="s">
        <v>1876</v>
      </c>
      <c r="E946" s="4" t="s">
        <v>6676</v>
      </c>
      <c r="F946" s="7" t="n">
        <v>68514.19</v>
      </c>
      <c r="G946" s="24" t="s">
        <v>5951</v>
      </c>
      <c r="H946" s="4" t="s">
        <v>1872</v>
      </c>
      <c r="I946" s="4"/>
    </row>
    <row r="947" customFormat="false" ht="15" hidden="false" customHeight="false" outlineLevel="0" collapsed="false">
      <c r="A947" s="4" t="s">
        <v>3577</v>
      </c>
      <c r="B947" s="23" t="n">
        <v>944</v>
      </c>
      <c r="C947" s="6" t="n">
        <v>46276</v>
      </c>
      <c r="D947" s="4" t="s">
        <v>3579</v>
      </c>
      <c r="E947" s="4" t="s">
        <v>6686</v>
      </c>
      <c r="F947" s="7" t="n">
        <v>7725.18</v>
      </c>
      <c r="G947" s="24" t="s">
        <v>5951</v>
      </c>
      <c r="H947" s="4" t="s">
        <v>3575</v>
      </c>
      <c r="I947" s="4"/>
    </row>
    <row r="948" customFormat="false" ht="15" hidden="false" customHeight="false" outlineLevel="0" collapsed="false">
      <c r="A948" s="4" t="s">
        <v>1879</v>
      </c>
      <c r="B948" s="23" t="n">
        <v>945</v>
      </c>
      <c r="C948" s="6" t="n">
        <v>46276</v>
      </c>
      <c r="D948" s="4" t="s">
        <v>1881</v>
      </c>
      <c r="E948" s="4" t="s">
        <v>6680</v>
      </c>
      <c r="F948" s="7" t="n">
        <v>7426.77</v>
      </c>
      <c r="G948" s="24" t="s">
        <v>5951</v>
      </c>
      <c r="H948" s="4" t="s">
        <v>1877</v>
      </c>
      <c r="I948" s="4"/>
    </row>
    <row r="949" customFormat="false" ht="15" hidden="false" customHeight="false" outlineLevel="0" collapsed="false">
      <c r="A949" s="4" t="s">
        <v>3582</v>
      </c>
      <c r="B949" s="23" t="n">
        <v>946</v>
      </c>
      <c r="C949" s="6" t="n">
        <v>46276</v>
      </c>
      <c r="D949" s="4" t="s">
        <v>3584</v>
      </c>
      <c r="E949" s="4" t="s">
        <v>6688</v>
      </c>
      <c r="F949" s="7" t="n">
        <v>46052.36</v>
      </c>
      <c r="G949" s="24" t="s">
        <v>5951</v>
      </c>
      <c r="H949" s="4" t="s">
        <v>3580</v>
      </c>
      <c r="I949" s="4"/>
    </row>
    <row r="950" customFormat="false" ht="15" hidden="false" customHeight="false" outlineLevel="0" collapsed="false">
      <c r="A950" s="4" t="s">
        <v>4457</v>
      </c>
      <c r="B950" s="23" t="n">
        <v>947</v>
      </c>
      <c r="C950" s="6" t="n">
        <v>46276</v>
      </c>
      <c r="D950" s="4" t="s">
        <v>4459</v>
      </c>
      <c r="E950" s="4" t="s">
        <v>6704</v>
      </c>
      <c r="F950" s="7" t="n">
        <v>4876.07</v>
      </c>
      <c r="G950" s="24" t="s">
        <v>5951</v>
      </c>
      <c r="H950" s="4" t="s">
        <v>4455</v>
      </c>
      <c r="I950" s="4"/>
    </row>
    <row r="951" customFormat="false" ht="15" hidden="false" customHeight="false" outlineLevel="0" collapsed="false">
      <c r="A951" s="4" t="s">
        <v>4462</v>
      </c>
      <c r="B951" s="23" t="n">
        <v>948</v>
      </c>
      <c r="C951" s="6" t="n">
        <v>46276</v>
      </c>
      <c r="D951" s="4" t="s">
        <v>4464</v>
      </c>
      <c r="E951" s="4" t="s">
        <v>7373</v>
      </c>
      <c r="F951" s="7" t="n">
        <v>8024.84</v>
      </c>
      <c r="G951" s="24" t="s">
        <v>5951</v>
      </c>
      <c r="H951" s="4" t="s">
        <v>4460</v>
      </c>
      <c r="I951" s="4"/>
    </row>
    <row r="952" customFormat="false" ht="15" hidden="false" customHeight="false" outlineLevel="0" collapsed="false">
      <c r="A952" s="4" t="s">
        <v>1884</v>
      </c>
      <c r="B952" s="23" t="n">
        <v>949</v>
      </c>
      <c r="C952" s="6" t="n">
        <v>46276</v>
      </c>
      <c r="D952" s="4" t="s">
        <v>1886</v>
      </c>
      <c r="E952" s="4" t="s">
        <v>6681</v>
      </c>
      <c r="F952" s="7" t="n">
        <v>4635.49</v>
      </c>
      <c r="G952" s="24" t="s">
        <v>5951</v>
      </c>
      <c r="H952" s="4" t="s">
        <v>1882</v>
      </c>
      <c r="I952" s="4"/>
    </row>
    <row r="953" customFormat="false" ht="15" hidden="false" customHeight="false" outlineLevel="0" collapsed="false">
      <c r="A953" s="4" t="s">
        <v>1889</v>
      </c>
      <c r="B953" s="23" t="n">
        <v>950</v>
      </c>
      <c r="C953" s="6" t="n">
        <v>46276</v>
      </c>
      <c r="D953" s="4" t="s">
        <v>1891</v>
      </c>
      <c r="E953" s="4" t="s">
        <v>6682</v>
      </c>
      <c r="F953" s="7" t="n">
        <v>44781.01</v>
      </c>
      <c r="G953" s="24" t="s">
        <v>5951</v>
      </c>
      <c r="H953" s="4" t="s">
        <v>1887</v>
      </c>
      <c r="I953" s="4"/>
    </row>
    <row r="954" customFormat="false" ht="15" hidden="false" customHeight="false" outlineLevel="0" collapsed="false">
      <c r="A954" s="4" t="s">
        <v>5266</v>
      </c>
      <c r="B954" s="23" t="n">
        <v>951</v>
      </c>
      <c r="C954" s="6" t="n">
        <v>46276</v>
      </c>
      <c r="D954" s="4" t="s">
        <v>5268</v>
      </c>
      <c r="E954" s="4" t="s">
        <v>7374</v>
      </c>
      <c r="F954" s="7" t="n">
        <v>-4080.11</v>
      </c>
      <c r="G954" s="24" t="s">
        <v>5951</v>
      </c>
      <c r="H954" s="4" t="s">
        <v>5264</v>
      </c>
      <c r="I954" s="4"/>
    </row>
    <row r="955" customFormat="false" ht="15" hidden="false" customHeight="false" outlineLevel="0" collapsed="false">
      <c r="A955" s="4" t="s">
        <v>5715</v>
      </c>
      <c r="B955" s="23" t="n">
        <v>952</v>
      </c>
      <c r="C955" s="6" t="n">
        <v>46276</v>
      </c>
      <c r="D955" s="4" t="s">
        <v>5717</v>
      </c>
      <c r="E955" s="4" t="s">
        <v>7375</v>
      </c>
      <c r="F955" s="7" t="n">
        <v>-6843.9</v>
      </c>
      <c r="G955" s="24" t="s">
        <v>5951</v>
      </c>
      <c r="H955" s="4" t="s">
        <v>5713</v>
      </c>
      <c r="I955" s="4"/>
    </row>
    <row r="956" customFormat="false" ht="15" hidden="false" customHeight="false" outlineLevel="0" collapsed="false">
      <c r="A956" s="4" t="s">
        <v>3587</v>
      </c>
      <c r="B956" s="23" t="n">
        <v>953</v>
      </c>
      <c r="C956" s="6" t="n">
        <v>46276</v>
      </c>
      <c r="D956" s="4" t="s">
        <v>3589</v>
      </c>
      <c r="E956" s="4" t="s">
        <v>7376</v>
      </c>
      <c r="F956" s="7" t="n">
        <v>-39622.53</v>
      </c>
      <c r="G956" s="24" t="s">
        <v>5951</v>
      </c>
      <c r="H956" s="4" t="s">
        <v>3585</v>
      </c>
      <c r="I956" s="4"/>
    </row>
    <row r="957" customFormat="false" ht="15" hidden="false" customHeight="false" outlineLevel="0" collapsed="false">
      <c r="A957" s="4" t="s">
        <v>4467</v>
      </c>
      <c r="B957" s="23" t="n">
        <v>954</v>
      </c>
      <c r="C957" s="6" t="n">
        <v>46276</v>
      </c>
      <c r="D957" s="4" t="s">
        <v>4469</v>
      </c>
      <c r="E957" s="4" t="s">
        <v>7377</v>
      </c>
      <c r="F957" s="7" t="n">
        <v>-26981.81</v>
      </c>
      <c r="G957" s="24" t="s">
        <v>5951</v>
      </c>
      <c r="H957" s="4" t="s">
        <v>4465</v>
      </c>
      <c r="I957" s="4"/>
    </row>
    <row r="958" customFormat="false" ht="15" hidden="false" customHeight="false" outlineLevel="0" collapsed="false">
      <c r="A958" s="4" t="s">
        <v>5720</v>
      </c>
      <c r="B958" s="23" t="n">
        <v>955</v>
      </c>
      <c r="C958" s="6" t="n">
        <v>46276</v>
      </c>
      <c r="D958" s="4" t="s">
        <v>5722</v>
      </c>
      <c r="E958" s="4" t="s">
        <v>7378</v>
      </c>
      <c r="F958" s="7" t="n">
        <v>-26867.76</v>
      </c>
      <c r="G958" s="24" t="s">
        <v>5951</v>
      </c>
      <c r="H958" s="4" t="s">
        <v>5718</v>
      </c>
      <c r="I958" s="4"/>
    </row>
    <row r="959" customFormat="false" ht="15" hidden="false" customHeight="false" outlineLevel="0" collapsed="false">
      <c r="A959" s="4" t="s">
        <v>4852</v>
      </c>
      <c r="B959" s="23" t="n">
        <v>956</v>
      </c>
      <c r="C959" s="6" t="n">
        <v>46276</v>
      </c>
      <c r="D959" s="4" t="s">
        <v>4854</v>
      </c>
      <c r="E959" s="4" t="s">
        <v>7379</v>
      </c>
      <c r="F959" s="7" t="n">
        <v>-32033.72</v>
      </c>
      <c r="G959" s="24" t="s">
        <v>5951</v>
      </c>
      <c r="H959" s="4" t="s">
        <v>4850</v>
      </c>
      <c r="I959" s="4"/>
    </row>
    <row r="960" customFormat="false" ht="15" hidden="false" customHeight="false" outlineLevel="0" collapsed="false">
      <c r="A960" s="4" t="s">
        <v>5725</v>
      </c>
      <c r="B960" s="23" t="n">
        <v>957</v>
      </c>
      <c r="C960" s="6" t="n">
        <v>46276</v>
      </c>
      <c r="D960" s="4" t="s">
        <v>5727</v>
      </c>
      <c r="E960" s="4" t="s">
        <v>7380</v>
      </c>
      <c r="F960" s="7" t="n">
        <v>-55554.69</v>
      </c>
      <c r="G960" s="24" t="s">
        <v>5951</v>
      </c>
      <c r="H960" s="4" t="s">
        <v>5723</v>
      </c>
      <c r="I960" s="4"/>
    </row>
    <row r="961" customFormat="false" ht="15" hidden="false" customHeight="false" outlineLevel="0" collapsed="false">
      <c r="A961" s="4" t="s">
        <v>3592</v>
      </c>
      <c r="B961" s="23" t="n">
        <v>958</v>
      </c>
      <c r="C961" s="6" t="n">
        <v>46276</v>
      </c>
      <c r="D961" s="4" t="s">
        <v>3594</v>
      </c>
      <c r="E961" s="4" t="s">
        <v>7381</v>
      </c>
      <c r="F961" s="7" t="n">
        <v>-13388.25</v>
      </c>
      <c r="G961" s="24" t="s">
        <v>5951</v>
      </c>
      <c r="H961" s="4" t="s">
        <v>3590</v>
      </c>
      <c r="I961" s="4"/>
    </row>
    <row r="962" customFormat="false" ht="15" hidden="false" customHeight="false" outlineLevel="0" collapsed="false">
      <c r="A962" s="4" t="s">
        <v>4857</v>
      </c>
      <c r="B962" s="23" t="n">
        <v>959</v>
      </c>
      <c r="C962" s="6" t="n">
        <v>46276</v>
      </c>
      <c r="D962" s="4" t="s">
        <v>4859</v>
      </c>
      <c r="E962" s="4" t="s">
        <v>7382</v>
      </c>
      <c r="F962" s="7" t="n">
        <v>-6914.61</v>
      </c>
      <c r="G962" s="24" t="s">
        <v>5951</v>
      </c>
      <c r="H962" s="4" t="s">
        <v>4855</v>
      </c>
      <c r="I962" s="4"/>
    </row>
    <row r="963" customFormat="false" ht="15" hidden="false" customHeight="false" outlineLevel="0" collapsed="false">
      <c r="A963" s="4" t="s">
        <v>3597</v>
      </c>
      <c r="B963" s="23" t="n">
        <v>960</v>
      </c>
      <c r="C963" s="6" t="n">
        <v>46277</v>
      </c>
      <c r="D963" s="4" t="s">
        <v>3598</v>
      </c>
      <c r="E963" s="4" t="s">
        <v>136</v>
      </c>
      <c r="F963" s="7" t="n">
        <v>87563.78</v>
      </c>
      <c r="G963" s="24" t="s">
        <v>5951</v>
      </c>
      <c r="H963" s="4" t="s">
        <v>3595</v>
      </c>
      <c r="I963" s="4"/>
    </row>
    <row r="964" customFormat="false" ht="15" hidden="false" customHeight="false" outlineLevel="0" collapsed="false">
      <c r="A964" s="4" t="s">
        <v>1894</v>
      </c>
      <c r="B964" s="23" t="n">
        <v>961</v>
      </c>
      <c r="C964" s="6" t="n">
        <v>46277</v>
      </c>
      <c r="D964" s="4" t="s">
        <v>1896</v>
      </c>
      <c r="E964" s="4" t="s">
        <v>6687</v>
      </c>
      <c r="F964" s="7" t="n">
        <v>94125.84</v>
      </c>
      <c r="G964" s="24" t="s">
        <v>5951</v>
      </c>
      <c r="H964" s="4" t="s">
        <v>1892</v>
      </c>
      <c r="I964" s="4"/>
    </row>
    <row r="965" customFormat="false" ht="15" hidden="false" customHeight="false" outlineLevel="0" collapsed="false">
      <c r="A965" s="4" t="s">
        <v>3601</v>
      </c>
      <c r="B965" s="23" t="n">
        <v>962</v>
      </c>
      <c r="C965" s="6" t="n">
        <v>46277</v>
      </c>
      <c r="D965" s="4" t="s">
        <v>3603</v>
      </c>
      <c r="E965" s="4" t="s">
        <v>6701</v>
      </c>
      <c r="F965" s="7" t="n">
        <v>69665.35</v>
      </c>
      <c r="G965" s="24" t="s">
        <v>5951</v>
      </c>
      <c r="H965" s="4" t="s">
        <v>3599</v>
      </c>
      <c r="I965" s="4"/>
    </row>
    <row r="966" customFormat="false" ht="15" hidden="false" customHeight="false" outlineLevel="0" collapsed="false">
      <c r="A966" s="4" t="s">
        <v>3606</v>
      </c>
      <c r="B966" s="23" t="n">
        <v>963</v>
      </c>
      <c r="C966" s="6" t="n">
        <v>46277</v>
      </c>
      <c r="D966" s="4" t="s">
        <v>3608</v>
      </c>
      <c r="E966" s="4" t="s">
        <v>7383</v>
      </c>
      <c r="F966" s="7" t="n">
        <v>79160.34</v>
      </c>
      <c r="G966" s="24" t="s">
        <v>5951</v>
      </c>
      <c r="H966" s="4" t="s">
        <v>3604</v>
      </c>
      <c r="I966" s="4"/>
    </row>
    <row r="967" customFormat="false" ht="15" hidden="false" customHeight="false" outlineLevel="0" collapsed="false">
      <c r="A967" s="4" t="s">
        <v>4472</v>
      </c>
      <c r="B967" s="23" t="n">
        <v>964</v>
      </c>
      <c r="C967" s="6" t="n">
        <v>46277</v>
      </c>
      <c r="D967" s="4" t="s">
        <v>4474</v>
      </c>
      <c r="E967" s="4" t="s">
        <v>6712</v>
      </c>
      <c r="F967" s="7" t="n">
        <v>42562.61</v>
      </c>
      <c r="G967" s="24" t="s">
        <v>5951</v>
      </c>
      <c r="H967" s="4" t="s">
        <v>4470</v>
      </c>
      <c r="I967" s="4"/>
    </row>
    <row r="968" customFormat="false" ht="15" hidden="false" customHeight="false" outlineLevel="0" collapsed="false">
      <c r="A968" s="4" t="s">
        <v>1899</v>
      </c>
      <c r="B968" s="23" t="n">
        <v>965</v>
      </c>
      <c r="C968" s="6" t="n">
        <v>46277</v>
      </c>
      <c r="D968" s="4" t="s">
        <v>1901</v>
      </c>
      <c r="E968" s="4" t="s">
        <v>6689</v>
      </c>
      <c r="F968" s="7" t="n">
        <v>77681.22</v>
      </c>
      <c r="G968" s="24" t="s">
        <v>5951</v>
      </c>
      <c r="H968" s="4" t="s">
        <v>1897</v>
      </c>
      <c r="I968" s="4"/>
    </row>
    <row r="969" customFormat="false" ht="15" hidden="false" customHeight="false" outlineLevel="0" collapsed="false">
      <c r="A969" s="4" t="s">
        <v>3611</v>
      </c>
      <c r="B969" s="23" t="n">
        <v>966</v>
      </c>
      <c r="C969" s="6" t="n">
        <v>46277</v>
      </c>
      <c r="D969" s="4" t="s">
        <v>3613</v>
      </c>
      <c r="E969" s="4" t="s">
        <v>6705</v>
      </c>
      <c r="F969" s="7" t="n">
        <v>58144.64</v>
      </c>
      <c r="G969" s="24" t="s">
        <v>5951</v>
      </c>
      <c r="H969" s="4" t="s">
        <v>3609</v>
      </c>
      <c r="I969" s="4"/>
    </row>
    <row r="970" customFormat="false" ht="15" hidden="false" customHeight="false" outlineLevel="0" collapsed="false">
      <c r="A970" s="4" t="s">
        <v>1904</v>
      </c>
      <c r="B970" s="23" t="n">
        <v>967</v>
      </c>
      <c r="C970" s="6" t="n">
        <v>46277</v>
      </c>
      <c r="D970" s="4" t="s">
        <v>1906</v>
      </c>
      <c r="E970" s="4" t="s">
        <v>6690</v>
      </c>
      <c r="F970" s="7" t="n">
        <v>39569.39</v>
      </c>
      <c r="G970" s="24" t="s">
        <v>5951</v>
      </c>
      <c r="H970" s="4" t="s">
        <v>1902</v>
      </c>
      <c r="I970" s="4"/>
    </row>
    <row r="971" customFormat="false" ht="15" hidden="false" customHeight="false" outlineLevel="0" collapsed="false">
      <c r="A971" s="4" t="s">
        <v>4862</v>
      </c>
      <c r="B971" s="23" t="n">
        <v>968</v>
      </c>
      <c r="C971" s="6" t="n">
        <v>46277</v>
      </c>
      <c r="D971" s="4" t="s">
        <v>4864</v>
      </c>
      <c r="E971" s="4" t="s">
        <v>7384</v>
      </c>
      <c r="F971" s="7" t="n">
        <v>-18173.8</v>
      </c>
      <c r="G971" s="24" t="s">
        <v>5951</v>
      </c>
      <c r="H971" s="4" t="s">
        <v>4860</v>
      </c>
      <c r="I971" s="4"/>
    </row>
    <row r="972" customFormat="false" ht="15" hidden="false" customHeight="false" outlineLevel="0" collapsed="false">
      <c r="A972" s="4" t="s">
        <v>5271</v>
      </c>
      <c r="B972" s="23" t="n">
        <v>969</v>
      </c>
      <c r="C972" s="6" t="n">
        <v>46277</v>
      </c>
      <c r="D972" s="4" t="s">
        <v>5273</v>
      </c>
      <c r="E972" s="4" t="s">
        <v>7385</v>
      </c>
      <c r="F972" s="7" t="n">
        <v>-18855.54</v>
      </c>
      <c r="G972" s="24" t="s">
        <v>5951</v>
      </c>
      <c r="H972" s="4" t="s">
        <v>5269</v>
      </c>
      <c r="I972" s="4"/>
    </row>
    <row r="973" customFormat="false" ht="15" hidden="false" customHeight="false" outlineLevel="0" collapsed="false">
      <c r="A973" s="4" t="s">
        <v>1909</v>
      </c>
      <c r="B973" s="23" t="n">
        <v>970</v>
      </c>
      <c r="C973" s="6" t="n">
        <v>46277</v>
      </c>
      <c r="D973" s="4" t="s">
        <v>1911</v>
      </c>
      <c r="E973" s="4" t="s">
        <v>7386</v>
      </c>
      <c r="F973" s="7" t="n">
        <v>-19279.16</v>
      </c>
      <c r="G973" s="24" t="s">
        <v>5951</v>
      </c>
      <c r="H973" s="4" t="s">
        <v>1907</v>
      </c>
      <c r="I973" s="4"/>
    </row>
    <row r="974" customFormat="false" ht="15" hidden="false" customHeight="false" outlineLevel="0" collapsed="false">
      <c r="A974" s="4" t="s">
        <v>1914</v>
      </c>
      <c r="B974" s="23" t="n">
        <v>971</v>
      </c>
      <c r="C974" s="6" t="n">
        <v>46278</v>
      </c>
      <c r="D974" s="4" t="s">
        <v>1916</v>
      </c>
      <c r="E974" s="4" t="s">
        <v>6700</v>
      </c>
      <c r="F974" s="7" t="n">
        <v>61017.58</v>
      </c>
      <c r="G974" s="24" t="s">
        <v>5951</v>
      </c>
      <c r="H974" s="4" t="s">
        <v>1912</v>
      </c>
      <c r="I974" s="4"/>
    </row>
    <row r="975" customFormat="false" ht="15" hidden="false" customHeight="false" outlineLevel="0" collapsed="false">
      <c r="A975" s="4" t="s">
        <v>3616</v>
      </c>
      <c r="B975" s="23" t="n">
        <v>972</v>
      </c>
      <c r="C975" s="6" t="n">
        <v>46278</v>
      </c>
      <c r="D975" s="4" t="s">
        <v>3618</v>
      </c>
      <c r="E975" s="4" t="s">
        <v>7387</v>
      </c>
      <c r="F975" s="7" t="n">
        <v>57682.03</v>
      </c>
      <c r="G975" s="24" t="s">
        <v>5951</v>
      </c>
      <c r="H975" s="4" t="s">
        <v>3614</v>
      </c>
      <c r="I975" s="4"/>
    </row>
    <row r="976" customFormat="false" ht="15" hidden="false" customHeight="false" outlineLevel="0" collapsed="false">
      <c r="A976" s="4" t="s">
        <v>1919</v>
      </c>
      <c r="B976" s="23" t="n">
        <v>973</v>
      </c>
      <c r="C976" s="6" t="n">
        <v>46278</v>
      </c>
      <c r="D976" s="4" t="s">
        <v>1921</v>
      </c>
      <c r="E976" s="4" t="s">
        <v>6702</v>
      </c>
      <c r="F976" s="7" t="n">
        <v>39023.8</v>
      </c>
      <c r="G976" s="24" t="s">
        <v>5951</v>
      </c>
      <c r="H976" s="4" t="s">
        <v>1917</v>
      </c>
      <c r="I976" s="4"/>
    </row>
    <row r="977" customFormat="false" ht="15" hidden="false" customHeight="false" outlineLevel="0" collapsed="false">
      <c r="A977" s="4" t="s">
        <v>1924</v>
      </c>
      <c r="B977" s="23" t="n">
        <v>974</v>
      </c>
      <c r="C977" s="6" t="n">
        <v>46278</v>
      </c>
      <c r="D977" s="4" t="s">
        <v>1926</v>
      </c>
      <c r="E977" s="4" t="s">
        <v>6703</v>
      </c>
      <c r="F977" s="7" t="n">
        <v>34753.82</v>
      </c>
      <c r="G977" s="24" t="s">
        <v>5951</v>
      </c>
      <c r="H977" s="4" t="s">
        <v>1922</v>
      </c>
      <c r="I977" s="4"/>
    </row>
    <row r="978" customFormat="false" ht="15" hidden="false" customHeight="false" outlineLevel="0" collapsed="false">
      <c r="A978" s="4" t="s">
        <v>3621</v>
      </c>
      <c r="B978" s="23" t="n">
        <v>975</v>
      </c>
      <c r="C978" s="6" t="n">
        <v>46278</v>
      </c>
      <c r="D978" s="4" t="s">
        <v>3623</v>
      </c>
      <c r="E978" s="4" t="s">
        <v>7388</v>
      </c>
      <c r="F978" s="7" t="n">
        <v>53224.24</v>
      </c>
      <c r="G978" s="24" t="s">
        <v>5951</v>
      </c>
      <c r="H978" s="4" t="s">
        <v>3619</v>
      </c>
      <c r="I978" s="4"/>
    </row>
    <row r="979" customFormat="false" ht="15" hidden="false" customHeight="false" outlineLevel="0" collapsed="false">
      <c r="A979" s="4" t="s">
        <v>4477</v>
      </c>
      <c r="B979" s="23" t="n">
        <v>976</v>
      </c>
      <c r="C979" s="6" t="n">
        <v>46278</v>
      </c>
      <c r="D979" s="4" t="s">
        <v>4479</v>
      </c>
      <c r="E979" s="4" t="s">
        <v>7389</v>
      </c>
      <c r="F979" s="7" t="n">
        <v>-1243.23</v>
      </c>
      <c r="G979" s="24" t="s">
        <v>5951</v>
      </c>
      <c r="H979" s="4" t="s">
        <v>4475</v>
      </c>
      <c r="I979" s="4"/>
    </row>
    <row r="980" customFormat="false" ht="15" hidden="false" customHeight="false" outlineLevel="0" collapsed="false">
      <c r="A980" s="4" t="s">
        <v>1929</v>
      </c>
      <c r="B980" s="23" t="n">
        <v>977</v>
      </c>
      <c r="C980" s="6" t="n">
        <v>46278</v>
      </c>
      <c r="D980" s="4" t="s">
        <v>1931</v>
      </c>
      <c r="E980" s="4" t="s">
        <v>7390</v>
      </c>
      <c r="F980" s="7" t="n">
        <v>-37907.55</v>
      </c>
      <c r="G980" s="24" t="s">
        <v>5951</v>
      </c>
      <c r="H980" s="4" t="s">
        <v>1927</v>
      </c>
      <c r="I980" s="4"/>
    </row>
    <row r="981" customFormat="false" ht="15" hidden="false" customHeight="false" outlineLevel="0" collapsed="false">
      <c r="A981" s="4" t="s">
        <v>1934</v>
      </c>
      <c r="B981" s="23" t="n">
        <v>978</v>
      </c>
      <c r="C981" s="6" t="n">
        <v>46278</v>
      </c>
      <c r="D981" s="4" t="s">
        <v>1936</v>
      </c>
      <c r="E981" s="4" t="s">
        <v>7391</v>
      </c>
      <c r="F981" s="7" t="n">
        <v>-53487.17</v>
      </c>
      <c r="G981" s="24" t="s">
        <v>5951</v>
      </c>
      <c r="H981" s="4" t="s">
        <v>1932</v>
      </c>
      <c r="I981" s="4"/>
    </row>
    <row r="982" customFormat="false" ht="15" hidden="false" customHeight="false" outlineLevel="0" collapsed="false">
      <c r="A982" s="4" t="s">
        <v>3626</v>
      </c>
      <c r="B982" s="23" t="n">
        <v>979</v>
      </c>
      <c r="C982" s="6" t="n">
        <v>46278</v>
      </c>
      <c r="D982" s="4" t="s">
        <v>3628</v>
      </c>
      <c r="E982" s="4" t="s">
        <v>7392</v>
      </c>
      <c r="F982" s="7" t="n">
        <v>-40798.26</v>
      </c>
      <c r="G982" s="24" t="s">
        <v>5951</v>
      </c>
      <c r="H982" s="4" t="s">
        <v>3624</v>
      </c>
      <c r="I982" s="4"/>
    </row>
    <row r="983" customFormat="false" ht="15" hidden="false" customHeight="false" outlineLevel="0" collapsed="false">
      <c r="A983" s="4" t="s">
        <v>5276</v>
      </c>
      <c r="B983" s="23" t="n">
        <v>980</v>
      </c>
      <c r="C983" s="6" t="n">
        <v>46278</v>
      </c>
      <c r="D983" s="4" t="s">
        <v>5278</v>
      </c>
      <c r="E983" s="4" t="s">
        <v>7393</v>
      </c>
      <c r="F983" s="7" t="n">
        <v>-54113.71</v>
      </c>
      <c r="G983" s="24" t="s">
        <v>5951</v>
      </c>
      <c r="H983" s="4" t="s">
        <v>5274</v>
      </c>
      <c r="I983" s="4"/>
    </row>
    <row r="984" customFormat="false" ht="15" hidden="false" customHeight="false" outlineLevel="0" collapsed="false">
      <c r="A984" s="4" t="s">
        <v>4867</v>
      </c>
      <c r="B984" s="23" t="n">
        <v>981</v>
      </c>
      <c r="C984" s="6" t="n">
        <v>46278</v>
      </c>
      <c r="D984" s="4" t="s">
        <v>4869</v>
      </c>
      <c r="E984" s="4" t="s">
        <v>7394</v>
      </c>
      <c r="F984" s="7" t="n">
        <v>-50370.66</v>
      </c>
      <c r="G984" s="24" t="s">
        <v>5951</v>
      </c>
      <c r="H984" s="4" t="s">
        <v>4865</v>
      </c>
      <c r="I984" s="4"/>
    </row>
    <row r="985" customFormat="false" ht="15" hidden="false" customHeight="false" outlineLevel="0" collapsed="false">
      <c r="A985" s="4" t="s">
        <v>1939</v>
      </c>
      <c r="B985" s="23" t="n">
        <v>982</v>
      </c>
      <c r="C985" s="6" t="n">
        <v>46278</v>
      </c>
      <c r="D985" s="4" t="s">
        <v>1941</v>
      </c>
      <c r="E985" s="4" t="s">
        <v>7395</v>
      </c>
      <c r="F985" s="7" t="n">
        <v>-55312.85</v>
      </c>
      <c r="G985" s="24" t="s">
        <v>5951</v>
      </c>
      <c r="H985" s="4" t="s">
        <v>1937</v>
      </c>
      <c r="I985" s="4"/>
    </row>
    <row r="986" customFormat="false" ht="15" hidden="false" customHeight="false" outlineLevel="0" collapsed="false">
      <c r="A986" s="4" t="s">
        <v>4482</v>
      </c>
      <c r="B986" s="23" t="n">
        <v>983</v>
      </c>
      <c r="C986" s="6" t="n">
        <v>46278</v>
      </c>
      <c r="D986" s="4" t="s">
        <v>4484</v>
      </c>
      <c r="E986" s="4" t="s">
        <v>7396</v>
      </c>
      <c r="F986" s="7" t="n">
        <v>-58672.49</v>
      </c>
      <c r="G986" s="24" t="s">
        <v>5951</v>
      </c>
      <c r="H986" s="4" t="s">
        <v>4480</v>
      </c>
      <c r="I986" s="4"/>
    </row>
    <row r="987" customFormat="false" ht="15" hidden="false" customHeight="false" outlineLevel="0" collapsed="false">
      <c r="A987" s="4" t="s">
        <v>3631</v>
      </c>
      <c r="B987" s="23" t="n">
        <v>984</v>
      </c>
      <c r="C987" s="6" t="n">
        <v>46278</v>
      </c>
      <c r="D987" s="4" t="s">
        <v>184</v>
      </c>
      <c r="E987" s="4" t="s">
        <v>183</v>
      </c>
      <c r="F987" s="7" t="n">
        <v>-29594.73</v>
      </c>
      <c r="G987" s="24" t="s">
        <v>5951</v>
      </c>
      <c r="H987" s="4" t="s">
        <v>3629</v>
      </c>
      <c r="I987" s="4"/>
    </row>
    <row r="988" customFormat="false" ht="15" hidden="false" customHeight="false" outlineLevel="0" collapsed="false">
      <c r="A988" s="4" t="s">
        <v>182</v>
      </c>
      <c r="B988" s="23" t="n">
        <v>985</v>
      </c>
      <c r="C988" s="6" t="n">
        <v>46278</v>
      </c>
      <c r="D988" s="4" t="s">
        <v>184</v>
      </c>
      <c r="E988" s="4" t="s">
        <v>183</v>
      </c>
      <c r="F988" s="7" t="n">
        <v>-29594.73</v>
      </c>
      <c r="G988" s="26" t="s">
        <v>6043</v>
      </c>
      <c r="H988" s="4"/>
      <c r="I988" s="4" t="s">
        <v>181</v>
      </c>
    </row>
    <row r="989" customFormat="false" ht="15" hidden="false" customHeight="false" outlineLevel="0" collapsed="false">
      <c r="A989" s="4" t="s">
        <v>334</v>
      </c>
      <c r="B989" s="23" t="n">
        <v>986</v>
      </c>
      <c r="C989" s="6" t="n">
        <v>46278</v>
      </c>
      <c r="D989" s="4" t="s">
        <v>5900</v>
      </c>
      <c r="E989" s="4" t="s">
        <v>335</v>
      </c>
      <c r="F989" s="7" t="n">
        <v>69444.33</v>
      </c>
      <c r="G989" s="25" t="s">
        <v>5987</v>
      </c>
      <c r="H989" s="4" t="s">
        <v>5898</v>
      </c>
      <c r="I989" s="4" t="s">
        <v>332</v>
      </c>
    </row>
    <row r="990" customFormat="false" ht="15" hidden="false" customHeight="false" outlineLevel="0" collapsed="false">
      <c r="A990" s="4" t="s">
        <v>3635</v>
      </c>
      <c r="B990" s="23" t="n">
        <v>987</v>
      </c>
      <c r="C990" s="6" t="n">
        <v>46279</v>
      </c>
      <c r="D990" s="4" t="s">
        <v>3637</v>
      </c>
      <c r="E990" s="4" t="s">
        <v>6720</v>
      </c>
      <c r="F990" s="7" t="n">
        <v>5534.49</v>
      </c>
      <c r="G990" s="24" t="s">
        <v>5951</v>
      </c>
      <c r="H990" s="4" t="s">
        <v>3633</v>
      </c>
      <c r="I990" s="4"/>
    </row>
    <row r="991" customFormat="false" ht="15" hidden="false" customHeight="false" outlineLevel="0" collapsed="false">
      <c r="A991" s="4" t="s">
        <v>3640</v>
      </c>
      <c r="B991" s="23" t="n">
        <v>988</v>
      </c>
      <c r="C991" s="6" t="n">
        <v>46279</v>
      </c>
      <c r="D991" s="4" t="s">
        <v>3642</v>
      </c>
      <c r="E991" s="4" t="s">
        <v>6721</v>
      </c>
      <c r="F991" s="7" t="n">
        <v>25129.62</v>
      </c>
      <c r="G991" s="24" t="s">
        <v>5951</v>
      </c>
      <c r="H991" s="4" t="s">
        <v>3638</v>
      </c>
      <c r="I991" s="4"/>
    </row>
    <row r="992" customFormat="false" ht="15" hidden="false" customHeight="false" outlineLevel="0" collapsed="false">
      <c r="A992" s="4" t="s">
        <v>1944</v>
      </c>
      <c r="B992" s="23" t="n">
        <v>989</v>
      </c>
      <c r="C992" s="6" t="n">
        <v>46279</v>
      </c>
      <c r="D992" s="4" t="s">
        <v>1946</v>
      </c>
      <c r="E992" s="4" t="s">
        <v>6711</v>
      </c>
      <c r="F992" s="7" t="n">
        <v>39146.74</v>
      </c>
      <c r="G992" s="24" t="s">
        <v>5951</v>
      </c>
      <c r="H992" s="4" t="s">
        <v>1942</v>
      </c>
      <c r="I992" s="4"/>
    </row>
    <row r="993" customFormat="false" ht="15" hidden="false" customHeight="false" outlineLevel="0" collapsed="false">
      <c r="A993" s="4" t="s">
        <v>3645</v>
      </c>
      <c r="B993" s="23" t="n">
        <v>990</v>
      </c>
      <c r="C993" s="6" t="n">
        <v>46279</v>
      </c>
      <c r="D993" s="4" t="s">
        <v>3647</v>
      </c>
      <c r="E993" s="4" t="s">
        <v>7397</v>
      </c>
      <c r="F993" s="7" t="n">
        <v>9050.4</v>
      </c>
      <c r="G993" s="24" t="s">
        <v>5951</v>
      </c>
      <c r="H993" s="4" t="s">
        <v>3643</v>
      </c>
      <c r="I993" s="4"/>
    </row>
    <row r="994" customFormat="false" ht="15" hidden="false" customHeight="false" outlineLevel="0" collapsed="false">
      <c r="A994" s="4" t="s">
        <v>4487</v>
      </c>
      <c r="B994" s="23" t="n">
        <v>991</v>
      </c>
      <c r="C994" s="6" t="n">
        <v>46279</v>
      </c>
      <c r="D994" s="4" t="s">
        <v>4489</v>
      </c>
      <c r="E994" s="4" t="s">
        <v>6736</v>
      </c>
      <c r="F994" s="7" t="n">
        <v>44111.28</v>
      </c>
      <c r="G994" s="24" t="s">
        <v>5951</v>
      </c>
      <c r="H994" s="4" t="s">
        <v>4485</v>
      </c>
      <c r="I994" s="4"/>
    </row>
    <row r="995" customFormat="false" ht="15" hidden="false" customHeight="false" outlineLevel="0" collapsed="false">
      <c r="A995" s="4" t="s">
        <v>3650</v>
      </c>
      <c r="B995" s="23" t="n">
        <v>992</v>
      </c>
      <c r="C995" s="6" t="n">
        <v>46279</v>
      </c>
      <c r="D995" s="4" t="s">
        <v>3652</v>
      </c>
      <c r="E995" s="4" t="s">
        <v>6725</v>
      </c>
      <c r="F995" s="7" t="n">
        <v>30488.93</v>
      </c>
      <c r="G995" s="24" t="s">
        <v>5951</v>
      </c>
      <c r="H995" s="4" t="s">
        <v>3648</v>
      </c>
      <c r="I995" s="4"/>
    </row>
    <row r="996" customFormat="false" ht="15" hidden="false" customHeight="false" outlineLevel="0" collapsed="false">
      <c r="A996" s="4" t="s">
        <v>4492</v>
      </c>
      <c r="B996" s="23" t="n">
        <v>993</v>
      </c>
      <c r="C996" s="6" t="n">
        <v>46279</v>
      </c>
      <c r="D996" s="4" t="s">
        <v>4494</v>
      </c>
      <c r="E996" s="4" t="s">
        <v>7398</v>
      </c>
      <c r="F996" s="7" t="n">
        <v>-53999.61</v>
      </c>
      <c r="G996" s="24" t="s">
        <v>5951</v>
      </c>
      <c r="H996" s="4" t="s">
        <v>4490</v>
      </c>
      <c r="I996" s="4"/>
    </row>
    <row r="997" customFormat="false" ht="15" hidden="false" customHeight="false" outlineLevel="0" collapsed="false">
      <c r="A997" s="4" t="s">
        <v>4497</v>
      </c>
      <c r="B997" s="23" t="n">
        <v>994</v>
      </c>
      <c r="C997" s="6" t="n">
        <v>46279</v>
      </c>
      <c r="D997" s="4" t="s">
        <v>4499</v>
      </c>
      <c r="E997" s="4" t="s">
        <v>7399</v>
      </c>
      <c r="F997" s="7" t="n">
        <v>-54027.23</v>
      </c>
      <c r="G997" s="24" t="s">
        <v>5951</v>
      </c>
      <c r="H997" s="4" t="s">
        <v>4495</v>
      </c>
      <c r="I997" s="4"/>
    </row>
    <row r="998" customFormat="false" ht="15" hidden="false" customHeight="false" outlineLevel="0" collapsed="false">
      <c r="A998" s="4" t="s">
        <v>5281</v>
      </c>
      <c r="B998" s="23" t="n">
        <v>995</v>
      </c>
      <c r="C998" s="6" t="n">
        <v>46279</v>
      </c>
      <c r="D998" s="4" t="s">
        <v>5283</v>
      </c>
      <c r="E998" s="4" t="s">
        <v>7400</v>
      </c>
      <c r="F998" s="7" t="n">
        <v>-31034.47</v>
      </c>
      <c r="G998" s="24" t="s">
        <v>5951</v>
      </c>
      <c r="H998" s="4" t="s">
        <v>5279</v>
      </c>
      <c r="I998" s="4"/>
    </row>
    <row r="999" customFormat="false" ht="15" hidden="false" customHeight="false" outlineLevel="0" collapsed="false">
      <c r="A999" s="4" t="s">
        <v>5286</v>
      </c>
      <c r="B999" s="23" t="n">
        <v>996</v>
      </c>
      <c r="C999" s="6" t="n">
        <v>46279</v>
      </c>
      <c r="D999" s="4" t="s">
        <v>5288</v>
      </c>
      <c r="E999" s="4" t="s">
        <v>7401</v>
      </c>
      <c r="F999" s="7" t="n">
        <v>-32550.32</v>
      </c>
      <c r="G999" s="24" t="s">
        <v>5951</v>
      </c>
      <c r="H999" s="4" t="s">
        <v>5284</v>
      </c>
      <c r="I999" s="4"/>
    </row>
    <row r="1000" customFormat="false" ht="15" hidden="false" customHeight="false" outlineLevel="0" collapsed="false">
      <c r="A1000" s="4" t="s">
        <v>5291</v>
      </c>
      <c r="B1000" s="23" t="n">
        <v>997</v>
      </c>
      <c r="C1000" s="6" t="n">
        <v>46279</v>
      </c>
      <c r="D1000" s="4" t="s">
        <v>5293</v>
      </c>
      <c r="E1000" s="4" t="s">
        <v>7402</v>
      </c>
      <c r="F1000" s="7" t="n">
        <v>-30852.69</v>
      </c>
      <c r="G1000" s="24" t="s">
        <v>5951</v>
      </c>
      <c r="H1000" s="4" t="s">
        <v>5289</v>
      </c>
      <c r="I1000" s="4"/>
    </row>
    <row r="1001" customFormat="false" ht="15" hidden="false" customHeight="false" outlineLevel="0" collapsed="false">
      <c r="A1001" s="4" t="s">
        <v>4872</v>
      </c>
      <c r="B1001" s="23" t="n">
        <v>998</v>
      </c>
      <c r="C1001" s="6" t="n">
        <v>46279</v>
      </c>
      <c r="D1001" s="4" t="s">
        <v>4874</v>
      </c>
      <c r="E1001" s="4" t="s">
        <v>7403</v>
      </c>
      <c r="F1001" s="7" t="n">
        <v>-21192.77</v>
      </c>
      <c r="G1001" s="24" t="s">
        <v>5951</v>
      </c>
      <c r="H1001" s="4" t="s">
        <v>4870</v>
      </c>
      <c r="I1001" s="4"/>
    </row>
    <row r="1002" customFormat="false" ht="15" hidden="false" customHeight="false" outlineLevel="0" collapsed="false">
      <c r="A1002" s="4" t="s">
        <v>3655</v>
      </c>
      <c r="B1002" s="23" t="n">
        <v>999</v>
      </c>
      <c r="C1002" s="6" t="n">
        <v>46279</v>
      </c>
      <c r="D1002" s="4" t="s">
        <v>3657</v>
      </c>
      <c r="E1002" s="4" t="s">
        <v>7404</v>
      </c>
      <c r="F1002" s="7" t="n">
        <v>-15950.2</v>
      </c>
      <c r="G1002" s="24" t="s">
        <v>5951</v>
      </c>
      <c r="H1002" s="4" t="s">
        <v>3653</v>
      </c>
      <c r="I1002" s="4"/>
    </row>
    <row r="1003" customFormat="false" ht="15" hidden="false" customHeight="false" outlineLevel="0" collapsed="false">
      <c r="A1003" s="4" t="s">
        <v>5797</v>
      </c>
      <c r="B1003" s="23" t="n">
        <v>1000</v>
      </c>
      <c r="C1003" s="6" t="n">
        <v>46279</v>
      </c>
      <c r="D1003" s="4" t="s">
        <v>5799</v>
      </c>
      <c r="E1003" s="4"/>
      <c r="F1003" s="7" t="n">
        <v>-5741.14</v>
      </c>
      <c r="G1003" s="24" t="s">
        <v>5951</v>
      </c>
      <c r="H1003" s="4" t="s">
        <v>5795</v>
      </c>
      <c r="I1003" s="4"/>
    </row>
    <row r="1004" customFormat="false" ht="15" hidden="false" customHeight="false" outlineLevel="0" collapsed="false">
      <c r="A1004" s="4" t="s">
        <v>3660</v>
      </c>
      <c r="B1004" s="23" t="n">
        <v>1001</v>
      </c>
      <c r="C1004" s="6" t="n">
        <v>46280</v>
      </c>
      <c r="D1004" s="4" t="s">
        <v>3662</v>
      </c>
      <c r="E1004" s="4" t="s">
        <v>6732</v>
      </c>
      <c r="F1004" s="7" t="n">
        <v>16448.04</v>
      </c>
      <c r="G1004" s="24" t="s">
        <v>5951</v>
      </c>
      <c r="H1004" s="4" t="s">
        <v>3658</v>
      </c>
      <c r="I1004" s="4"/>
    </row>
    <row r="1005" customFormat="false" ht="15" hidden="false" customHeight="false" outlineLevel="0" collapsed="false">
      <c r="A1005" s="4" t="s">
        <v>1949</v>
      </c>
      <c r="B1005" s="23" t="n">
        <v>1002</v>
      </c>
      <c r="C1005" s="6" t="n">
        <v>46280</v>
      </c>
      <c r="D1005" s="4" t="s">
        <v>1951</v>
      </c>
      <c r="E1005" s="4" t="s">
        <v>7405</v>
      </c>
      <c r="F1005" s="7" t="n">
        <v>69384.63</v>
      </c>
      <c r="G1005" s="24" t="s">
        <v>5951</v>
      </c>
      <c r="H1005" s="4" t="s">
        <v>1947</v>
      </c>
      <c r="I1005" s="4"/>
    </row>
    <row r="1006" customFormat="false" ht="15" hidden="false" customHeight="false" outlineLevel="0" collapsed="false">
      <c r="A1006" s="4" t="s">
        <v>4502</v>
      </c>
      <c r="B1006" s="23" t="n">
        <v>1003</v>
      </c>
      <c r="C1006" s="6" t="n">
        <v>46280</v>
      </c>
      <c r="D1006" s="4" t="s">
        <v>4504</v>
      </c>
      <c r="E1006" s="4" t="s">
        <v>7406</v>
      </c>
      <c r="F1006" s="7" t="n">
        <v>7635.99</v>
      </c>
      <c r="G1006" s="24" t="s">
        <v>5951</v>
      </c>
      <c r="H1006" s="4" t="s">
        <v>4500</v>
      </c>
      <c r="I1006" s="4"/>
    </row>
    <row r="1007" customFormat="false" ht="15" hidden="false" customHeight="false" outlineLevel="0" collapsed="false">
      <c r="A1007" s="4" t="s">
        <v>1954</v>
      </c>
      <c r="B1007" s="23" t="n">
        <v>1004</v>
      </c>
      <c r="C1007" s="6" t="n">
        <v>46280</v>
      </c>
      <c r="D1007" s="4" t="s">
        <v>1956</v>
      </c>
      <c r="E1007" s="4" t="s">
        <v>6722</v>
      </c>
      <c r="F1007" s="7" t="n">
        <v>26452.06</v>
      </c>
      <c r="G1007" s="24" t="s">
        <v>5951</v>
      </c>
      <c r="H1007" s="4" t="s">
        <v>1952</v>
      </c>
      <c r="I1007" s="4"/>
    </row>
    <row r="1008" customFormat="false" ht="15" hidden="false" customHeight="false" outlineLevel="0" collapsed="false">
      <c r="A1008" s="4" t="s">
        <v>1959</v>
      </c>
      <c r="B1008" s="23" t="n">
        <v>1005</v>
      </c>
      <c r="C1008" s="6" t="n">
        <v>46280</v>
      </c>
      <c r="D1008" s="4" t="s">
        <v>1961</v>
      </c>
      <c r="E1008" s="4" t="s">
        <v>6723</v>
      </c>
      <c r="F1008" s="7" t="n">
        <v>38761.06</v>
      </c>
      <c r="G1008" s="24" t="s">
        <v>5951</v>
      </c>
      <c r="H1008" s="4" t="s">
        <v>1957</v>
      </c>
      <c r="I1008" s="4"/>
    </row>
    <row r="1009" customFormat="false" ht="15" hidden="false" customHeight="false" outlineLevel="0" collapsed="false">
      <c r="A1009" s="4" t="s">
        <v>4507</v>
      </c>
      <c r="B1009" s="23" t="n">
        <v>1006</v>
      </c>
      <c r="C1009" s="6" t="n">
        <v>46280</v>
      </c>
      <c r="D1009" s="4" t="s">
        <v>4509</v>
      </c>
      <c r="E1009" s="4" t="s">
        <v>6752</v>
      </c>
      <c r="F1009" s="7" t="n">
        <v>14673.01</v>
      </c>
      <c r="G1009" s="24" t="s">
        <v>5951</v>
      </c>
      <c r="H1009" s="4" t="s">
        <v>4505</v>
      </c>
      <c r="I1009" s="4"/>
    </row>
    <row r="1010" customFormat="false" ht="15" hidden="false" customHeight="false" outlineLevel="0" collapsed="false">
      <c r="A1010" s="4" t="s">
        <v>1964</v>
      </c>
      <c r="B1010" s="23" t="n">
        <v>1007</v>
      </c>
      <c r="C1010" s="6" t="n">
        <v>46280</v>
      </c>
      <c r="D1010" s="4" t="s">
        <v>1966</v>
      </c>
      <c r="E1010" s="4" t="s">
        <v>7407</v>
      </c>
      <c r="F1010" s="7" t="n">
        <v>60666.91</v>
      </c>
      <c r="G1010" s="24" t="s">
        <v>5951</v>
      </c>
      <c r="H1010" s="4" t="s">
        <v>1962</v>
      </c>
      <c r="I1010" s="4"/>
    </row>
    <row r="1011" customFormat="false" ht="15" hidden="false" customHeight="false" outlineLevel="0" collapsed="false">
      <c r="A1011" s="4" t="s">
        <v>1969</v>
      </c>
      <c r="B1011" s="23" t="n">
        <v>1008</v>
      </c>
      <c r="C1011" s="6" t="n">
        <v>46280</v>
      </c>
      <c r="D1011" s="4" t="s">
        <v>1971</v>
      </c>
      <c r="E1011" s="4" t="s">
        <v>6724</v>
      </c>
      <c r="F1011" s="7" t="n">
        <v>31617.76</v>
      </c>
      <c r="G1011" s="24" t="s">
        <v>5951</v>
      </c>
      <c r="H1011" s="4" t="s">
        <v>1967</v>
      </c>
      <c r="I1011" s="4"/>
    </row>
    <row r="1012" customFormat="false" ht="15" hidden="false" customHeight="false" outlineLevel="0" collapsed="false">
      <c r="A1012" s="4" t="s">
        <v>4877</v>
      </c>
      <c r="B1012" s="23" t="n">
        <v>1009</v>
      </c>
      <c r="C1012" s="6" t="n">
        <v>46280</v>
      </c>
      <c r="D1012" s="4" t="s">
        <v>4879</v>
      </c>
      <c r="E1012" s="4" t="s">
        <v>7408</v>
      </c>
      <c r="F1012" s="7" t="n">
        <v>-40158.68</v>
      </c>
      <c r="G1012" s="24" t="s">
        <v>5951</v>
      </c>
      <c r="H1012" s="4" t="s">
        <v>4875</v>
      </c>
      <c r="I1012" s="4"/>
    </row>
    <row r="1013" customFormat="false" ht="15" hidden="false" customHeight="false" outlineLevel="0" collapsed="false">
      <c r="A1013" s="4" t="s">
        <v>3665</v>
      </c>
      <c r="B1013" s="23" t="n">
        <v>1010</v>
      </c>
      <c r="C1013" s="6" t="n">
        <v>46280</v>
      </c>
      <c r="D1013" s="4" t="s">
        <v>3667</v>
      </c>
      <c r="E1013" s="4" t="s">
        <v>7409</v>
      </c>
      <c r="F1013" s="7" t="n">
        <v>-2983.42</v>
      </c>
      <c r="G1013" s="24" t="s">
        <v>5951</v>
      </c>
      <c r="H1013" s="4" t="s">
        <v>3663</v>
      </c>
      <c r="I1013" s="4"/>
    </row>
    <row r="1014" customFormat="false" ht="15" hidden="false" customHeight="false" outlineLevel="0" collapsed="false">
      <c r="A1014" s="4" t="s">
        <v>444</v>
      </c>
      <c r="B1014" s="23" t="n">
        <v>1011</v>
      </c>
      <c r="C1014" s="6" t="n">
        <v>46280</v>
      </c>
      <c r="D1014" s="4" t="s">
        <v>5858</v>
      </c>
      <c r="E1014" s="4" t="s">
        <v>445</v>
      </c>
      <c r="F1014" s="7" t="n">
        <v>69799.41</v>
      </c>
      <c r="G1014" s="25" t="s">
        <v>5987</v>
      </c>
      <c r="H1014" s="4" t="s">
        <v>5856</v>
      </c>
      <c r="I1014" s="4" t="s">
        <v>442</v>
      </c>
    </row>
    <row r="1015" customFormat="false" ht="15" hidden="false" customHeight="false" outlineLevel="0" collapsed="false">
      <c r="A1015" s="4" t="s">
        <v>4512</v>
      </c>
      <c r="B1015" s="23" t="n">
        <v>1012</v>
      </c>
      <c r="C1015" s="6" t="n">
        <v>46281</v>
      </c>
      <c r="D1015" s="4" t="s">
        <v>4514</v>
      </c>
      <c r="E1015" s="4" t="s">
        <v>7410</v>
      </c>
      <c r="F1015" s="7" t="n">
        <v>92549.14</v>
      </c>
      <c r="G1015" s="24" t="s">
        <v>5951</v>
      </c>
      <c r="H1015" s="4" t="s">
        <v>4510</v>
      </c>
      <c r="I1015" s="4"/>
    </row>
    <row r="1016" customFormat="false" ht="15" hidden="false" customHeight="false" outlineLevel="0" collapsed="false">
      <c r="A1016" s="4" t="s">
        <v>3670</v>
      </c>
      <c r="B1016" s="23" t="n">
        <v>1013</v>
      </c>
      <c r="C1016" s="6" t="n">
        <v>46281</v>
      </c>
      <c r="D1016" s="4" t="s">
        <v>3672</v>
      </c>
      <c r="E1016" s="4" t="s">
        <v>6749</v>
      </c>
      <c r="F1016" s="7" t="n">
        <v>71750.39</v>
      </c>
      <c r="G1016" s="24" t="s">
        <v>5951</v>
      </c>
      <c r="H1016" s="4" t="s">
        <v>3668</v>
      </c>
      <c r="I1016" s="4"/>
    </row>
    <row r="1017" customFormat="false" ht="15" hidden="false" customHeight="false" outlineLevel="0" collapsed="false">
      <c r="A1017" s="4" t="s">
        <v>4517</v>
      </c>
      <c r="B1017" s="23" t="n">
        <v>1014</v>
      </c>
      <c r="C1017" s="6" t="n">
        <v>46281</v>
      </c>
      <c r="D1017" s="4" t="s">
        <v>4519</v>
      </c>
      <c r="E1017" s="4" t="s">
        <v>6757</v>
      </c>
      <c r="F1017" s="7" t="n">
        <v>56219.47</v>
      </c>
      <c r="G1017" s="24" t="s">
        <v>5951</v>
      </c>
      <c r="H1017" s="4" t="s">
        <v>4515</v>
      </c>
      <c r="I1017" s="4"/>
    </row>
    <row r="1018" customFormat="false" ht="15" hidden="false" customHeight="false" outlineLevel="0" collapsed="false">
      <c r="A1018" s="4" t="s">
        <v>4522</v>
      </c>
      <c r="B1018" s="23" t="n">
        <v>1015</v>
      </c>
      <c r="C1018" s="6" t="n">
        <v>46281</v>
      </c>
      <c r="D1018" s="4" t="s">
        <v>4524</v>
      </c>
      <c r="E1018" s="4" t="s">
        <v>6758</v>
      </c>
      <c r="F1018" s="7" t="n">
        <v>73769.85</v>
      </c>
      <c r="G1018" s="24" t="s">
        <v>5951</v>
      </c>
      <c r="H1018" s="4" t="s">
        <v>4520</v>
      </c>
      <c r="I1018" s="4"/>
    </row>
    <row r="1019" customFormat="false" ht="15" hidden="false" customHeight="false" outlineLevel="0" collapsed="false">
      <c r="A1019" s="4" t="s">
        <v>1974</v>
      </c>
      <c r="B1019" s="23" t="n">
        <v>1016</v>
      </c>
      <c r="C1019" s="6" t="n">
        <v>46281</v>
      </c>
      <c r="D1019" s="4" t="s">
        <v>1976</v>
      </c>
      <c r="E1019" s="4" t="s">
        <v>6733</v>
      </c>
      <c r="F1019" s="7" t="n">
        <v>87771.68</v>
      </c>
      <c r="G1019" s="24" t="s">
        <v>5951</v>
      </c>
      <c r="H1019" s="4" t="s">
        <v>1972</v>
      </c>
      <c r="I1019" s="4"/>
    </row>
    <row r="1020" customFormat="false" ht="15" hidden="false" customHeight="false" outlineLevel="0" collapsed="false">
      <c r="A1020" s="4" t="s">
        <v>1979</v>
      </c>
      <c r="B1020" s="23" t="n">
        <v>1017</v>
      </c>
      <c r="C1020" s="6" t="n">
        <v>46281</v>
      </c>
      <c r="D1020" s="4" t="s">
        <v>1981</v>
      </c>
      <c r="E1020" s="4" t="s">
        <v>6734</v>
      </c>
      <c r="F1020" s="7" t="n">
        <v>79812.2</v>
      </c>
      <c r="G1020" s="24" t="s">
        <v>5951</v>
      </c>
      <c r="H1020" s="4" t="s">
        <v>1977</v>
      </c>
      <c r="I1020" s="4"/>
    </row>
    <row r="1021" customFormat="false" ht="15" hidden="false" customHeight="false" outlineLevel="0" collapsed="false">
      <c r="A1021" s="4" t="s">
        <v>1984</v>
      </c>
      <c r="B1021" s="23" t="n">
        <v>1018</v>
      </c>
      <c r="C1021" s="6" t="n">
        <v>46281</v>
      </c>
      <c r="D1021" s="4" t="s">
        <v>1986</v>
      </c>
      <c r="E1021" s="4" t="s">
        <v>6735</v>
      </c>
      <c r="F1021" s="7" t="n">
        <v>66003.62</v>
      </c>
      <c r="G1021" s="24" t="s">
        <v>5951</v>
      </c>
      <c r="H1021" s="4" t="s">
        <v>1982</v>
      </c>
      <c r="I1021" s="4"/>
    </row>
    <row r="1022" customFormat="false" ht="15" hidden="false" customHeight="false" outlineLevel="0" collapsed="false">
      <c r="A1022" s="4" t="s">
        <v>3675</v>
      </c>
      <c r="B1022" s="23" t="n">
        <v>1019</v>
      </c>
      <c r="C1022" s="6" t="n">
        <v>46281</v>
      </c>
      <c r="D1022" s="4" t="s">
        <v>3677</v>
      </c>
      <c r="E1022" s="4" t="s">
        <v>6753</v>
      </c>
      <c r="F1022" s="7" t="n">
        <v>79265.32</v>
      </c>
      <c r="G1022" s="24" t="s">
        <v>5951</v>
      </c>
      <c r="H1022" s="4" t="s">
        <v>3673</v>
      </c>
      <c r="I1022" s="4"/>
    </row>
    <row r="1023" customFormat="false" ht="15" hidden="false" customHeight="false" outlineLevel="0" collapsed="false">
      <c r="A1023" s="4" t="s">
        <v>4527</v>
      </c>
      <c r="B1023" s="23" t="n">
        <v>1020</v>
      </c>
      <c r="C1023" s="6" t="n">
        <v>46281</v>
      </c>
      <c r="D1023" s="4" t="s">
        <v>4529</v>
      </c>
      <c r="E1023" s="4" t="s">
        <v>7411</v>
      </c>
      <c r="F1023" s="7" t="n">
        <v>57927.7</v>
      </c>
      <c r="G1023" s="24" t="s">
        <v>5951</v>
      </c>
      <c r="H1023" s="4" t="s">
        <v>4525</v>
      </c>
      <c r="I1023" s="4"/>
    </row>
    <row r="1024" customFormat="false" ht="15" hidden="false" customHeight="false" outlineLevel="0" collapsed="false">
      <c r="A1024" s="4" t="s">
        <v>1989</v>
      </c>
      <c r="B1024" s="23" t="n">
        <v>1021</v>
      </c>
      <c r="C1024" s="6" t="n">
        <v>46281</v>
      </c>
      <c r="D1024" s="4" t="s">
        <v>1991</v>
      </c>
      <c r="E1024" s="4" t="s">
        <v>6737</v>
      </c>
      <c r="F1024" s="7" t="n">
        <v>33367.45</v>
      </c>
      <c r="G1024" s="24" t="s">
        <v>5951</v>
      </c>
      <c r="H1024" s="4" t="s">
        <v>1987</v>
      </c>
      <c r="I1024" s="4"/>
    </row>
    <row r="1025" customFormat="false" ht="15" hidden="false" customHeight="false" outlineLevel="0" collapsed="false">
      <c r="A1025" s="4" t="s">
        <v>1994</v>
      </c>
      <c r="B1025" s="23" t="n">
        <v>1022</v>
      </c>
      <c r="C1025" s="6" t="n">
        <v>46281</v>
      </c>
      <c r="D1025" s="4" t="s">
        <v>204</v>
      </c>
      <c r="E1025" s="4" t="s">
        <v>203</v>
      </c>
      <c r="F1025" s="7" t="n">
        <v>-12313.56</v>
      </c>
      <c r="G1025" s="24" t="s">
        <v>5951</v>
      </c>
      <c r="H1025" s="4" t="s">
        <v>1992</v>
      </c>
      <c r="I1025" s="4"/>
    </row>
    <row r="1026" customFormat="false" ht="15" hidden="false" customHeight="false" outlineLevel="0" collapsed="false">
      <c r="A1026" s="4" t="s">
        <v>5730</v>
      </c>
      <c r="B1026" s="23" t="n">
        <v>1023</v>
      </c>
      <c r="C1026" s="6" t="n">
        <v>46281</v>
      </c>
      <c r="D1026" s="4" t="s">
        <v>5732</v>
      </c>
      <c r="E1026" s="4" t="s">
        <v>7412</v>
      </c>
      <c r="F1026" s="7" t="n">
        <v>-40748.55</v>
      </c>
      <c r="G1026" s="24" t="s">
        <v>5951</v>
      </c>
      <c r="H1026" s="4" t="s">
        <v>5728</v>
      </c>
      <c r="I1026" s="4"/>
    </row>
    <row r="1027" customFormat="false" ht="15" hidden="false" customHeight="false" outlineLevel="0" collapsed="false">
      <c r="A1027" s="4" t="s">
        <v>4532</v>
      </c>
      <c r="B1027" s="23" t="n">
        <v>1024</v>
      </c>
      <c r="C1027" s="6" t="n">
        <v>46281</v>
      </c>
      <c r="D1027" s="4" t="s">
        <v>4534</v>
      </c>
      <c r="E1027" s="4" t="s">
        <v>7413</v>
      </c>
      <c r="F1027" s="7" t="n">
        <v>-29594.79</v>
      </c>
      <c r="G1027" s="24" t="s">
        <v>5951</v>
      </c>
      <c r="H1027" s="4" t="s">
        <v>4530</v>
      </c>
      <c r="I1027" s="4"/>
    </row>
    <row r="1028" customFormat="false" ht="15" hidden="false" customHeight="false" outlineLevel="0" collapsed="false">
      <c r="A1028" s="4" t="s">
        <v>1998</v>
      </c>
      <c r="B1028" s="23" t="n">
        <v>1025</v>
      </c>
      <c r="C1028" s="6" t="n">
        <v>46281</v>
      </c>
      <c r="D1028" s="4" t="s">
        <v>2000</v>
      </c>
      <c r="E1028" s="4" t="s">
        <v>7414</v>
      </c>
      <c r="F1028" s="7" t="n">
        <v>-15300.03</v>
      </c>
      <c r="G1028" s="24" t="s">
        <v>5951</v>
      </c>
      <c r="H1028" s="4" t="s">
        <v>1996</v>
      </c>
      <c r="I1028" s="4"/>
    </row>
    <row r="1029" customFormat="false" ht="15" hidden="false" customHeight="false" outlineLevel="0" collapsed="false">
      <c r="A1029" s="4" t="s">
        <v>5296</v>
      </c>
      <c r="B1029" s="23" t="n">
        <v>1026</v>
      </c>
      <c r="C1029" s="6" t="n">
        <v>46281</v>
      </c>
      <c r="D1029" s="4" t="s">
        <v>5298</v>
      </c>
      <c r="E1029" s="4" t="s">
        <v>7415</v>
      </c>
      <c r="F1029" s="7" t="n">
        <v>-9627.89</v>
      </c>
      <c r="G1029" s="24" t="s">
        <v>5951</v>
      </c>
      <c r="H1029" s="4" t="s">
        <v>5294</v>
      </c>
      <c r="I1029" s="4"/>
    </row>
    <row r="1030" customFormat="false" ht="15" hidden="false" customHeight="false" outlineLevel="0" collapsed="false">
      <c r="A1030" s="4" t="s">
        <v>4537</v>
      </c>
      <c r="B1030" s="23" t="n">
        <v>1027</v>
      </c>
      <c r="C1030" s="6" t="n">
        <v>46281</v>
      </c>
      <c r="D1030" s="4" t="s">
        <v>4539</v>
      </c>
      <c r="E1030" s="4" t="s">
        <v>7416</v>
      </c>
      <c r="F1030" s="7" t="n">
        <v>-15917.23</v>
      </c>
      <c r="G1030" s="24" t="s">
        <v>5951</v>
      </c>
      <c r="H1030" s="4" t="s">
        <v>4535</v>
      </c>
      <c r="I1030" s="4"/>
    </row>
    <row r="1031" customFormat="false" ht="15" hidden="false" customHeight="false" outlineLevel="0" collapsed="false">
      <c r="A1031" s="4" t="s">
        <v>5301</v>
      </c>
      <c r="B1031" s="23" t="n">
        <v>1028</v>
      </c>
      <c r="C1031" s="6" t="n">
        <v>46281</v>
      </c>
      <c r="D1031" s="4" t="s">
        <v>5303</v>
      </c>
      <c r="E1031" s="4" t="s">
        <v>7417</v>
      </c>
      <c r="F1031" s="7" t="n">
        <v>-812.43</v>
      </c>
      <c r="G1031" s="24" t="s">
        <v>5951</v>
      </c>
      <c r="H1031" s="4" t="s">
        <v>5299</v>
      </c>
      <c r="I1031" s="4"/>
    </row>
    <row r="1032" customFormat="false" ht="15" hidden="false" customHeight="false" outlineLevel="0" collapsed="false">
      <c r="A1032" s="4" t="s">
        <v>4542</v>
      </c>
      <c r="B1032" s="23" t="n">
        <v>1029</v>
      </c>
      <c r="C1032" s="6" t="n">
        <v>46281</v>
      </c>
      <c r="D1032" s="4" t="s">
        <v>4544</v>
      </c>
      <c r="E1032" s="4" t="s">
        <v>7418</v>
      </c>
      <c r="F1032" s="7" t="n">
        <v>-26142.54</v>
      </c>
      <c r="G1032" s="24" t="s">
        <v>5951</v>
      </c>
      <c r="H1032" s="4" t="s">
        <v>4540</v>
      </c>
      <c r="I1032" s="4"/>
    </row>
    <row r="1033" customFormat="false" ht="15" hidden="false" customHeight="false" outlineLevel="0" collapsed="false">
      <c r="A1033" s="4" t="s">
        <v>202</v>
      </c>
      <c r="B1033" s="23" t="n">
        <v>1030</v>
      </c>
      <c r="C1033" s="6" t="n">
        <v>46281</v>
      </c>
      <c r="D1033" s="4" t="s">
        <v>204</v>
      </c>
      <c r="E1033" s="4" t="s">
        <v>203</v>
      </c>
      <c r="F1033" s="7" t="n">
        <v>-12313.56</v>
      </c>
      <c r="G1033" s="26" t="s">
        <v>6043</v>
      </c>
      <c r="H1033" s="4"/>
      <c r="I1033" s="4" t="s">
        <v>201</v>
      </c>
    </row>
    <row r="1034" customFormat="false" ht="15" hidden="false" customHeight="false" outlineLevel="0" collapsed="false">
      <c r="A1034" s="4" t="s">
        <v>370</v>
      </c>
      <c r="B1034" s="23" t="n">
        <v>1031</v>
      </c>
      <c r="C1034" s="6" t="n">
        <v>46281</v>
      </c>
      <c r="D1034" s="4" t="s">
        <v>5925</v>
      </c>
      <c r="E1034" s="4"/>
      <c r="F1034" s="7" t="n">
        <v>-3659.96</v>
      </c>
      <c r="G1034" s="25" t="s">
        <v>5987</v>
      </c>
      <c r="H1034" s="4" t="s">
        <v>5923</v>
      </c>
      <c r="I1034" s="4" t="s">
        <v>368</v>
      </c>
    </row>
    <row r="1035" customFormat="false" ht="15" hidden="false" customHeight="false" outlineLevel="0" collapsed="false">
      <c r="A1035" s="4" t="s">
        <v>2003</v>
      </c>
      <c r="B1035" s="23" t="n">
        <v>1032</v>
      </c>
      <c r="C1035" s="6" t="n">
        <v>46282</v>
      </c>
      <c r="D1035" s="4" t="s">
        <v>2005</v>
      </c>
      <c r="E1035" s="4" t="s">
        <v>6748</v>
      </c>
      <c r="F1035" s="7" t="n">
        <v>47404.1</v>
      </c>
      <c r="G1035" s="24" t="s">
        <v>5951</v>
      </c>
      <c r="H1035" s="4" t="s">
        <v>2001</v>
      </c>
      <c r="I1035" s="4"/>
    </row>
    <row r="1036" customFormat="false" ht="15" hidden="false" customHeight="false" outlineLevel="0" collapsed="false">
      <c r="A1036" s="4" t="s">
        <v>2008</v>
      </c>
      <c r="B1036" s="23" t="n">
        <v>1033</v>
      </c>
      <c r="C1036" s="6" t="n">
        <v>46282</v>
      </c>
      <c r="D1036" s="4" t="s">
        <v>2010</v>
      </c>
      <c r="E1036" s="4" t="s">
        <v>6750</v>
      </c>
      <c r="F1036" s="7" t="n">
        <v>33817.32</v>
      </c>
      <c r="G1036" s="24" t="s">
        <v>5951</v>
      </c>
      <c r="H1036" s="4" t="s">
        <v>2006</v>
      </c>
      <c r="I1036" s="4"/>
    </row>
    <row r="1037" customFormat="false" ht="15" hidden="false" customHeight="false" outlineLevel="0" collapsed="false">
      <c r="A1037" s="4" t="s">
        <v>2013</v>
      </c>
      <c r="B1037" s="23" t="n">
        <v>1034</v>
      </c>
      <c r="C1037" s="6" t="n">
        <v>46282</v>
      </c>
      <c r="D1037" s="4" t="s">
        <v>2015</v>
      </c>
      <c r="E1037" s="4" t="s">
        <v>7419</v>
      </c>
      <c r="F1037" s="7" t="n">
        <v>9107.02</v>
      </c>
      <c r="G1037" s="24" t="s">
        <v>5951</v>
      </c>
      <c r="H1037" s="4" t="s">
        <v>2011</v>
      </c>
      <c r="I1037" s="4"/>
    </row>
    <row r="1038" customFormat="false" ht="15" hidden="false" customHeight="false" outlineLevel="0" collapsed="false">
      <c r="A1038" s="4" t="s">
        <v>2018</v>
      </c>
      <c r="B1038" s="23" t="n">
        <v>1035</v>
      </c>
      <c r="C1038" s="6" t="n">
        <v>46282</v>
      </c>
      <c r="D1038" s="4" t="s">
        <v>2020</v>
      </c>
      <c r="E1038" s="4" t="s">
        <v>6751</v>
      </c>
      <c r="F1038" s="7" t="n">
        <v>41202.5</v>
      </c>
      <c r="G1038" s="24" t="s">
        <v>5951</v>
      </c>
      <c r="H1038" s="4" t="s">
        <v>2016</v>
      </c>
      <c r="I1038" s="4"/>
    </row>
    <row r="1039" customFormat="false" ht="15" hidden="false" customHeight="false" outlineLevel="0" collapsed="false">
      <c r="A1039" s="4" t="s">
        <v>3680</v>
      </c>
      <c r="B1039" s="23" t="n">
        <v>1036</v>
      </c>
      <c r="C1039" s="6" t="n">
        <v>46282</v>
      </c>
      <c r="D1039" s="4" t="s">
        <v>3682</v>
      </c>
      <c r="E1039" s="4" t="s">
        <v>6760</v>
      </c>
      <c r="F1039" s="7" t="n">
        <v>86703.64</v>
      </c>
      <c r="G1039" s="24" t="s">
        <v>5951</v>
      </c>
      <c r="H1039" s="4" t="s">
        <v>3678</v>
      </c>
      <c r="I1039" s="4"/>
    </row>
    <row r="1040" customFormat="false" ht="15" hidden="false" customHeight="false" outlineLevel="0" collapsed="false">
      <c r="A1040" s="4" t="s">
        <v>4882</v>
      </c>
      <c r="B1040" s="23" t="n">
        <v>1037</v>
      </c>
      <c r="C1040" s="6" t="n">
        <v>46282</v>
      </c>
      <c r="D1040" s="4" t="s">
        <v>4884</v>
      </c>
      <c r="E1040" s="4" t="s">
        <v>7420</v>
      </c>
      <c r="F1040" s="7" t="n">
        <v>-49476.88</v>
      </c>
      <c r="G1040" s="24" t="s">
        <v>5951</v>
      </c>
      <c r="H1040" s="4" t="s">
        <v>4880</v>
      </c>
      <c r="I1040" s="4"/>
    </row>
    <row r="1041" customFormat="false" ht="15" hidden="false" customHeight="false" outlineLevel="0" collapsed="false">
      <c r="A1041" s="4" t="s">
        <v>3685</v>
      </c>
      <c r="B1041" s="23" t="n">
        <v>1038</v>
      </c>
      <c r="C1041" s="6" t="n">
        <v>46282</v>
      </c>
      <c r="D1041" s="4" t="s">
        <v>3687</v>
      </c>
      <c r="E1041" s="4" t="s">
        <v>7421</v>
      </c>
      <c r="F1041" s="7" t="n">
        <v>-44764.01</v>
      </c>
      <c r="G1041" s="24" t="s">
        <v>5951</v>
      </c>
      <c r="H1041" s="4" t="s">
        <v>3683</v>
      </c>
      <c r="I1041" s="4"/>
    </row>
    <row r="1042" customFormat="false" ht="15" hidden="false" customHeight="false" outlineLevel="0" collapsed="false">
      <c r="A1042" s="4" t="s">
        <v>5735</v>
      </c>
      <c r="B1042" s="23" t="n">
        <v>1039</v>
      </c>
      <c r="C1042" s="6" t="n">
        <v>46282</v>
      </c>
      <c r="D1042" s="4" t="s">
        <v>5737</v>
      </c>
      <c r="E1042" s="4" t="s">
        <v>7422</v>
      </c>
      <c r="F1042" s="7" t="n">
        <v>-17515.4</v>
      </c>
      <c r="G1042" s="24" t="s">
        <v>5951</v>
      </c>
      <c r="H1042" s="4" t="s">
        <v>5733</v>
      </c>
      <c r="I1042" s="4"/>
    </row>
    <row r="1043" customFormat="false" ht="15" hidden="false" customHeight="false" outlineLevel="0" collapsed="false">
      <c r="A1043" s="4" t="s">
        <v>5306</v>
      </c>
      <c r="B1043" s="23" t="n">
        <v>1040</v>
      </c>
      <c r="C1043" s="6" t="n">
        <v>46282</v>
      </c>
      <c r="D1043" s="4" t="s">
        <v>5308</v>
      </c>
      <c r="E1043" s="4" t="s">
        <v>7423</v>
      </c>
      <c r="F1043" s="7" t="n">
        <v>-14137.94</v>
      </c>
      <c r="G1043" s="24" t="s">
        <v>5951</v>
      </c>
      <c r="H1043" s="4" t="s">
        <v>5304</v>
      </c>
      <c r="I1043" s="4"/>
    </row>
    <row r="1044" customFormat="false" ht="15" hidden="false" customHeight="false" outlineLevel="0" collapsed="false">
      <c r="A1044" s="4" t="s">
        <v>5740</v>
      </c>
      <c r="B1044" s="23" t="n">
        <v>1041</v>
      </c>
      <c r="C1044" s="6" t="n">
        <v>46282</v>
      </c>
      <c r="D1044" s="4" t="s">
        <v>5742</v>
      </c>
      <c r="E1044" s="4" t="s">
        <v>7424</v>
      </c>
      <c r="F1044" s="7" t="n">
        <v>-29436.29</v>
      </c>
      <c r="G1044" s="24" t="s">
        <v>5951</v>
      </c>
      <c r="H1044" s="4" t="s">
        <v>5738</v>
      </c>
      <c r="I1044" s="4"/>
    </row>
    <row r="1045" customFormat="false" ht="15" hidden="false" customHeight="false" outlineLevel="0" collapsed="false">
      <c r="A1045" s="4" t="s">
        <v>5311</v>
      </c>
      <c r="B1045" s="23" t="n">
        <v>1042</v>
      </c>
      <c r="C1045" s="6" t="n">
        <v>46282</v>
      </c>
      <c r="D1045" s="4" t="s">
        <v>5313</v>
      </c>
      <c r="E1045" s="4" t="s">
        <v>7425</v>
      </c>
      <c r="F1045" s="7" t="n">
        <v>-10115.06</v>
      </c>
      <c r="G1045" s="24" t="s">
        <v>5951</v>
      </c>
      <c r="H1045" s="4" t="s">
        <v>5309</v>
      </c>
      <c r="I1045" s="4"/>
    </row>
    <row r="1046" customFormat="false" ht="15" hidden="false" customHeight="false" outlineLevel="0" collapsed="false">
      <c r="A1046" s="4" t="s">
        <v>2023</v>
      </c>
      <c r="B1046" s="23" t="n">
        <v>1043</v>
      </c>
      <c r="C1046" s="6" t="n">
        <v>46283</v>
      </c>
      <c r="D1046" s="4" t="s">
        <v>2025</v>
      </c>
      <c r="E1046" s="4" t="s">
        <v>6756</v>
      </c>
      <c r="F1046" s="7" t="n">
        <v>41349.34</v>
      </c>
      <c r="G1046" s="24" t="s">
        <v>5951</v>
      </c>
      <c r="H1046" s="4" t="s">
        <v>2021</v>
      </c>
      <c r="I1046" s="4"/>
    </row>
    <row r="1047" customFormat="false" ht="15" hidden="false" customHeight="false" outlineLevel="0" collapsed="false">
      <c r="A1047" s="4" t="s">
        <v>3690</v>
      </c>
      <c r="B1047" s="23" t="n">
        <v>1044</v>
      </c>
      <c r="C1047" s="6" t="n">
        <v>46283</v>
      </c>
      <c r="D1047" s="4" t="s">
        <v>3692</v>
      </c>
      <c r="E1047" s="4" t="s">
        <v>7426</v>
      </c>
      <c r="F1047" s="7" t="n">
        <v>57845.53</v>
      </c>
      <c r="G1047" s="24" t="s">
        <v>5951</v>
      </c>
      <c r="H1047" s="4" t="s">
        <v>3688</v>
      </c>
      <c r="I1047" s="4"/>
    </row>
    <row r="1048" customFormat="false" ht="15" hidden="false" customHeight="false" outlineLevel="0" collapsed="false">
      <c r="A1048" s="4" t="s">
        <v>2028</v>
      </c>
      <c r="B1048" s="23" t="n">
        <v>1045</v>
      </c>
      <c r="C1048" s="6" t="n">
        <v>46283</v>
      </c>
      <c r="D1048" s="4" t="s">
        <v>2030</v>
      </c>
      <c r="E1048" s="4" t="s">
        <v>6759</v>
      </c>
      <c r="F1048" s="7" t="n">
        <v>27608.42</v>
      </c>
      <c r="G1048" s="24" t="s">
        <v>5951</v>
      </c>
      <c r="H1048" s="4" t="s">
        <v>2026</v>
      </c>
      <c r="I1048" s="4"/>
    </row>
    <row r="1049" customFormat="false" ht="15" hidden="false" customHeight="false" outlineLevel="0" collapsed="false">
      <c r="A1049" s="4" t="s">
        <v>4547</v>
      </c>
      <c r="B1049" s="23" t="n">
        <v>1046</v>
      </c>
      <c r="C1049" s="6" t="n">
        <v>46283</v>
      </c>
      <c r="D1049" s="4" t="s">
        <v>4549</v>
      </c>
      <c r="E1049" s="4" t="s">
        <v>6787</v>
      </c>
      <c r="F1049" s="7" t="n">
        <v>28751.45</v>
      </c>
      <c r="G1049" s="24" t="s">
        <v>5951</v>
      </c>
      <c r="H1049" s="4" t="s">
        <v>4545</v>
      </c>
      <c r="I1049" s="4"/>
    </row>
    <row r="1050" customFormat="false" ht="15" hidden="false" customHeight="false" outlineLevel="0" collapsed="false">
      <c r="A1050" s="4" t="s">
        <v>3695</v>
      </c>
      <c r="B1050" s="23" t="n">
        <v>1047</v>
      </c>
      <c r="C1050" s="6" t="n">
        <v>46283</v>
      </c>
      <c r="D1050" s="4" t="s">
        <v>3697</v>
      </c>
      <c r="E1050" s="4" t="s">
        <v>6774</v>
      </c>
      <c r="F1050" s="7" t="n">
        <v>23290.81</v>
      </c>
      <c r="G1050" s="24" t="s">
        <v>5951</v>
      </c>
      <c r="H1050" s="4" t="s">
        <v>3693</v>
      </c>
      <c r="I1050" s="4"/>
    </row>
    <row r="1051" customFormat="false" ht="15" hidden="false" customHeight="false" outlineLevel="0" collapsed="false">
      <c r="A1051" s="4" t="s">
        <v>3700</v>
      </c>
      <c r="B1051" s="23" t="n">
        <v>1048</v>
      </c>
      <c r="C1051" s="6" t="n">
        <v>46283</v>
      </c>
      <c r="D1051" s="4" t="s">
        <v>3702</v>
      </c>
      <c r="E1051" s="4" t="s">
        <v>6776</v>
      </c>
      <c r="F1051" s="7" t="n">
        <v>60125.18</v>
      </c>
      <c r="G1051" s="24" t="s">
        <v>5951</v>
      </c>
      <c r="H1051" s="4" t="s">
        <v>3698</v>
      </c>
      <c r="I1051" s="4"/>
    </row>
    <row r="1052" customFormat="false" ht="15" hidden="false" customHeight="false" outlineLevel="0" collapsed="false">
      <c r="A1052" s="4" t="s">
        <v>4552</v>
      </c>
      <c r="B1052" s="23" t="n">
        <v>1049</v>
      </c>
      <c r="C1052" s="6" t="n">
        <v>46283</v>
      </c>
      <c r="D1052" s="4" t="s">
        <v>4554</v>
      </c>
      <c r="E1052" s="4" t="s">
        <v>7427</v>
      </c>
      <c r="F1052" s="7" t="n">
        <v>75099.12</v>
      </c>
      <c r="G1052" s="24" t="s">
        <v>5951</v>
      </c>
      <c r="H1052" s="4" t="s">
        <v>4550</v>
      </c>
      <c r="I1052" s="4"/>
    </row>
    <row r="1053" customFormat="false" ht="15" hidden="false" customHeight="false" outlineLevel="0" collapsed="false">
      <c r="A1053" s="4" t="s">
        <v>3705</v>
      </c>
      <c r="B1053" s="23" t="n">
        <v>1050</v>
      </c>
      <c r="C1053" s="6" t="n">
        <v>46283</v>
      </c>
      <c r="D1053" s="4" t="s">
        <v>3707</v>
      </c>
      <c r="E1053" s="4" t="s">
        <v>7428</v>
      </c>
      <c r="F1053" s="7" t="n">
        <v>-26658.64</v>
      </c>
      <c r="G1053" s="24" t="s">
        <v>5951</v>
      </c>
      <c r="H1053" s="4" t="s">
        <v>3703</v>
      </c>
      <c r="I1053" s="4"/>
    </row>
    <row r="1054" customFormat="false" ht="15" hidden="false" customHeight="false" outlineLevel="0" collapsed="false">
      <c r="A1054" s="4" t="s">
        <v>2033</v>
      </c>
      <c r="B1054" s="23" t="n">
        <v>1051</v>
      </c>
      <c r="C1054" s="6" t="n">
        <v>46283</v>
      </c>
      <c r="D1054" s="4" t="s">
        <v>2035</v>
      </c>
      <c r="E1054" s="4" t="s">
        <v>7429</v>
      </c>
      <c r="F1054" s="7" t="n">
        <v>-22715.17</v>
      </c>
      <c r="G1054" s="24" t="s">
        <v>5951</v>
      </c>
      <c r="H1054" s="4" t="s">
        <v>2031</v>
      </c>
      <c r="I1054" s="4"/>
    </row>
    <row r="1055" customFormat="false" ht="15" hidden="false" customHeight="false" outlineLevel="0" collapsed="false">
      <c r="A1055" s="4" t="s">
        <v>4557</v>
      </c>
      <c r="B1055" s="23" t="n">
        <v>1052</v>
      </c>
      <c r="C1055" s="6" t="n">
        <v>46283</v>
      </c>
      <c r="D1055" s="4" t="s">
        <v>4559</v>
      </c>
      <c r="E1055" s="4" t="s">
        <v>7430</v>
      </c>
      <c r="F1055" s="7" t="n">
        <v>-20184.94</v>
      </c>
      <c r="G1055" s="24" t="s">
        <v>5951</v>
      </c>
      <c r="H1055" s="4" t="s">
        <v>4555</v>
      </c>
      <c r="I1055" s="4"/>
    </row>
    <row r="1056" customFormat="false" ht="15" hidden="false" customHeight="false" outlineLevel="0" collapsed="false">
      <c r="A1056" s="4" t="s">
        <v>2038</v>
      </c>
      <c r="B1056" s="23" t="n">
        <v>1053</v>
      </c>
      <c r="C1056" s="6" t="n">
        <v>46283</v>
      </c>
      <c r="D1056" s="4" t="s">
        <v>2040</v>
      </c>
      <c r="E1056" s="4" t="s">
        <v>7431</v>
      </c>
      <c r="F1056" s="7" t="n">
        <v>-5665.38</v>
      </c>
      <c r="G1056" s="24" t="s">
        <v>5951</v>
      </c>
      <c r="H1056" s="4" t="s">
        <v>2036</v>
      </c>
      <c r="I1056" s="4"/>
    </row>
    <row r="1057" customFormat="false" ht="15" hidden="false" customHeight="false" outlineLevel="0" collapsed="false">
      <c r="A1057" s="4" t="s">
        <v>3710</v>
      </c>
      <c r="B1057" s="23" t="n">
        <v>1054</v>
      </c>
      <c r="C1057" s="6" t="n">
        <v>46283</v>
      </c>
      <c r="D1057" s="4" t="s">
        <v>3712</v>
      </c>
      <c r="E1057" s="4" t="s">
        <v>7432</v>
      </c>
      <c r="F1057" s="7" t="n">
        <v>-8203.69</v>
      </c>
      <c r="G1057" s="24" t="s">
        <v>5951</v>
      </c>
      <c r="H1057" s="4" t="s">
        <v>3708</v>
      </c>
      <c r="I1057" s="4"/>
    </row>
    <row r="1058" customFormat="false" ht="15" hidden="false" customHeight="false" outlineLevel="0" collapsed="false">
      <c r="A1058" s="4" t="s">
        <v>5839</v>
      </c>
      <c r="B1058" s="23" t="n">
        <v>1055</v>
      </c>
      <c r="C1058" s="6" t="n">
        <v>46283</v>
      </c>
      <c r="D1058" s="4" t="s">
        <v>5815</v>
      </c>
      <c r="E1058" s="4"/>
      <c r="F1058" s="7" t="n">
        <v>-3020.43</v>
      </c>
      <c r="G1058" s="24" t="s">
        <v>5951</v>
      </c>
      <c r="H1058" s="4" t="s">
        <v>5837</v>
      </c>
      <c r="I1058" s="4"/>
    </row>
    <row r="1059" customFormat="false" ht="15" hidden="false" customHeight="false" outlineLevel="0" collapsed="false">
      <c r="A1059" s="4" t="s">
        <v>4562</v>
      </c>
      <c r="B1059" s="23" t="n">
        <v>1056</v>
      </c>
      <c r="C1059" s="6" t="n">
        <v>46284</v>
      </c>
      <c r="D1059" s="4" t="s">
        <v>4564</v>
      </c>
      <c r="E1059" s="4" t="s">
        <v>6797</v>
      </c>
      <c r="F1059" s="7" t="n">
        <v>15199.67</v>
      </c>
      <c r="G1059" s="24" t="s">
        <v>5951</v>
      </c>
      <c r="H1059" s="4" t="s">
        <v>4560</v>
      </c>
      <c r="I1059" s="4"/>
    </row>
    <row r="1060" customFormat="false" ht="15" hidden="false" customHeight="false" outlineLevel="0" collapsed="false">
      <c r="A1060" s="4" t="s">
        <v>3715</v>
      </c>
      <c r="B1060" s="23" t="n">
        <v>1057</v>
      </c>
      <c r="C1060" s="6" t="n">
        <v>46284</v>
      </c>
      <c r="D1060" s="4" t="s">
        <v>3717</v>
      </c>
      <c r="E1060" s="4" t="s">
        <v>6781</v>
      </c>
      <c r="F1060" s="7" t="n">
        <v>77700.53</v>
      </c>
      <c r="G1060" s="24" t="s">
        <v>5951</v>
      </c>
      <c r="H1060" s="4" t="s">
        <v>3713</v>
      </c>
      <c r="I1060" s="4"/>
    </row>
    <row r="1061" customFormat="false" ht="15" hidden="false" customHeight="false" outlineLevel="0" collapsed="false">
      <c r="A1061" s="4" t="s">
        <v>3720</v>
      </c>
      <c r="B1061" s="23" t="n">
        <v>1058</v>
      </c>
      <c r="C1061" s="6" t="n">
        <v>46284</v>
      </c>
      <c r="D1061" s="4" t="s">
        <v>3722</v>
      </c>
      <c r="E1061" s="4" t="s">
        <v>7433</v>
      </c>
      <c r="F1061" s="7" t="n">
        <v>25817.2</v>
      </c>
      <c r="G1061" s="24" t="s">
        <v>5951</v>
      </c>
      <c r="H1061" s="4" t="s">
        <v>3718</v>
      </c>
      <c r="I1061" s="4"/>
    </row>
    <row r="1062" customFormat="false" ht="15" hidden="false" customHeight="false" outlineLevel="0" collapsed="false">
      <c r="A1062" s="4" t="s">
        <v>3725</v>
      </c>
      <c r="B1062" s="23" t="n">
        <v>1059</v>
      </c>
      <c r="C1062" s="6" t="n">
        <v>46284</v>
      </c>
      <c r="D1062" s="4" t="s">
        <v>3727</v>
      </c>
      <c r="E1062" s="4" t="s">
        <v>6782</v>
      </c>
      <c r="F1062" s="7" t="n">
        <v>29769.39</v>
      </c>
      <c r="G1062" s="24" t="s">
        <v>5951</v>
      </c>
      <c r="H1062" s="4" t="s">
        <v>3723</v>
      </c>
      <c r="I1062" s="4"/>
    </row>
    <row r="1063" customFormat="false" ht="15" hidden="false" customHeight="false" outlineLevel="0" collapsed="false">
      <c r="A1063" s="4" t="s">
        <v>2043</v>
      </c>
      <c r="B1063" s="23" t="n">
        <v>1060</v>
      </c>
      <c r="C1063" s="6" t="n">
        <v>46284</v>
      </c>
      <c r="D1063" s="4" t="s">
        <v>2045</v>
      </c>
      <c r="E1063" s="4" t="s">
        <v>6771</v>
      </c>
      <c r="F1063" s="7" t="n">
        <v>8866.58</v>
      </c>
      <c r="G1063" s="24" t="s">
        <v>5951</v>
      </c>
      <c r="H1063" s="4" t="s">
        <v>2041</v>
      </c>
      <c r="I1063" s="4"/>
    </row>
    <row r="1064" customFormat="false" ht="15" hidden="false" customHeight="false" outlineLevel="0" collapsed="false">
      <c r="A1064" s="4" t="s">
        <v>2048</v>
      </c>
      <c r="B1064" s="23" t="n">
        <v>1061</v>
      </c>
      <c r="C1064" s="6" t="n">
        <v>46284</v>
      </c>
      <c r="D1064" s="4" t="s">
        <v>2050</v>
      </c>
      <c r="E1064" s="4" t="s">
        <v>6772</v>
      </c>
      <c r="F1064" s="7" t="n">
        <v>37896.07</v>
      </c>
      <c r="G1064" s="24" t="s">
        <v>5951</v>
      </c>
      <c r="H1064" s="4" t="s">
        <v>2046</v>
      </c>
      <c r="I1064" s="4"/>
    </row>
    <row r="1065" customFormat="false" ht="15" hidden="false" customHeight="false" outlineLevel="0" collapsed="false">
      <c r="A1065" s="4" t="s">
        <v>2053</v>
      </c>
      <c r="B1065" s="23" t="n">
        <v>1062</v>
      </c>
      <c r="C1065" s="6" t="n">
        <v>46284</v>
      </c>
      <c r="D1065" s="4" t="s">
        <v>2055</v>
      </c>
      <c r="E1065" s="4" t="s">
        <v>6773</v>
      </c>
      <c r="F1065" s="7" t="n">
        <v>31797.31</v>
      </c>
      <c r="G1065" s="24" t="s">
        <v>5951</v>
      </c>
      <c r="H1065" s="4" t="s">
        <v>2051</v>
      </c>
      <c r="I1065" s="4"/>
    </row>
    <row r="1066" customFormat="false" ht="15" hidden="false" customHeight="false" outlineLevel="0" collapsed="false">
      <c r="A1066" s="4" t="s">
        <v>3730</v>
      </c>
      <c r="B1066" s="23" t="n">
        <v>1063</v>
      </c>
      <c r="C1066" s="6" t="n">
        <v>46284</v>
      </c>
      <c r="D1066" s="4" t="s">
        <v>3732</v>
      </c>
      <c r="E1066" s="4" t="s">
        <v>6786</v>
      </c>
      <c r="F1066" s="7" t="n">
        <v>87220.08</v>
      </c>
      <c r="G1066" s="24" t="s">
        <v>5951</v>
      </c>
      <c r="H1066" s="4" t="s">
        <v>3728</v>
      </c>
      <c r="I1066" s="4"/>
    </row>
    <row r="1067" customFormat="false" ht="15" hidden="false" customHeight="false" outlineLevel="0" collapsed="false">
      <c r="A1067" s="4" t="s">
        <v>2058</v>
      </c>
      <c r="B1067" s="23" t="n">
        <v>1064</v>
      </c>
      <c r="C1067" s="6" t="n">
        <v>46284</v>
      </c>
      <c r="D1067" s="4" t="s">
        <v>2060</v>
      </c>
      <c r="E1067" s="4" t="s">
        <v>6775</v>
      </c>
      <c r="F1067" s="7" t="n">
        <v>50238.1</v>
      </c>
      <c r="G1067" s="24" t="s">
        <v>5951</v>
      </c>
      <c r="H1067" s="4" t="s">
        <v>2056</v>
      </c>
      <c r="I1067" s="4"/>
    </row>
    <row r="1068" customFormat="false" ht="15" hidden="false" customHeight="false" outlineLevel="0" collapsed="false">
      <c r="A1068" s="4" t="s">
        <v>5316</v>
      </c>
      <c r="B1068" s="23" t="n">
        <v>1065</v>
      </c>
      <c r="C1068" s="6" t="n">
        <v>46284</v>
      </c>
      <c r="D1068" s="4" t="s">
        <v>5318</v>
      </c>
      <c r="E1068" s="4" t="s">
        <v>7434</v>
      </c>
      <c r="F1068" s="7" t="n">
        <v>-24606.55</v>
      </c>
      <c r="G1068" s="24" t="s">
        <v>5951</v>
      </c>
      <c r="H1068" s="4" t="s">
        <v>5314</v>
      </c>
      <c r="I1068" s="4"/>
    </row>
    <row r="1069" customFormat="false" ht="15" hidden="false" customHeight="false" outlineLevel="0" collapsed="false">
      <c r="A1069" s="4" t="s">
        <v>5745</v>
      </c>
      <c r="B1069" s="23" t="n">
        <v>1066</v>
      </c>
      <c r="C1069" s="6" t="n">
        <v>46284</v>
      </c>
      <c r="D1069" s="4" t="s">
        <v>5747</v>
      </c>
      <c r="E1069" s="4" t="s">
        <v>7435</v>
      </c>
      <c r="F1069" s="7" t="n">
        <v>-41460.66</v>
      </c>
      <c r="G1069" s="24" t="s">
        <v>5951</v>
      </c>
      <c r="H1069" s="4" t="s">
        <v>5743</v>
      </c>
      <c r="I1069" s="4"/>
    </row>
    <row r="1070" customFormat="false" ht="15" hidden="false" customHeight="false" outlineLevel="0" collapsed="false">
      <c r="A1070" s="4" t="s">
        <v>2063</v>
      </c>
      <c r="B1070" s="23" t="n">
        <v>1067</v>
      </c>
      <c r="C1070" s="6" t="n">
        <v>46284</v>
      </c>
      <c r="D1070" s="4" t="s">
        <v>2065</v>
      </c>
      <c r="E1070" s="4" t="s">
        <v>7436</v>
      </c>
      <c r="F1070" s="7" t="n">
        <v>-36356.19</v>
      </c>
      <c r="G1070" s="24" t="s">
        <v>5951</v>
      </c>
      <c r="H1070" s="4" t="s">
        <v>2061</v>
      </c>
      <c r="I1070" s="4"/>
    </row>
    <row r="1071" customFormat="false" ht="15" hidden="false" customHeight="false" outlineLevel="0" collapsed="false">
      <c r="A1071" s="4" t="s">
        <v>4567</v>
      </c>
      <c r="B1071" s="23" t="n">
        <v>1068</v>
      </c>
      <c r="C1071" s="6" t="n">
        <v>46284</v>
      </c>
      <c r="D1071" s="4" t="s">
        <v>4569</v>
      </c>
      <c r="E1071" s="4" t="s">
        <v>7437</v>
      </c>
      <c r="F1071" s="7" t="n">
        <v>-45630.26</v>
      </c>
      <c r="G1071" s="24" t="s">
        <v>5951</v>
      </c>
      <c r="H1071" s="4" t="s">
        <v>4565</v>
      </c>
      <c r="I1071" s="4"/>
    </row>
    <row r="1072" customFormat="false" ht="15" hidden="false" customHeight="false" outlineLevel="0" collapsed="false">
      <c r="A1072" s="4" t="s">
        <v>3735</v>
      </c>
      <c r="B1072" s="23" t="n">
        <v>1069</v>
      </c>
      <c r="C1072" s="6" t="n">
        <v>46284</v>
      </c>
      <c r="D1072" s="4" t="s">
        <v>3737</v>
      </c>
      <c r="E1072" s="4" t="s">
        <v>7438</v>
      </c>
      <c r="F1072" s="7" t="n">
        <v>-56724.56</v>
      </c>
      <c r="G1072" s="24" t="s">
        <v>5951</v>
      </c>
      <c r="H1072" s="4" t="s">
        <v>3733</v>
      </c>
      <c r="I1072" s="4"/>
    </row>
    <row r="1073" customFormat="false" ht="15" hidden="false" customHeight="false" outlineLevel="0" collapsed="false">
      <c r="A1073" s="4" t="s">
        <v>523</v>
      </c>
      <c r="B1073" s="23" t="n">
        <v>1070</v>
      </c>
      <c r="C1073" s="6" t="n">
        <v>46284</v>
      </c>
      <c r="D1073" s="4" t="s">
        <v>5916</v>
      </c>
      <c r="E1073" s="4"/>
      <c r="F1073" s="7" t="n">
        <v>-531.77</v>
      </c>
      <c r="G1073" s="25" t="s">
        <v>5987</v>
      </c>
      <c r="H1073" s="4" t="s">
        <v>5914</v>
      </c>
      <c r="I1073" s="4" t="s">
        <v>521</v>
      </c>
    </row>
    <row r="1074" customFormat="false" ht="15" hidden="false" customHeight="false" outlineLevel="0" collapsed="false">
      <c r="A1074" s="4" t="s">
        <v>2068</v>
      </c>
      <c r="B1074" s="23" t="n">
        <v>1071</v>
      </c>
      <c r="C1074" s="6" t="n">
        <v>46285</v>
      </c>
      <c r="D1074" s="4" t="s">
        <v>2070</v>
      </c>
      <c r="E1074" s="4" t="s">
        <v>6780</v>
      </c>
      <c r="F1074" s="7" t="n">
        <v>68018.74</v>
      </c>
      <c r="G1074" s="24" t="s">
        <v>5951</v>
      </c>
      <c r="H1074" s="4" t="s">
        <v>2066</v>
      </c>
      <c r="I1074" s="4"/>
    </row>
    <row r="1075" customFormat="false" ht="15" hidden="false" customHeight="false" outlineLevel="0" collapsed="false">
      <c r="A1075" s="4" t="s">
        <v>3740</v>
      </c>
      <c r="B1075" s="23" t="n">
        <v>1072</v>
      </c>
      <c r="C1075" s="6" t="n">
        <v>46285</v>
      </c>
      <c r="D1075" s="4" t="s">
        <v>3742</v>
      </c>
      <c r="E1075" s="4" t="s">
        <v>6796</v>
      </c>
      <c r="F1075" s="7" t="n">
        <v>6851.31</v>
      </c>
      <c r="G1075" s="24" t="s">
        <v>5951</v>
      </c>
      <c r="H1075" s="4" t="s">
        <v>3738</v>
      </c>
      <c r="I1075" s="4"/>
    </row>
    <row r="1076" customFormat="false" ht="15" hidden="false" customHeight="false" outlineLevel="0" collapsed="false">
      <c r="A1076" s="4" t="s">
        <v>2073</v>
      </c>
      <c r="B1076" s="23" t="n">
        <v>1073</v>
      </c>
      <c r="C1076" s="6" t="n">
        <v>46285</v>
      </c>
      <c r="D1076" s="4" t="s">
        <v>2075</v>
      </c>
      <c r="E1076" s="4" t="s">
        <v>7439</v>
      </c>
      <c r="F1076" s="7" t="n">
        <v>6750.54</v>
      </c>
      <c r="G1076" s="24" t="s">
        <v>5951</v>
      </c>
      <c r="H1076" s="4" t="s">
        <v>2071</v>
      </c>
      <c r="I1076" s="4"/>
    </row>
    <row r="1077" customFormat="false" ht="15" hidden="false" customHeight="false" outlineLevel="0" collapsed="false">
      <c r="A1077" s="4" t="s">
        <v>4572</v>
      </c>
      <c r="B1077" s="23" t="n">
        <v>1074</v>
      </c>
      <c r="C1077" s="6" t="n">
        <v>46285</v>
      </c>
      <c r="D1077" s="4" t="s">
        <v>4574</v>
      </c>
      <c r="E1077" s="4" t="s">
        <v>6809</v>
      </c>
      <c r="F1077" s="7" t="n">
        <v>26336.03</v>
      </c>
      <c r="G1077" s="24" t="s">
        <v>5951</v>
      </c>
      <c r="H1077" s="4" t="s">
        <v>4570</v>
      </c>
      <c r="I1077" s="4"/>
    </row>
    <row r="1078" customFormat="false" ht="15" hidden="false" customHeight="false" outlineLevel="0" collapsed="false">
      <c r="A1078" s="4" t="s">
        <v>2078</v>
      </c>
      <c r="B1078" s="23" t="n">
        <v>1075</v>
      </c>
      <c r="C1078" s="6" t="n">
        <v>46285</v>
      </c>
      <c r="D1078" s="4" t="s">
        <v>2080</v>
      </c>
      <c r="E1078" s="4" t="s">
        <v>6783</v>
      </c>
      <c r="F1078" s="7" t="n">
        <v>86822.24</v>
      </c>
      <c r="G1078" s="24" t="s">
        <v>5951</v>
      </c>
      <c r="H1078" s="4" t="s">
        <v>2076</v>
      </c>
      <c r="I1078" s="4"/>
    </row>
    <row r="1079" customFormat="false" ht="15" hidden="false" customHeight="false" outlineLevel="0" collapsed="false">
      <c r="A1079" s="4" t="s">
        <v>2083</v>
      </c>
      <c r="B1079" s="23" t="n">
        <v>1076</v>
      </c>
      <c r="C1079" s="6" t="n">
        <v>46285</v>
      </c>
      <c r="D1079" s="4" t="s">
        <v>2085</v>
      </c>
      <c r="E1079" s="4" t="s">
        <v>6784</v>
      </c>
      <c r="F1079" s="7" t="n">
        <v>13112.94</v>
      </c>
      <c r="G1079" s="24" t="s">
        <v>5951</v>
      </c>
      <c r="H1079" s="4" t="s">
        <v>2081</v>
      </c>
      <c r="I1079" s="4"/>
    </row>
    <row r="1080" customFormat="false" ht="15" hidden="false" customHeight="false" outlineLevel="0" collapsed="false">
      <c r="A1080" s="4" t="s">
        <v>2088</v>
      </c>
      <c r="B1080" s="23" t="n">
        <v>1077</v>
      </c>
      <c r="C1080" s="6" t="n">
        <v>46285</v>
      </c>
      <c r="D1080" s="4" t="s">
        <v>2090</v>
      </c>
      <c r="E1080" s="4" t="s">
        <v>6785</v>
      </c>
      <c r="F1080" s="7" t="n">
        <v>59488.21</v>
      </c>
      <c r="G1080" s="24" t="s">
        <v>5951</v>
      </c>
      <c r="H1080" s="4" t="s">
        <v>2086</v>
      </c>
      <c r="I1080" s="4"/>
    </row>
    <row r="1081" customFormat="false" ht="15" hidden="false" customHeight="false" outlineLevel="0" collapsed="false">
      <c r="A1081" s="4" t="s">
        <v>2093</v>
      </c>
      <c r="B1081" s="23" t="n">
        <v>1078</v>
      </c>
      <c r="C1081" s="6" t="n">
        <v>46285</v>
      </c>
      <c r="D1081" s="4" t="s">
        <v>2095</v>
      </c>
      <c r="E1081" s="4" t="s">
        <v>6788</v>
      </c>
      <c r="F1081" s="7" t="n">
        <v>89197.99</v>
      </c>
      <c r="G1081" s="24" t="s">
        <v>5951</v>
      </c>
      <c r="H1081" s="4" t="s">
        <v>2091</v>
      </c>
      <c r="I1081" s="4"/>
    </row>
    <row r="1082" customFormat="false" ht="15" hidden="false" customHeight="false" outlineLevel="0" collapsed="false">
      <c r="A1082" s="4" t="s">
        <v>3745</v>
      </c>
      <c r="B1082" s="23" t="n">
        <v>1079</v>
      </c>
      <c r="C1082" s="6" t="n">
        <v>46285</v>
      </c>
      <c r="D1082" s="4" t="s">
        <v>3747</v>
      </c>
      <c r="E1082" s="4" t="s">
        <v>7440</v>
      </c>
      <c r="F1082" s="7" t="n">
        <v>-18999.56</v>
      </c>
      <c r="G1082" s="24" t="s">
        <v>5951</v>
      </c>
      <c r="H1082" s="4" t="s">
        <v>3743</v>
      </c>
      <c r="I1082" s="4"/>
    </row>
    <row r="1083" customFormat="false" ht="15" hidden="false" customHeight="false" outlineLevel="0" collapsed="false">
      <c r="A1083" s="4" t="s">
        <v>4887</v>
      </c>
      <c r="B1083" s="23" t="n">
        <v>1080</v>
      </c>
      <c r="C1083" s="6" t="n">
        <v>46285</v>
      </c>
      <c r="D1083" s="4" t="s">
        <v>4889</v>
      </c>
      <c r="E1083" s="4" t="s">
        <v>7441</v>
      </c>
      <c r="F1083" s="7" t="n">
        <v>-8728.86</v>
      </c>
      <c r="G1083" s="24" t="s">
        <v>5951</v>
      </c>
      <c r="H1083" s="4" t="s">
        <v>4885</v>
      </c>
      <c r="I1083" s="4"/>
    </row>
    <row r="1084" customFormat="false" ht="15" hidden="false" customHeight="false" outlineLevel="0" collapsed="false">
      <c r="A1084" s="4" t="s">
        <v>2098</v>
      </c>
      <c r="B1084" s="23" t="n">
        <v>1081</v>
      </c>
      <c r="C1084" s="6" t="n">
        <v>46285</v>
      </c>
      <c r="D1084" s="4" t="s">
        <v>2100</v>
      </c>
      <c r="E1084" s="4" t="s">
        <v>7442</v>
      </c>
      <c r="F1084" s="7" t="n">
        <v>-32059.04</v>
      </c>
      <c r="G1084" s="24" t="s">
        <v>5951</v>
      </c>
      <c r="H1084" s="4" t="s">
        <v>2096</v>
      </c>
      <c r="I1084" s="4"/>
    </row>
    <row r="1085" customFormat="false" ht="15" hidden="false" customHeight="false" outlineLevel="0" collapsed="false">
      <c r="A1085" s="4" t="s">
        <v>5321</v>
      </c>
      <c r="B1085" s="23" t="n">
        <v>1082</v>
      </c>
      <c r="C1085" s="6" t="n">
        <v>46285</v>
      </c>
      <c r="D1085" s="4" t="s">
        <v>5323</v>
      </c>
      <c r="E1085" s="4" t="s">
        <v>7443</v>
      </c>
      <c r="F1085" s="7" t="n">
        <v>-46570.76</v>
      </c>
      <c r="G1085" s="24" t="s">
        <v>5951</v>
      </c>
      <c r="H1085" s="4" t="s">
        <v>5319</v>
      </c>
      <c r="I1085" s="4"/>
    </row>
    <row r="1086" customFormat="false" ht="15" hidden="false" customHeight="false" outlineLevel="0" collapsed="false">
      <c r="A1086" s="4" t="s">
        <v>3750</v>
      </c>
      <c r="B1086" s="23" t="n">
        <v>1083</v>
      </c>
      <c r="C1086" s="6" t="n">
        <v>46285</v>
      </c>
      <c r="D1086" s="4" t="s">
        <v>3752</v>
      </c>
      <c r="E1086" s="4" t="s">
        <v>7444</v>
      </c>
      <c r="F1086" s="7" t="n">
        <v>-22077.86</v>
      </c>
      <c r="G1086" s="24" t="s">
        <v>5951</v>
      </c>
      <c r="H1086" s="4" t="s">
        <v>3748</v>
      </c>
      <c r="I1086" s="4"/>
    </row>
    <row r="1087" customFormat="false" ht="15" hidden="false" customHeight="false" outlineLevel="0" collapsed="false">
      <c r="A1087" s="4" t="s">
        <v>4577</v>
      </c>
      <c r="B1087" s="23" t="n">
        <v>1084</v>
      </c>
      <c r="C1087" s="6" t="n">
        <v>46285</v>
      </c>
      <c r="D1087" s="4" t="s">
        <v>4579</v>
      </c>
      <c r="E1087" s="4" t="s">
        <v>7445</v>
      </c>
      <c r="F1087" s="7" t="n">
        <v>-52588.81</v>
      </c>
      <c r="G1087" s="24" t="s">
        <v>5951</v>
      </c>
      <c r="H1087" s="4" t="s">
        <v>4575</v>
      </c>
      <c r="I1087" s="4"/>
    </row>
    <row r="1088" customFormat="false" ht="15" hidden="false" customHeight="false" outlineLevel="0" collapsed="false">
      <c r="A1088" s="4" t="s">
        <v>5750</v>
      </c>
      <c r="B1088" s="23" t="n">
        <v>1085</v>
      </c>
      <c r="C1088" s="6" t="n">
        <v>46285</v>
      </c>
      <c r="D1088" s="4" t="s">
        <v>5752</v>
      </c>
      <c r="E1088" s="4" t="s">
        <v>7446</v>
      </c>
      <c r="F1088" s="7" t="n">
        <v>-32656.1</v>
      </c>
      <c r="G1088" s="24" t="s">
        <v>5951</v>
      </c>
      <c r="H1088" s="4" t="s">
        <v>5748</v>
      </c>
      <c r="I1088" s="4"/>
    </row>
    <row r="1089" customFormat="false" ht="15" hidden="false" customHeight="false" outlineLevel="0" collapsed="false">
      <c r="A1089" s="4" t="s">
        <v>2103</v>
      </c>
      <c r="B1089" s="23" t="n">
        <v>1086</v>
      </c>
      <c r="C1089" s="6" t="n">
        <v>46286</v>
      </c>
      <c r="D1089" s="4" t="s">
        <v>2105</v>
      </c>
      <c r="E1089" s="4" t="s">
        <v>6795</v>
      </c>
      <c r="F1089" s="7" t="n">
        <v>63073.98</v>
      </c>
      <c r="G1089" s="24" t="s">
        <v>5951</v>
      </c>
      <c r="H1089" s="4" t="s">
        <v>2101</v>
      </c>
      <c r="I1089" s="4"/>
    </row>
    <row r="1090" customFormat="false" ht="15" hidden="false" customHeight="false" outlineLevel="0" collapsed="false">
      <c r="A1090" s="4" t="s">
        <v>2108</v>
      </c>
      <c r="B1090" s="23" t="n">
        <v>1087</v>
      </c>
      <c r="C1090" s="6" t="n">
        <v>46286</v>
      </c>
      <c r="D1090" s="4" t="s">
        <v>2110</v>
      </c>
      <c r="E1090" s="4" t="s">
        <v>7447</v>
      </c>
      <c r="F1090" s="7" t="n">
        <v>68429.13</v>
      </c>
      <c r="G1090" s="24" t="s">
        <v>5951</v>
      </c>
      <c r="H1090" s="4" t="s">
        <v>2106</v>
      </c>
      <c r="I1090" s="4"/>
    </row>
    <row r="1091" customFormat="false" ht="15" hidden="false" customHeight="false" outlineLevel="0" collapsed="false">
      <c r="A1091" s="4" t="s">
        <v>2113</v>
      </c>
      <c r="B1091" s="23" t="n">
        <v>1088</v>
      </c>
      <c r="C1091" s="6" t="n">
        <v>46286</v>
      </c>
      <c r="D1091" s="4" t="s">
        <v>2115</v>
      </c>
      <c r="E1091" s="4" t="s">
        <v>7448</v>
      </c>
      <c r="F1091" s="7" t="n">
        <v>59761.61</v>
      </c>
      <c r="G1091" s="24" t="s">
        <v>5951</v>
      </c>
      <c r="H1091" s="4" t="s">
        <v>2111</v>
      </c>
      <c r="I1091" s="4"/>
    </row>
    <row r="1092" customFormat="false" ht="15" hidden="false" customHeight="false" outlineLevel="0" collapsed="false">
      <c r="A1092" s="4" t="s">
        <v>3755</v>
      </c>
      <c r="B1092" s="23" t="n">
        <v>1089</v>
      </c>
      <c r="C1092" s="6" t="n">
        <v>46286</v>
      </c>
      <c r="D1092" s="4" t="s">
        <v>3757</v>
      </c>
      <c r="E1092" s="4" t="s">
        <v>6808</v>
      </c>
      <c r="F1092" s="7" t="n">
        <v>87632.65</v>
      </c>
      <c r="G1092" s="24" t="s">
        <v>5951</v>
      </c>
      <c r="H1092" s="4" t="s">
        <v>3753</v>
      </c>
      <c r="I1092" s="4"/>
    </row>
    <row r="1093" customFormat="false" ht="15" hidden="false" customHeight="false" outlineLevel="0" collapsed="false">
      <c r="A1093" s="4" t="s">
        <v>3760</v>
      </c>
      <c r="B1093" s="23" t="n">
        <v>1090</v>
      </c>
      <c r="C1093" s="6" t="n">
        <v>46286</v>
      </c>
      <c r="D1093" s="4" t="s">
        <v>3762</v>
      </c>
      <c r="E1093" s="4" t="s">
        <v>7449</v>
      </c>
      <c r="F1093" s="7" t="n">
        <v>48844.54</v>
      </c>
      <c r="G1093" s="24" t="s">
        <v>5951</v>
      </c>
      <c r="H1093" s="4" t="s">
        <v>3758</v>
      </c>
      <c r="I1093" s="4"/>
    </row>
    <row r="1094" customFormat="false" ht="15" hidden="false" customHeight="false" outlineLevel="0" collapsed="false">
      <c r="A1094" s="4" t="s">
        <v>3765</v>
      </c>
      <c r="B1094" s="23" t="n">
        <v>1091</v>
      </c>
      <c r="C1094" s="6" t="n">
        <v>46286</v>
      </c>
      <c r="D1094" s="4" t="s">
        <v>3767</v>
      </c>
      <c r="E1094" s="4" t="s">
        <v>7450</v>
      </c>
      <c r="F1094" s="7" t="n">
        <v>53742.4</v>
      </c>
      <c r="G1094" s="24" t="s">
        <v>5951</v>
      </c>
      <c r="H1094" s="4" t="s">
        <v>3763</v>
      </c>
      <c r="I1094" s="4"/>
    </row>
    <row r="1095" customFormat="false" ht="15" hidden="false" customHeight="false" outlineLevel="0" collapsed="false">
      <c r="A1095" s="4" t="s">
        <v>4582</v>
      </c>
      <c r="B1095" s="23" t="n">
        <v>1092</v>
      </c>
      <c r="C1095" s="6" t="n">
        <v>46286</v>
      </c>
      <c r="D1095" s="4" t="s">
        <v>4584</v>
      </c>
      <c r="E1095" s="4" t="s">
        <v>6816</v>
      </c>
      <c r="F1095" s="7" t="n">
        <v>50679.74</v>
      </c>
      <c r="G1095" s="24" t="s">
        <v>5951</v>
      </c>
      <c r="H1095" s="4" t="s">
        <v>4580</v>
      </c>
      <c r="I1095" s="4"/>
    </row>
    <row r="1096" customFormat="false" ht="15" hidden="false" customHeight="false" outlineLevel="0" collapsed="false">
      <c r="A1096" s="4" t="s">
        <v>2118</v>
      </c>
      <c r="B1096" s="23" t="n">
        <v>1093</v>
      </c>
      <c r="C1096" s="6" t="n">
        <v>46286</v>
      </c>
      <c r="D1096" s="4" t="s">
        <v>2120</v>
      </c>
      <c r="E1096" s="4" t="s">
        <v>6798</v>
      </c>
      <c r="F1096" s="7" t="n">
        <v>12003.29</v>
      </c>
      <c r="G1096" s="24" t="s">
        <v>5951</v>
      </c>
      <c r="H1096" s="4" t="s">
        <v>2116</v>
      </c>
      <c r="I1096" s="4"/>
    </row>
    <row r="1097" customFormat="false" ht="15" hidden="false" customHeight="false" outlineLevel="0" collapsed="false">
      <c r="A1097" s="4" t="s">
        <v>2123</v>
      </c>
      <c r="B1097" s="23" t="n">
        <v>1094</v>
      </c>
      <c r="C1097" s="6" t="n">
        <v>46286</v>
      </c>
      <c r="D1097" s="4" t="s">
        <v>2125</v>
      </c>
      <c r="E1097" s="4" t="s">
        <v>6799</v>
      </c>
      <c r="F1097" s="7" t="n">
        <v>65522.88</v>
      </c>
      <c r="G1097" s="24" t="s">
        <v>5951</v>
      </c>
      <c r="H1097" s="4" t="s">
        <v>2121</v>
      </c>
      <c r="I1097" s="4"/>
    </row>
    <row r="1098" customFormat="false" ht="15" hidden="false" customHeight="false" outlineLevel="0" collapsed="false">
      <c r="A1098" s="4" t="s">
        <v>3770</v>
      </c>
      <c r="B1098" s="23" t="n">
        <v>1095</v>
      </c>
      <c r="C1098" s="6" t="n">
        <v>46286</v>
      </c>
      <c r="D1098" s="4" t="s">
        <v>3772</v>
      </c>
      <c r="E1098" s="4" t="s">
        <v>7451</v>
      </c>
      <c r="F1098" s="7" t="n">
        <v>68283.96</v>
      </c>
      <c r="G1098" s="24" t="s">
        <v>5951</v>
      </c>
      <c r="H1098" s="4" t="s">
        <v>3768</v>
      </c>
      <c r="I1098" s="4"/>
    </row>
    <row r="1099" customFormat="false" ht="15" hidden="false" customHeight="false" outlineLevel="0" collapsed="false">
      <c r="A1099" s="4" t="s">
        <v>5326</v>
      </c>
      <c r="B1099" s="23" t="n">
        <v>1096</v>
      </c>
      <c r="C1099" s="6" t="n">
        <v>46286</v>
      </c>
      <c r="D1099" s="4" t="s">
        <v>5328</v>
      </c>
      <c r="E1099" s="4" t="s">
        <v>7452</v>
      </c>
      <c r="F1099" s="7" t="n">
        <v>-34238.08</v>
      </c>
      <c r="G1099" s="24" t="s">
        <v>5951</v>
      </c>
      <c r="H1099" s="4" t="s">
        <v>5324</v>
      </c>
      <c r="I1099" s="4"/>
    </row>
    <row r="1100" customFormat="false" ht="15" hidden="false" customHeight="false" outlineLevel="0" collapsed="false">
      <c r="A1100" s="4" t="s">
        <v>5755</v>
      </c>
      <c r="B1100" s="23" t="n">
        <v>1097</v>
      </c>
      <c r="C1100" s="6" t="n">
        <v>46286</v>
      </c>
      <c r="D1100" s="4" t="s">
        <v>5757</v>
      </c>
      <c r="E1100" s="4" t="s">
        <v>7453</v>
      </c>
      <c r="F1100" s="7" t="n">
        <v>-11345.97</v>
      </c>
      <c r="G1100" s="24" t="s">
        <v>5951</v>
      </c>
      <c r="H1100" s="4" t="s">
        <v>5753</v>
      </c>
      <c r="I1100" s="4"/>
    </row>
    <row r="1101" customFormat="false" ht="15" hidden="false" customHeight="false" outlineLevel="0" collapsed="false">
      <c r="A1101" s="4" t="s">
        <v>5760</v>
      </c>
      <c r="B1101" s="23" t="n">
        <v>1098</v>
      </c>
      <c r="C1101" s="6" t="n">
        <v>46286</v>
      </c>
      <c r="D1101" s="4" t="s">
        <v>5762</v>
      </c>
      <c r="E1101" s="4" t="s">
        <v>7454</v>
      </c>
      <c r="F1101" s="7" t="n">
        <v>-25144.99</v>
      </c>
      <c r="G1101" s="24" t="s">
        <v>5951</v>
      </c>
      <c r="H1101" s="4" t="s">
        <v>5758</v>
      </c>
      <c r="I1101" s="4"/>
    </row>
    <row r="1102" customFormat="false" ht="15" hidden="false" customHeight="false" outlineLevel="0" collapsed="false">
      <c r="A1102" s="4" t="s">
        <v>4892</v>
      </c>
      <c r="B1102" s="23" t="n">
        <v>1099</v>
      </c>
      <c r="C1102" s="6" t="n">
        <v>46286</v>
      </c>
      <c r="D1102" s="4" t="s">
        <v>4894</v>
      </c>
      <c r="E1102" s="4" t="s">
        <v>7455</v>
      </c>
      <c r="F1102" s="7" t="n">
        <v>-28671.47</v>
      </c>
      <c r="G1102" s="24" t="s">
        <v>5951</v>
      </c>
      <c r="H1102" s="4" t="s">
        <v>4890</v>
      </c>
      <c r="I1102" s="4"/>
    </row>
    <row r="1103" customFormat="false" ht="15" hidden="false" customHeight="false" outlineLevel="0" collapsed="false">
      <c r="A1103" s="4" t="s">
        <v>2128</v>
      </c>
      <c r="B1103" s="23" t="n">
        <v>1100</v>
      </c>
      <c r="C1103" s="6" t="n">
        <v>46286</v>
      </c>
      <c r="D1103" s="4" t="s">
        <v>2130</v>
      </c>
      <c r="E1103" s="4" t="s">
        <v>7456</v>
      </c>
      <c r="F1103" s="7" t="n">
        <v>-30047.68</v>
      </c>
      <c r="G1103" s="24" t="s">
        <v>5951</v>
      </c>
      <c r="H1103" s="4" t="s">
        <v>2126</v>
      </c>
      <c r="I1103" s="4"/>
    </row>
    <row r="1104" customFormat="false" ht="15" hidden="false" customHeight="false" outlineLevel="0" collapsed="false">
      <c r="A1104" s="4" t="s">
        <v>2133</v>
      </c>
      <c r="B1104" s="23" t="n">
        <v>1101</v>
      </c>
      <c r="C1104" s="6" t="n">
        <v>46287</v>
      </c>
      <c r="D1104" s="4" t="s">
        <v>2135</v>
      </c>
      <c r="E1104" s="4" t="s">
        <v>6807</v>
      </c>
      <c r="F1104" s="7" t="n">
        <v>4310.35</v>
      </c>
      <c r="G1104" s="24" t="s">
        <v>5951</v>
      </c>
      <c r="H1104" s="4" t="s">
        <v>2131</v>
      </c>
      <c r="I1104" s="4"/>
    </row>
    <row r="1105" customFormat="false" ht="15" hidden="false" customHeight="false" outlineLevel="0" collapsed="false">
      <c r="A1105" s="4" t="s">
        <v>2138</v>
      </c>
      <c r="B1105" s="23" t="n">
        <v>1102</v>
      </c>
      <c r="C1105" s="6" t="n">
        <v>46287</v>
      </c>
      <c r="D1105" s="4" t="s">
        <v>2140</v>
      </c>
      <c r="E1105" s="4" t="s">
        <v>6810</v>
      </c>
      <c r="F1105" s="7" t="n">
        <v>72909.69</v>
      </c>
      <c r="G1105" s="24" t="s">
        <v>5951</v>
      </c>
      <c r="H1105" s="4" t="s">
        <v>2136</v>
      </c>
      <c r="I1105" s="4"/>
    </row>
    <row r="1106" customFormat="false" ht="15" hidden="false" customHeight="false" outlineLevel="0" collapsed="false">
      <c r="A1106" s="4" t="s">
        <v>2143</v>
      </c>
      <c r="B1106" s="23" t="n">
        <v>1103</v>
      </c>
      <c r="C1106" s="6" t="n">
        <v>46287</v>
      </c>
      <c r="D1106" s="4" t="s">
        <v>2145</v>
      </c>
      <c r="E1106" s="4" t="s">
        <v>6811</v>
      </c>
      <c r="F1106" s="7" t="n">
        <v>87095.62</v>
      </c>
      <c r="G1106" s="24" t="s">
        <v>5951</v>
      </c>
      <c r="H1106" s="4" t="s">
        <v>2141</v>
      </c>
      <c r="I1106" s="4"/>
    </row>
    <row r="1107" customFormat="false" ht="15" hidden="false" customHeight="false" outlineLevel="0" collapsed="false">
      <c r="A1107" s="4" t="s">
        <v>4587</v>
      </c>
      <c r="B1107" s="23" t="n">
        <v>1104</v>
      </c>
      <c r="C1107" s="6" t="n">
        <v>46287</v>
      </c>
      <c r="D1107" s="4" t="s">
        <v>4589</v>
      </c>
      <c r="E1107" s="4" t="s">
        <v>7457</v>
      </c>
      <c r="F1107" s="7" t="n">
        <v>4355.12</v>
      </c>
      <c r="G1107" s="24" t="s">
        <v>5951</v>
      </c>
      <c r="H1107" s="4" t="s">
        <v>4585</v>
      </c>
      <c r="I1107" s="4"/>
    </row>
    <row r="1108" customFormat="false" ht="15" hidden="false" customHeight="false" outlineLevel="0" collapsed="false">
      <c r="A1108" s="4" t="s">
        <v>4592</v>
      </c>
      <c r="B1108" s="23" t="n">
        <v>1105</v>
      </c>
      <c r="C1108" s="6" t="n">
        <v>46287</v>
      </c>
      <c r="D1108" s="4" t="s">
        <v>4594</v>
      </c>
      <c r="E1108" s="4" t="s">
        <v>7458</v>
      </c>
      <c r="F1108" s="7" t="n">
        <v>-50139.34</v>
      </c>
      <c r="G1108" s="24" t="s">
        <v>5951</v>
      </c>
      <c r="H1108" s="4" t="s">
        <v>4590</v>
      </c>
      <c r="I1108" s="4"/>
    </row>
    <row r="1109" customFormat="false" ht="15" hidden="false" customHeight="false" outlineLevel="0" collapsed="false">
      <c r="A1109" s="4" t="s">
        <v>2148</v>
      </c>
      <c r="B1109" s="23" t="n">
        <v>1106</v>
      </c>
      <c r="C1109" s="6" t="n">
        <v>46287</v>
      </c>
      <c r="D1109" s="4" t="s">
        <v>2150</v>
      </c>
      <c r="E1109" s="4" t="s">
        <v>7459</v>
      </c>
      <c r="F1109" s="7" t="n">
        <v>-11073.96</v>
      </c>
      <c r="G1109" s="24" t="s">
        <v>5951</v>
      </c>
      <c r="H1109" s="4" t="s">
        <v>2146</v>
      </c>
      <c r="I1109" s="4"/>
    </row>
    <row r="1110" customFormat="false" ht="15" hidden="false" customHeight="false" outlineLevel="0" collapsed="false">
      <c r="A1110" s="4" t="s">
        <v>5802</v>
      </c>
      <c r="B1110" s="23" t="n">
        <v>1107</v>
      </c>
      <c r="C1110" s="6" t="n">
        <v>46287</v>
      </c>
      <c r="D1110" s="4" t="s">
        <v>5778</v>
      </c>
      <c r="E1110" s="4"/>
      <c r="F1110" s="7" t="n">
        <v>-3448.35</v>
      </c>
      <c r="G1110" s="24" t="s">
        <v>5951</v>
      </c>
      <c r="H1110" s="4" t="s">
        <v>5800</v>
      </c>
      <c r="I1110" s="4"/>
    </row>
    <row r="1111" customFormat="false" ht="15" hidden="false" customHeight="false" outlineLevel="0" collapsed="false">
      <c r="A1111" s="4" t="s">
        <v>2153</v>
      </c>
      <c r="B1111" s="23" t="n">
        <v>1108</v>
      </c>
      <c r="C1111" s="6" t="n">
        <v>46288</v>
      </c>
      <c r="D1111" s="4" t="s">
        <v>2155</v>
      </c>
      <c r="E1111" s="4" t="s">
        <v>7460</v>
      </c>
      <c r="F1111" s="7" t="n">
        <v>16919.45</v>
      </c>
      <c r="G1111" s="24" t="s">
        <v>5951</v>
      </c>
      <c r="H1111" s="4" t="s">
        <v>2151</v>
      </c>
      <c r="I1111" s="4"/>
    </row>
    <row r="1112" customFormat="false" ht="15" hidden="false" customHeight="false" outlineLevel="0" collapsed="false">
      <c r="A1112" s="4" t="s">
        <v>3775</v>
      </c>
      <c r="B1112" s="23" t="n">
        <v>1109</v>
      </c>
      <c r="C1112" s="6" t="n">
        <v>46288</v>
      </c>
      <c r="D1112" s="4" t="s">
        <v>3777</v>
      </c>
      <c r="E1112" s="4" t="s">
        <v>6825</v>
      </c>
      <c r="F1112" s="7" t="n">
        <v>62809.75</v>
      </c>
      <c r="G1112" s="24" t="s">
        <v>5951</v>
      </c>
      <c r="H1112" s="4" t="s">
        <v>3773</v>
      </c>
      <c r="I1112" s="4"/>
    </row>
    <row r="1113" customFormat="false" ht="15" hidden="false" customHeight="false" outlineLevel="0" collapsed="false">
      <c r="A1113" s="4" t="s">
        <v>3780</v>
      </c>
      <c r="B1113" s="23" t="n">
        <v>1110</v>
      </c>
      <c r="C1113" s="6" t="n">
        <v>46288</v>
      </c>
      <c r="D1113" s="4" t="s">
        <v>3782</v>
      </c>
      <c r="E1113" s="4" t="s">
        <v>6826</v>
      </c>
      <c r="F1113" s="7" t="n">
        <v>7748.81</v>
      </c>
      <c r="G1113" s="24" t="s">
        <v>5951</v>
      </c>
      <c r="H1113" s="4" t="s">
        <v>3778</v>
      </c>
      <c r="I1113" s="4"/>
    </row>
    <row r="1114" customFormat="false" ht="15" hidden="false" customHeight="false" outlineLevel="0" collapsed="false">
      <c r="A1114" s="4" t="s">
        <v>4597</v>
      </c>
      <c r="B1114" s="23" t="n">
        <v>1111</v>
      </c>
      <c r="C1114" s="6" t="n">
        <v>46288</v>
      </c>
      <c r="D1114" s="4" t="s">
        <v>4599</v>
      </c>
      <c r="E1114" s="4" t="s">
        <v>6836</v>
      </c>
      <c r="F1114" s="7" t="n">
        <v>80565.76</v>
      </c>
      <c r="G1114" s="24" t="s">
        <v>5951</v>
      </c>
      <c r="H1114" s="4" t="s">
        <v>4595</v>
      </c>
      <c r="I1114" s="4"/>
    </row>
    <row r="1115" customFormat="false" ht="15" hidden="false" customHeight="false" outlineLevel="0" collapsed="false">
      <c r="A1115" s="4" t="s">
        <v>2158</v>
      </c>
      <c r="B1115" s="23" t="n">
        <v>1112</v>
      </c>
      <c r="C1115" s="6" t="n">
        <v>46288</v>
      </c>
      <c r="D1115" s="4" t="s">
        <v>2160</v>
      </c>
      <c r="E1115" s="4" t="s">
        <v>6817</v>
      </c>
      <c r="F1115" s="7" t="n">
        <v>40659.71</v>
      </c>
      <c r="G1115" s="24" t="s">
        <v>5951</v>
      </c>
      <c r="H1115" s="4" t="s">
        <v>2156</v>
      </c>
      <c r="I1115" s="4"/>
    </row>
    <row r="1116" customFormat="false" ht="15" hidden="false" customHeight="false" outlineLevel="0" collapsed="false">
      <c r="A1116" s="4" t="s">
        <v>3785</v>
      </c>
      <c r="B1116" s="23" t="n">
        <v>1113</v>
      </c>
      <c r="C1116" s="6" t="n">
        <v>46288</v>
      </c>
      <c r="D1116" s="4" t="s">
        <v>3787</v>
      </c>
      <c r="E1116" s="4" t="s">
        <v>7461</v>
      </c>
      <c r="F1116" s="7" t="n">
        <v>61631.71</v>
      </c>
      <c r="G1116" s="24" t="s">
        <v>5951</v>
      </c>
      <c r="H1116" s="4" t="s">
        <v>3783</v>
      </c>
      <c r="I1116" s="4"/>
    </row>
    <row r="1117" customFormat="false" ht="15" hidden="false" customHeight="false" outlineLevel="0" collapsed="false">
      <c r="A1117" s="4" t="s">
        <v>2163</v>
      </c>
      <c r="B1117" s="23" t="n">
        <v>1114</v>
      </c>
      <c r="C1117" s="6" t="n">
        <v>46288</v>
      </c>
      <c r="D1117" s="4" t="s">
        <v>2165</v>
      </c>
      <c r="E1117" s="4" t="s">
        <v>6818</v>
      </c>
      <c r="F1117" s="7" t="n">
        <v>57635.37</v>
      </c>
      <c r="G1117" s="24" t="s">
        <v>5951</v>
      </c>
      <c r="H1117" s="4" t="s">
        <v>2161</v>
      </c>
      <c r="I1117" s="4"/>
    </row>
    <row r="1118" customFormat="false" ht="15" hidden="false" customHeight="false" outlineLevel="0" collapsed="false">
      <c r="A1118" s="4" t="s">
        <v>2168</v>
      </c>
      <c r="B1118" s="23" t="n">
        <v>1115</v>
      </c>
      <c r="C1118" s="6" t="n">
        <v>46288</v>
      </c>
      <c r="D1118" s="4" t="s">
        <v>2170</v>
      </c>
      <c r="E1118" s="4" t="s">
        <v>7462</v>
      </c>
      <c r="F1118" s="7" t="n">
        <v>-19601.71</v>
      </c>
      <c r="G1118" s="24" t="s">
        <v>5951</v>
      </c>
      <c r="H1118" s="4" t="s">
        <v>2166</v>
      </c>
      <c r="I1118" s="4"/>
    </row>
    <row r="1119" customFormat="false" ht="15" hidden="false" customHeight="false" outlineLevel="0" collapsed="false">
      <c r="A1119" s="4" t="s">
        <v>2173</v>
      </c>
      <c r="B1119" s="23" t="n">
        <v>1116</v>
      </c>
      <c r="C1119" s="6" t="n">
        <v>46288</v>
      </c>
      <c r="D1119" s="4" t="s">
        <v>2175</v>
      </c>
      <c r="E1119" s="4" t="s">
        <v>7463</v>
      </c>
      <c r="F1119" s="7" t="n">
        <v>-17353.78</v>
      </c>
      <c r="G1119" s="24" t="s">
        <v>5951</v>
      </c>
      <c r="H1119" s="4" t="s">
        <v>2171</v>
      </c>
      <c r="I1119" s="4"/>
    </row>
    <row r="1120" customFormat="false" ht="15" hidden="false" customHeight="false" outlineLevel="0" collapsed="false">
      <c r="A1120" s="4" t="s">
        <v>2178</v>
      </c>
      <c r="B1120" s="23" t="n">
        <v>1117</v>
      </c>
      <c r="C1120" s="6" t="n">
        <v>46288</v>
      </c>
      <c r="D1120" s="4" t="s">
        <v>2180</v>
      </c>
      <c r="E1120" s="4" t="s">
        <v>7464</v>
      </c>
      <c r="F1120" s="7" t="n">
        <v>-49620.57</v>
      </c>
      <c r="G1120" s="24" t="s">
        <v>5951</v>
      </c>
      <c r="H1120" s="4" t="s">
        <v>2176</v>
      </c>
      <c r="I1120" s="4"/>
    </row>
    <row r="1121" customFormat="false" ht="15" hidden="false" customHeight="false" outlineLevel="0" collapsed="false">
      <c r="A1121" s="4" t="s">
        <v>5765</v>
      </c>
      <c r="B1121" s="23" t="n">
        <v>1118</v>
      </c>
      <c r="C1121" s="6" t="n">
        <v>46288</v>
      </c>
      <c r="D1121" s="4" t="s">
        <v>5767</v>
      </c>
      <c r="E1121" s="4" t="s">
        <v>7465</v>
      </c>
      <c r="F1121" s="7" t="n">
        <v>-16351.37</v>
      </c>
      <c r="G1121" s="24" t="s">
        <v>5951</v>
      </c>
      <c r="H1121" s="4" t="s">
        <v>5763</v>
      </c>
      <c r="I1121" s="4"/>
    </row>
    <row r="1122" customFormat="false" ht="15" hidden="false" customHeight="false" outlineLevel="0" collapsed="false">
      <c r="A1122" s="4" t="s">
        <v>4897</v>
      </c>
      <c r="B1122" s="23" t="n">
        <v>1119</v>
      </c>
      <c r="C1122" s="6" t="n">
        <v>46288</v>
      </c>
      <c r="D1122" s="4" t="s">
        <v>4899</v>
      </c>
      <c r="E1122" s="4" t="s">
        <v>7466</v>
      </c>
      <c r="F1122" s="7" t="n">
        <v>-10754.96</v>
      </c>
      <c r="G1122" s="24" t="s">
        <v>5951</v>
      </c>
      <c r="H1122" s="4" t="s">
        <v>4895</v>
      </c>
      <c r="I1122" s="4"/>
    </row>
    <row r="1123" customFormat="false" ht="15" hidden="false" customHeight="false" outlineLevel="0" collapsed="false">
      <c r="A1123" s="4" t="s">
        <v>2183</v>
      </c>
      <c r="B1123" s="23" t="n">
        <v>1120</v>
      </c>
      <c r="C1123" s="6" t="n">
        <v>46288</v>
      </c>
      <c r="D1123" s="4" t="s">
        <v>2185</v>
      </c>
      <c r="E1123" s="4" t="s">
        <v>7467</v>
      </c>
      <c r="F1123" s="7" t="n">
        <v>-18492.84</v>
      </c>
      <c r="G1123" s="24" t="s">
        <v>5951</v>
      </c>
      <c r="H1123" s="4" t="s">
        <v>2181</v>
      </c>
      <c r="I1123" s="4"/>
    </row>
    <row r="1124" customFormat="false" ht="15" hidden="false" customHeight="false" outlineLevel="0" collapsed="false">
      <c r="A1124" s="4" t="s">
        <v>3790</v>
      </c>
      <c r="B1124" s="23" t="n">
        <v>1121</v>
      </c>
      <c r="C1124" s="6" t="n">
        <v>46288</v>
      </c>
      <c r="D1124" s="4" t="s">
        <v>3792</v>
      </c>
      <c r="E1124" s="4" t="s">
        <v>7468</v>
      </c>
      <c r="F1124" s="7" t="n">
        <v>-29582.19</v>
      </c>
      <c r="G1124" s="24" t="s">
        <v>5951</v>
      </c>
      <c r="H1124" s="4" t="s">
        <v>3788</v>
      </c>
      <c r="I1124" s="4"/>
    </row>
    <row r="1125" customFormat="false" ht="15" hidden="false" customHeight="false" outlineLevel="0" collapsed="false">
      <c r="A1125" s="4" t="s">
        <v>2188</v>
      </c>
      <c r="B1125" s="23" t="n">
        <v>1122</v>
      </c>
      <c r="C1125" s="6" t="n">
        <v>46289</v>
      </c>
      <c r="D1125" s="4" t="s">
        <v>2190</v>
      </c>
      <c r="E1125" s="4" t="s">
        <v>6827</v>
      </c>
      <c r="F1125" s="7" t="n">
        <v>80922.81</v>
      </c>
      <c r="G1125" s="24" t="s">
        <v>5951</v>
      </c>
      <c r="H1125" s="4" t="s">
        <v>2186</v>
      </c>
      <c r="I1125" s="4"/>
    </row>
    <row r="1126" customFormat="false" ht="15" hidden="false" customHeight="false" outlineLevel="0" collapsed="false">
      <c r="A1126" s="4" t="s">
        <v>2193</v>
      </c>
      <c r="B1126" s="23" t="n">
        <v>1123</v>
      </c>
      <c r="C1126" s="6" t="n">
        <v>46289</v>
      </c>
      <c r="D1126" s="4" t="s">
        <v>2195</v>
      </c>
      <c r="E1126" s="4" t="s">
        <v>7469</v>
      </c>
      <c r="F1126" s="7" t="n">
        <v>26915.24</v>
      </c>
      <c r="G1126" s="24" t="s">
        <v>5951</v>
      </c>
      <c r="H1126" s="4" t="s">
        <v>2191</v>
      </c>
      <c r="I1126" s="4"/>
    </row>
    <row r="1127" customFormat="false" ht="15" hidden="false" customHeight="false" outlineLevel="0" collapsed="false">
      <c r="A1127" s="4" t="s">
        <v>4602</v>
      </c>
      <c r="B1127" s="23" t="n">
        <v>1124</v>
      </c>
      <c r="C1127" s="6" t="n">
        <v>46289</v>
      </c>
      <c r="D1127" s="4" t="s">
        <v>4604</v>
      </c>
      <c r="E1127" s="4" t="s">
        <v>6841</v>
      </c>
      <c r="F1127" s="7" t="n">
        <v>81377.37</v>
      </c>
      <c r="G1127" s="24" t="s">
        <v>5951</v>
      </c>
      <c r="H1127" s="4" t="s">
        <v>4600</v>
      </c>
      <c r="I1127" s="4"/>
    </row>
    <row r="1128" customFormat="false" ht="15" hidden="false" customHeight="false" outlineLevel="0" collapsed="false">
      <c r="A1128" s="4" t="s">
        <v>2198</v>
      </c>
      <c r="B1128" s="23" t="n">
        <v>1125</v>
      </c>
      <c r="C1128" s="6" t="n">
        <v>46289</v>
      </c>
      <c r="D1128" s="4" t="s">
        <v>2200</v>
      </c>
      <c r="E1128" s="4" t="s">
        <v>6828</v>
      </c>
      <c r="F1128" s="7" t="n">
        <v>3858.13</v>
      </c>
      <c r="G1128" s="24" t="s">
        <v>5951</v>
      </c>
      <c r="H1128" s="4" t="s">
        <v>2196</v>
      </c>
      <c r="I1128" s="4"/>
    </row>
    <row r="1129" customFormat="false" ht="15" hidden="false" customHeight="false" outlineLevel="0" collapsed="false">
      <c r="A1129" s="4" t="s">
        <v>2203</v>
      </c>
      <c r="B1129" s="23" t="n">
        <v>1126</v>
      </c>
      <c r="C1129" s="6" t="n">
        <v>46289</v>
      </c>
      <c r="D1129" s="4" t="s">
        <v>2205</v>
      </c>
      <c r="E1129" s="4" t="s">
        <v>7470</v>
      </c>
      <c r="F1129" s="7" t="n">
        <v>-35378.93</v>
      </c>
      <c r="G1129" s="24" t="s">
        <v>5951</v>
      </c>
      <c r="H1129" s="4" t="s">
        <v>2201</v>
      </c>
      <c r="I1129" s="4"/>
    </row>
    <row r="1130" customFormat="false" ht="15" hidden="false" customHeight="false" outlineLevel="0" collapsed="false">
      <c r="A1130" s="4" t="s">
        <v>2208</v>
      </c>
      <c r="B1130" s="23" t="n">
        <v>1127</v>
      </c>
      <c r="C1130" s="6" t="n">
        <v>46289</v>
      </c>
      <c r="D1130" s="4" t="s">
        <v>2210</v>
      </c>
      <c r="E1130" s="4" t="s">
        <v>7471</v>
      </c>
      <c r="F1130" s="7" t="n">
        <v>-2577.49</v>
      </c>
      <c r="G1130" s="24" t="s">
        <v>5951</v>
      </c>
      <c r="H1130" s="4" t="s">
        <v>2206</v>
      </c>
      <c r="I1130" s="4"/>
    </row>
    <row r="1131" customFormat="false" ht="15" hidden="false" customHeight="false" outlineLevel="0" collapsed="false">
      <c r="A1131" s="4" t="s">
        <v>5770</v>
      </c>
      <c r="B1131" s="23" t="n">
        <v>1128</v>
      </c>
      <c r="C1131" s="6" t="n">
        <v>46289</v>
      </c>
      <c r="D1131" s="4" t="s">
        <v>5772</v>
      </c>
      <c r="E1131" s="4" t="s">
        <v>7472</v>
      </c>
      <c r="F1131" s="7" t="n">
        <v>-55578.73</v>
      </c>
      <c r="G1131" s="24" t="s">
        <v>5951</v>
      </c>
      <c r="H1131" s="4" t="s">
        <v>5768</v>
      </c>
      <c r="I1131" s="4"/>
    </row>
    <row r="1132" customFormat="false" ht="15" hidden="false" customHeight="false" outlineLevel="0" collapsed="false">
      <c r="A1132" s="4" t="s">
        <v>3795</v>
      </c>
      <c r="B1132" s="23" t="n">
        <v>1129</v>
      </c>
      <c r="C1132" s="6" t="n">
        <v>46289</v>
      </c>
      <c r="D1132" s="4" t="s">
        <v>3797</v>
      </c>
      <c r="E1132" s="4" t="s">
        <v>7473</v>
      </c>
      <c r="F1132" s="7" t="n">
        <v>-38037.03</v>
      </c>
      <c r="G1132" s="24" t="s">
        <v>5951</v>
      </c>
      <c r="H1132" s="4" t="s">
        <v>3793</v>
      </c>
      <c r="I1132" s="4"/>
    </row>
    <row r="1133" customFormat="false" ht="15" hidden="false" customHeight="false" outlineLevel="0" collapsed="false">
      <c r="A1133" s="4" t="s">
        <v>4902</v>
      </c>
      <c r="B1133" s="23" t="n">
        <v>1130</v>
      </c>
      <c r="C1133" s="6" t="n">
        <v>46289</v>
      </c>
      <c r="D1133" s="4" t="s">
        <v>4904</v>
      </c>
      <c r="E1133" s="4" t="s">
        <v>7474</v>
      </c>
      <c r="F1133" s="7" t="n">
        <v>-12719.05</v>
      </c>
      <c r="G1133" s="24" t="s">
        <v>5951</v>
      </c>
      <c r="H1133" s="4" t="s">
        <v>4900</v>
      </c>
      <c r="I1133" s="4"/>
    </row>
    <row r="1134" customFormat="false" ht="15" hidden="false" customHeight="false" outlineLevel="0" collapsed="false">
      <c r="A1134" s="4" t="s">
        <v>3800</v>
      </c>
      <c r="B1134" s="23" t="n">
        <v>1131</v>
      </c>
      <c r="C1134" s="6" t="n">
        <v>46289</v>
      </c>
      <c r="D1134" s="4" t="s">
        <v>3802</v>
      </c>
      <c r="E1134" s="4" t="s">
        <v>7475</v>
      </c>
      <c r="F1134" s="7" t="n">
        <v>-47940.36</v>
      </c>
      <c r="G1134" s="24" t="s">
        <v>5951</v>
      </c>
      <c r="H1134" s="4" t="s">
        <v>3798</v>
      </c>
      <c r="I1134" s="4"/>
    </row>
    <row r="1135" customFormat="false" ht="15" hidden="false" customHeight="false" outlineLevel="0" collapsed="false">
      <c r="A1135" s="4" t="s">
        <v>283</v>
      </c>
      <c r="B1135" s="23" t="n">
        <v>1132</v>
      </c>
      <c r="C1135" s="6" t="n">
        <v>46292</v>
      </c>
      <c r="D1135" s="4" t="s">
        <v>285</v>
      </c>
      <c r="E1135" s="4" t="s">
        <v>284</v>
      </c>
      <c r="F1135" s="7" t="n">
        <v>19641.59</v>
      </c>
      <c r="G1135" s="26" t="s">
        <v>6043</v>
      </c>
      <c r="H1135" s="4"/>
      <c r="I1135" s="4" t="s">
        <v>282</v>
      </c>
    </row>
    <row r="1136" customFormat="false" ht="15" hidden="false" customHeight="false" outlineLevel="0" collapsed="false">
      <c r="A1136" s="4" t="s">
        <v>293</v>
      </c>
      <c r="B1136" s="23" t="n">
        <v>1133</v>
      </c>
      <c r="C1136" s="6" t="n">
        <v>46292</v>
      </c>
      <c r="D1136" s="4" t="s">
        <v>295</v>
      </c>
      <c r="E1136" s="4" t="s">
        <v>294</v>
      </c>
      <c r="F1136" s="7" t="n">
        <v>7806.58</v>
      </c>
      <c r="G1136" s="26" t="s">
        <v>6043</v>
      </c>
      <c r="H1136" s="4"/>
      <c r="I1136" s="4" t="s">
        <v>292</v>
      </c>
    </row>
    <row r="1137" customFormat="false" ht="15" hidden="false" customHeight="false" outlineLevel="0" collapsed="false">
      <c r="A1137" s="4" t="s">
        <v>267</v>
      </c>
      <c r="B1137" s="23" t="n">
        <v>1134</v>
      </c>
      <c r="C1137" s="6" t="n">
        <v>46292</v>
      </c>
      <c r="D1137" s="4" t="s">
        <v>269</v>
      </c>
      <c r="E1137" s="4" t="s">
        <v>268</v>
      </c>
      <c r="F1137" s="7" t="n">
        <v>49817.86</v>
      </c>
      <c r="G1137" s="26" t="s">
        <v>6043</v>
      </c>
      <c r="H1137" s="4"/>
      <c r="I1137" s="4" t="s">
        <v>265</v>
      </c>
    </row>
    <row r="1138" customFormat="false" ht="15" hidden="false" customHeight="false" outlineLevel="0" collapsed="false">
      <c r="A1138" s="4" t="s">
        <v>273</v>
      </c>
      <c r="B1138" s="23" t="n">
        <v>1135</v>
      </c>
      <c r="C1138" s="6" t="n">
        <v>46292</v>
      </c>
      <c r="D1138" s="4" t="s">
        <v>275</v>
      </c>
      <c r="E1138" s="4" t="s">
        <v>274</v>
      </c>
      <c r="F1138" s="7" t="n">
        <v>37153.14</v>
      </c>
      <c r="G1138" s="26" t="s">
        <v>6043</v>
      </c>
      <c r="H1138" s="4"/>
      <c r="I1138" s="4" t="s">
        <v>272</v>
      </c>
    </row>
    <row r="1139" customFormat="false" ht="15" hidden="false" customHeight="false" outlineLevel="0" collapsed="false">
      <c r="A1139" s="4" t="s">
        <v>288</v>
      </c>
      <c r="B1139" s="23" t="n">
        <v>1136</v>
      </c>
      <c r="C1139" s="6" t="n">
        <v>46293</v>
      </c>
      <c r="D1139" s="4" t="s">
        <v>290</v>
      </c>
      <c r="E1139" s="4" t="s">
        <v>289</v>
      </c>
      <c r="F1139" s="7" t="n">
        <v>16333.32</v>
      </c>
      <c r="G1139" s="26" t="s">
        <v>6043</v>
      </c>
      <c r="H1139" s="4"/>
      <c r="I1139" s="4" t="s">
        <v>287</v>
      </c>
    </row>
    <row r="1140" customFormat="false" ht="15" hidden="false" customHeight="false" outlineLevel="0" collapsed="false">
      <c r="A1140" s="4" t="s">
        <v>278</v>
      </c>
      <c r="B1140" s="23" t="n">
        <v>1137</v>
      </c>
      <c r="C1140" s="6" t="n">
        <v>46295</v>
      </c>
      <c r="D1140" s="4" t="s">
        <v>280</v>
      </c>
      <c r="E1140" s="4" t="s">
        <v>279</v>
      </c>
      <c r="F1140" s="7" t="n">
        <v>25416.25</v>
      </c>
      <c r="G1140" s="26" t="s">
        <v>6043</v>
      </c>
      <c r="H1140" s="4"/>
      <c r="I1140" s="4" t="s">
        <v>277</v>
      </c>
    </row>
  </sheetData>
  <autoFilter ref="A4:I11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66"/>
    <col collapsed="false" customWidth="true" hidden="false" outlineLevel="0" max="6" min="5" style="0" width="1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5" t="s">
        <v>7476</v>
      </c>
    </row>
    <row r="2" customFormat="false" ht="15" hidden="false" customHeight="false" outlineLevel="0" collapsed="false">
      <c r="A2" s="2" t="s">
        <v>7477</v>
      </c>
    </row>
    <row r="4" customFormat="false" ht="15" hidden="false" customHeight="false" outlineLevel="0" collapsed="false">
      <c r="A4" s="3" t="s">
        <v>7478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8" t="s">
        <v>7479</v>
      </c>
      <c r="B5" s="16" t="s">
        <v>7480</v>
      </c>
    </row>
    <row r="6" customFormat="false" ht="15" hidden="false" customHeight="false" outlineLevel="0" collapsed="false">
      <c r="A6" s="8" t="s">
        <v>7481</v>
      </c>
      <c r="B6" s="16" t="s">
        <v>7482</v>
      </c>
    </row>
    <row r="7" customFormat="false" ht="15" hidden="false" customHeight="false" outlineLevel="0" collapsed="false">
      <c r="A7" s="8" t="s">
        <v>7483</v>
      </c>
      <c r="B7" s="16" t="s">
        <v>55</v>
      </c>
    </row>
    <row r="8" customFormat="false" ht="15" hidden="false" customHeight="false" outlineLevel="0" collapsed="false">
      <c r="A8" s="8" t="s">
        <v>7484</v>
      </c>
      <c r="B8" s="16" t="s">
        <v>7485</v>
      </c>
    </row>
    <row r="9" customFormat="false" ht="15" hidden="false" customHeight="false" outlineLevel="0" collapsed="false">
      <c r="A9" s="8" t="s">
        <v>7486</v>
      </c>
      <c r="B9" s="16" t="s">
        <v>7487</v>
      </c>
    </row>
    <row r="10" customFormat="false" ht="15" hidden="false" customHeight="false" outlineLevel="0" collapsed="false">
      <c r="A10" s="8" t="s">
        <v>7488</v>
      </c>
      <c r="B10" s="16" t="s">
        <v>7489</v>
      </c>
    </row>
    <row r="11" customFormat="false" ht="15" hidden="false" customHeight="false" outlineLevel="0" collapsed="false">
      <c r="A11" s="8" t="s">
        <v>7490</v>
      </c>
      <c r="B11" s="16" t="s">
        <v>7491</v>
      </c>
    </row>
    <row r="13" customFormat="false" ht="15" hidden="false" customHeight="false" outlineLevel="0" collapsed="false">
      <c r="A13" s="3" t="s">
        <v>7492</v>
      </c>
      <c r="B13" s="3"/>
      <c r="C13" s="3"/>
      <c r="D13" s="3"/>
      <c r="E13" s="3"/>
      <c r="F13" s="3"/>
      <c r="G13" s="3"/>
    </row>
    <row r="14" customFormat="false" ht="15" hidden="false" customHeight="false" outlineLevel="0" collapsed="false">
      <c r="A14" s="27" t="s">
        <v>7493</v>
      </c>
      <c r="B14" s="27" t="s">
        <v>7494</v>
      </c>
      <c r="C14" s="27" t="s">
        <v>7495</v>
      </c>
      <c r="D14" s="27" t="s">
        <v>7496</v>
      </c>
      <c r="E14" s="27" t="s">
        <v>7497</v>
      </c>
      <c r="F14" s="27" t="s">
        <v>7498</v>
      </c>
      <c r="G14" s="27" t="s">
        <v>7499</v>
      </c>
    </row>
    <row r="15" customFormat="false" ht="15" hidden="false" customHeight="false" outlineLevel="0" collapsed="false">
      <c r="A15" s="4" t="s">
        <v>7500</v>
      </c>
      <c r="B15" s="4" t="s">
        <v>7501</v>
      </c>
      <c r="C15" s="4" t="n">
        <v>77531</v>
      </c>
      <c r="D15" s="4" t="s">
        <v>7502</v>
      </c>
      <c r="E15" s="4" t="n">
        <v>1130</v>
      </c>
      <c r="F15" s="4" t="n">
        <v>1130</v>
      </c>
      <c r="G15" s="4" t="n">
        <v>0</v>
      </c>
    </row>
    <row r="16" customFormat="false" ht="15" hidden="false" customHeight="false" outlineLevel="0" collapsed="false">
      <c r="A16" s="4" t="s">
        <v>7503</v>
      </c>
      <c r="B16" s="4" t="s">
        <v>7504</v>
      </c>
      <c r="C16" s="4" t="n">
        <v>83575</v>
      </c>
      <c r="D16" s="4" t="s">
        <v>7505</v>
      </c>
      <c r="E16" s="4" t="n">
        <v>1136</v>
      </c>
      <c r="F16" s="4" t="n">
        <v>1136</v>
      </c>
      <c r="G16" s="4" t="n">
        <v>0</v>
      </c>
    </row>
    <row r="18" customFormat="false" ht="15" hidden="false" customHeight="false" outlineLevel="0" collapsed="false">
      <c r="A18" s="3" t="s">
        <v>7506</v>
      </c>
      <c r="B18" s="3"/>
      <c r="C18" s="3"/>
      <c r="D18" s="3"/>
      <c r="E18" s="3"/>
      <c r="F18" s="3"/>
      <c r="G18" s="3"/>
    </row>
    <row r="19" customFormat="false" ht="15" hidden="false" customHeight="false" outlineLevel="0" collapsed="false">
      <c r="A19" s="8" t="s">
        <v>7507</v>
      </c>
      <c r="B19" s="16" t="n">
        <v>3</v>
      </c>
    </row>
    <row r="20" customFormat="false" ht="15" hidden="false" customHeight="false" outlineLevel="0" collapsed="false">
      <c r="A20" s="8" t="s">
        <v>7508</v>
      </c>
      <c r="B20" s="16" t="n">
        <v>15</v>
      </c>
    </row>
    <row r="21" customFormat="false" ht="15" hidden="false" customHeight="false" outlineLevel="0" collapsed="false">
      <c r="A21" s="8" t="s">
        <v>7509</v>
      </c>
      <c r="B21" s="16" t="n">
        <v>0</v>
      </c>
    </row>
    <row r="22" customFormat="false" ht="15" hidden="false" customHeight="false" outlineLevel="0" collapsed="false">
      <c r="A22" s="8" t="s">
        <v>7510</v>
      </c>
      <c r="B22" s="16" t="n">
        <v>0.7</v>
      </c>
    </row>
    <row r="23" customFormat="false" ht="15" hidden="false" customHeight="false" outlineLevel="0" collapsed="false">
      <c r="A23" s="8" t="s">
        <v>7511</v>
      </c>
      <c r="B23" s="16" t="n">
        <v>0.75</v>
      </c>
    </row>
    <row r="24" customFormat="false" ht="15" hidden="false" customHeight="false" outlineLevel="0" collapsed="false">
      <c r="A24" s="8" t="s">
        <v>7512</v>
      </c>
      <c r="B24" s="16" t="n">
        <v>0.25</v>
      </c>
    </row>
    <row r="25" customFormat="false" ht="15" hidden="false" customHeight="false" outlineLevel="0" collapsed="false">
      <c r="A25" s="8" t="s">
        <v>7513</v>
      </c>
      <c r="B25" s="16" t="n">
        <v>1</v>
      </c>
    </row>
    <row r="26" customFormat="false" ht="15" hidden="false" customHeight="false" outlineLevel="0" collapsed="false">
      <c r="A26" s="8" t="s">
        <v>7514</v>
      </c>
      <c r="B26" s="16" t="n">
        <v>3</v>
      </c>
    </row>
    <row r="27" customFormat="false" ht="15" hidden="false" customHeight="false" outlineLevel="0" collapsed="false">
      <c r="A27" s="8" t="s">
        <v>7515</v>
      </c>
      <c r="B27" s="16" t="n">
        <v>5</v>
      </c>
    </row>
    <row r="28" customFormat="false" ht="15" hidden="false" customHeight="false" outlineLevel="0" collapsed="false">
      <c r="A28" s="8" t="s">
        <v>7516</v>
      </c>
      <c r="B28" s="16" t="n">
        <v>25</v>
      </c>
    </row>
    <row r="29" customFormat="false" ht="15" hidden="false" customHeight="false" outlineLevel="0" collapsed="false">
      <c r="A29" s="8" t="s">
        <v>7517</v>
      </c>
      <c r="B29" s="16" t="n">
        <v>1</v>
      </c>
    </row>
    <row r="30" customFormat="false" ht="15" hidden="false" customHeight="false" outlineLevel="0" collapsed="false">
      <c r="A30" s="8" t="s">
        <v>7518</v>
      </c>
      <c r="B30" s="16" t="n">
        <v>5</v>
      </c>
    </row>
    <row r="31" customFormat="false" ht="15" hidden="false" customHeight="false" outlineLevel="0" collapsed="false">
      <c r="A31" s="8" t="s">
        <v>7519</v>
      </c>
      <c r="B31" s="16" t="n">
        <v>10000</v>
      </c>
    </row>
    <row r="32" customFormat="false" ht="15" hidden="false" customHeight="false" outlineLevel="0" collapsed="false">
      <c r="A32" s="8" t="s">
        <v>7520</v>
      </c>
      <c r="B32" s="16" t="n">
        <v>1000</v>
      </c>
    </row>
    <row r="33" customFormat="false" ht="15" hidden="false" customHeight="false" outlineLevel="0" collapsed="false">
      <c r="A33" s="8" t="s">
        <v>7521</v>
      </c>
      <c r="B33" s="28" t="b">
        <f aca="false">FALSE()</f>
        <v>0</v>
      </c>
    </row>
    <row r="34" customFormat="false" ht="15" hidden="false" customHeight="false" outlineLevel="0" collapsed="false">
      <c r="A34" s="8" t="s">
        <v>7522</v>
      </c>
      <c r="B34" s="16" t="n">
        <v>1</v>
      </c>
    </row>
    <row r="35" customFormat="false" ht="15" hidden="false" customHeight="false" outlineLevel="0" collapsed="false">
      <c r="A35" s="8" t="s">
        <v>7523</v>
      </c>
      <c r="B35" s="16" t="n">
        <v>1</v>
      </c>
    </row>
    <row r="37" customFormat="false" ht="15" hidden="false" customHeight="false" outlineLevel="0" collapsed="false">
      <c r="A37" s="3" t="s">
        <v>7524</v>
      </c>
      <c r="B37" s="3"/>
      <c r="C37" s="3"/>
      <c r="D37" s="3"/>
      <c r="E37" s="3"/>
      <c r="F37" s="3"/>
      <c r="G37" s="3"/>
    </row>
    <row r="38" customFormat="false" ht="15" hidden="false" customHeight="false" outlineLevel="0" collapsed="false">
      <c r="A38" s="8" t="s">
        <v>539</v>
      </c>
      <c r="B38" s="16" t="n">
        <v>1050</v>
      </c>
    </row>
    <row r="39" customFormat="false" ht="15" hidden="false" customHeight="false" outlineLevel="0" collapsed="false">
      <c r="A39" s="8" t="s">
        <v>5774</v>
      </c>
      <c r="B39" s="16" t="n">
        <v>18</v>
      </c>
    </row>
    <row r="40" customFormat="false" ht="15" hidden="false" customHeight="false" outlineLevel="0" collapsed="false">
      <c r="A40" s="8" t="s">
        <v>5841</v>
      </c>
      <c r="B40" s="16" t="n">
        <v>23</v>
      </c>
    </row>
    <row r="41" customFormat="false" ht="15" hidden="false" customHeight="false" outlineLevel="0" collapsed="false">
      <c r="A41" s="8" t="s">
        <v>5911</v>
      </c>
      <c r="B41" s="16" t="n">
        <v>5</v>
      </c>
    </row>
    <row r="42" customFormat="false" ht="15" hidden="false" customHeight="false" outlineLevel="0" collapsed="false">
      <c r="A42" s="8" t="s">
        <v>5927</v>
      </c>
      <c r="B42" s="16" t="n">
        <v>6</v>
      </c>
    </row>
    <row r="43" customFormat="false" ht="15" hidden="false" customHeight="false" outlineLevel="0" collapsed="false">
      <c r="A43" s="8" t="s">
        <v>7525</v>
      </c>
      <c r="B43" s="16" t="n">
        <v>0</v>
      </c>
    </row>
    <row r="45" customFormat="false" ht="15" hidden="false" customHeight="false" outlineLevel="0" collapsed="false">
      <c r="A45" s="3" t="s">
        <v>7526</v>
      </c>
      <c r="B45" s="3"/>
      <c r="C45" s="3"/>
      <c r="D45" s="3"/>
      <c r="E45" s="3"/>
      <c r="F45" s="3"/>
      <c r="G45" s="3"/>
    </row>
    <row r="46" customFormat="false" ht="15" hidden="false" customHeight="false" outlineLevel="0" collapsed="false">
      <c r="A46" s="8" t="s">
        <v>7527</v>
      </c>
      <c r="B46" s="16" t="s">
        <v>7528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2026-10-13T08:09:18Z</dcterms:created>
  <dc:creator>openpyxl</dc:creator>
  <dc:description/>
  <dc:language>en-US</dc:language>
  <cp:lastModifiedBy/>
  <dcterms:modified xsi:type="dcterms:W3CDTF">2026-10-13T08:09:20Z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